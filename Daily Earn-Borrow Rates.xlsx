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omments58.xml" ContentType="application/vnd.openxmlformats-officedocument.spreadsheetml.comments+xml"/>
  <Override PartName="/xl/comments59.xml" ContentType="application/vnd.openxmlformats-officedocument.spreadsheetml.comments+xml"/>
  <Override PartName="/xl/comments60.xml" ContentType="application/vnd.openxmlformats-officedocument.spreadsheetml.comments+xml"/>
  <Override PartName="/xl/comments61.xml" ContentType="application/vnd.openxmlformats-officedocument.spreadsheetml.comments+xml"/>
  <Override PartName="/xl/comments62.xml" ContentType="application/vnd.openxmlformats-officedocument.spreadsheetml.comments+xml"/>
  <Override PartName="/xl/comments63.xml" ContentType="application/vnd.openxmlformats-officedocument.spreadsheetml.comments+xml"/>
  <Override PartName="/xl/comments64.xml" ContentType="application/vnd.openxmlformats-officedocument.spreadsheetml.comments+xml"/>
  <Override PartName="/xl/comments65.xml" ContentType="application/vnd.openxmlformats-officedocument.spreadsheetml.comments+xml"/>
  <Override PartName="/xl/comments66.xml" ContentType="application/vnd.openxmlformats-officedocument.spreadsheetml.comments+xml"/>
  <Override PartName="/xl/comments67.xml" ContentType="application/vnd.openxmlformats-officedocument.spreadsheetml.comments+xml"/>
  <Override PartName="/xl/comments68.xml" ContentType="application/vnd.openxmlformats-officedocument.spreadsheetml.comments+xml"/>
  <Override PartName="/xl/comments69.xml" ContentType="application/vnd.openxmlformats-officedocument.spreadsheetml.comments+xml"/>
  <Override PartName="/xl/comments70.xml" ContentType="application/vnd.openxmlformats-officedocument.spreadsheetml.comments+xml"/>
  <Override PartName="/xl/comments71.xml" ContentType="application/vnd.openxmlformats-officedocument.spreadsheetml.comments+xml"/>
  <Override PartName="/xl/comments72.xml" ContentType="application/vnd.openxmlformats-officedocument.spreadsheetml.comments+xml"/>
  <Override PartName="/xl/comments73.xml" ContentType="application/vnd.openxmlformats-officedocument.spreadsheetml.comments+xml"/>
  <Override PartName="/xl/comments74.xml" ContentType="application/vnd.openxmlformats-officedocument.spreadsheetml.comments+xml"/>
  <Override PartName="/xl/comments75.xml" ContentType="application/vnd.openxmlformats-officedocument.spreadsheetml.comments+xml"/>
  <Override PartName="/xl/comments76.xml" ContentType="application/vnd.openxmlformats-officedocument.spreadsheetml.comments+xml"/>
  <Override PartName="/xl/comments77.xml" ContentType="application/vnd.openxmlformats-officedocument.spreadsheetml.comments+xml"/>
  <Override PartName="/xl/comments78.xml" ContentType="application/vnd.openxmlformats-officedocument.spreadsheetml.comments+xml"/>
  <Override PartName="/xl/comments79.xml" ContentType="application/vnd.openxmlformats-officedocument.spreadsheetml.comments+xml"/>
  <Override PartName="/xl/comments80.xml" ContentType="application/vnd.openxmlformats-officedocument.spreadsheetml.comments+xml"/>
  <Override PartName="/xl/comments81.xml" ContentType="application/vnd.openxmlformats-officedocument.spreadsheetml.comments+xml"/>
  <Override PartName="/xl/comments82.xml" ContentType="application/vnd.openxmlformats-officedocument.spreadsheetml.comments+xml"/>
  <Override PartName="/xl/comments83.xml" ContentType="application/vnd.openxmlformats-officedocument.spreadsheetml.comments+xml"/>
  <Override PartName="/xl/comments84.xml" ContentType="application/vnd.openxmlformats-officedocument.spreadsheetml.comments+xml"/>
  <Override PartName="/xl/comments85.xml" ContentType="application/vnd.openxmlformats-officedocument.spreadsheetml.comments+xml"/>
  <Override PartName="/xl/comments86.xml" ContentType="application/vnd.openxmlformats-officedocument.spreadsheetml.comments+xml"/>
  <Override PartName="/xl/comments87.xml" ContentType="application/vnd.openxmlformats-officedocument.spreadsheetml.comments+xml"/>
  <Override PartName="/xl/comments88.xml" ContentType="application/vnd.openxmlformats-officedocument.spreadsheetml.comments+xml"/>
  <Override PartName="/xl/comments89.xml" ContentType="application/vnd.openxmlformats-officedocument.spreadsheetml.comments+xml"/>
  <Override PartName="/xl/comments90.xml" ContentType="application/vnd.openxmlformats-officedocument.spreadsheetml.comments+xml"/>
  <Override PartName="/xl/comments91.xml" ContentType="application/vnd.openxmlformats-officedocument.spreadsheetml.comments+xml"/>
  <Override PartName="/xl/comments92.xml" ContentType="application/vnd.openxmlformats-officedocument.spreadsheetml.comments+xml"/>
  <Override PartName="/xl/comments93.xml" ContentType="application/vnd.openxmlformats-officedocument.spreadsheetml.comments+xml"/>
  <Override PartName="/xl/comments94.xml" ContentType="application/vnd.openxmlformats-officedocument.spreadsheetml.comments+xml"/>
  <Override PartName="/xl/comments95.xml" ContentType="application/vnd.openxmlformats-officedocument.spreadsheetml.comments+xml"/>
  <Override PartName="/xl/comments96.xml" ContentType="application/vnd.openxmlformats-officedocument.spreadsheetml.comments+xml"/>
  <Override PartName="/xl/comments97.xml" ContentType="application/vnd.openxmlformats-officedocument.spreadsheetml.comments+xml"/>
  <Override PartName="/xl/comments98.xml" ContentType="application/vnd.openxmlformats-officedocument.spreadsheetml.comments+xml"/>
  <Override PartName="/xl/comments99.xml" ContentType="application/vnd.openxmlformats-officedocument.spreadsheetml.comments+xml"/>
  <Override PartName="/xl/comments100.xml" ContentType="application/vnd.openxmlformats-officedocument.spreadsheetml.comments+xml"/>
  <Override PartName="/xl/comments101.xml" ContentType="application/vnd.openxmlformats-officedocument.spreadsheetml.comments+xml"/>
  <Override PartName="/xl/comments102.xml" ContentType="application/vnd.openxmlformats-officedocument.spreadsheetml.comments+xml"/>
  <Override PartName="/xl/comments103.xml" ContentType="application/vnd.openxmlformats-officedocument.spreadsheetml.comments+xml"/>
  <Override PartName="/xl/comments104.xml" ContentType="application/vnd.openxmlformats-officedocument.spreadsheetml.comments+xml"/>
  <Override PartName="/xl/comments105.xml" ContentType="application/vnd.openxmlformats-officedocument.spreadsheetml.comments+xml"/>
  <Override PartName="/xl/comments106.xml" ContentType="application/vnd.openxmlformats-officedocument.spreadsheetml.comments+xml"/>
  <Override PartName="/xl/comments107.xml" ContentType="application/vnd.openxmlformats-officedocument.spreadsheetml.comments+xml"/>
  <Override PartName="/xl/comments108.xml" ContentType="application/vnd.openxmlformats-officedocument.spreadsheetml.comments+xml"/>
  <Override PartName="/xl/comments109.xml" ContentType="application/vnd.openxmlformats-officedocument.spreadsheetml.comments+xml"/>
  <Override PartName="/xl/comments110.xml" ContentType="application/vnd.openxmlformats-officedocument.spreadsheetml.comments+xml"/>
  <Override PartName="/xl/comments111.xml" ContentType="application/vnd.openxmlformats-officedocument.spreadsheetml.comments+xml"/>
  <Override PartName="/xl/comments112.xml" ContentType="application/vnd.openxmlformats-officedocument.spreadsheetml.comments+xml"/>
  <Override PartName="/xl/comments113.xml" ContentType="application/vnd.openxmlformats-officedocument.spreadsheetml.comments+xml"/>
  <Override PartName="/xl/comments114.xml" ContentType="application/vnd.openxmlformats-officedocument.spreadsheetml.comments+xml"/>
  <Override PartName="/xl/comments115.xml" ContentType="application/vnd.openxmlformats-officedocument.spreadsheetml.comments+xml"/>
  <Override PartName="/xl/comments116.xml" ContentType="application/vnd.openxmlformats-officedocument.spreadsheetml.comments+xml"/>
  <Override PartName="/xl/comments117.xml" ContentType="application/vnd.openxmlformats-officedocument.spreadsheetml.comments+xml"/>
  <Override PartName="/xl/comments118.xml" ContentType="application/vnd.openxmlformats-officedocument.spreadsheetml.comments+xml"/>
  <Override PartName="/xl/comments119.xml" ContentType="application/vnd.openxmlformats-officedocument.spreadsheetml.comments+xml"/>
  <Override PartName="/xl/comments120.xml" ContentType="application/vnd.openxmlformats-officedocument.spreadsheetml.comments+xml"/>
  <Override PartName="/xl/comments121.xml" ContentType="application/vnd.openxmlformats-officedocument.spreadsheetml.comments+xml"/>
  <Override PartName="/xl/comments122.xml" ContentType="application/vnd.openxmlformats-officedocument.spreadsheetml.comments+xml"/>
  <Override PartName="/xl/comments123.xml" ContentType="application/vnd.openxmlformats-officedocument.spreadsheetml.comments+xml"/>
  <Override PartName="/xl/comments124.xml" ContentType="application/vnd.openxmlformats-officedocument.spreadsheetml.comments+xml"/>
  <Override PartName="/xl/comments125.xml" ContentType="application/vnd.openxmlformats-officedocument.spreadsheetml.comments+xml"/>
  <Override PartName="/xl/comments126.xml" ContentType="application/vnd.openxmlformats-officedocument.spreadsheetml.comments+xml"/>
  <Override PartName="/xl/comments127.xml" ContentType="application/vnd.openxmlformats-officedocument.spreadsheetml.comments+xml"/>
  <Override PartName="/xl/comments128.xml" ContentType="application/vnd.openxmlformats-officedocument.spreadsheetml.comments+xml"/>
  <Override PartName="/xl/comments129.xml" ContentType="application/vnd.openxmlformats-officedocument.spreadsheetml.comments+xml"/>
  <Override PartName="/xl/comments130.xml" ContentType="application/vnd.openxmlformats-officedocument.spreadsheetml.comments+xml"/>
  <Override PartName="/xl/comments131.xml" ContentType="application/vnd.openxmlformats-officedocument.spreadsheetml.comments+xml"/>
  <Override PartName="/xl/comments132.xml" ContentType="application/vnd.openxmlformats-officedocument.spreadsheetml.comments+xml"/>
  <Override PartName="/xl/comments133.xml" ContentType="application/vnd.openxmlformats-officedocument.spreadsheetml.comments+xml"/>
  <Override PartName="/xl/comments134.xml" ContentType="application/vnd.openxmlformats-officedocument.spreadsheetml.comments+xml"/>
  <Override PartName="/xl/comments135.xml" ContentType="application/vnd.openxmlformats-officedocument.spreadsheetml.comments+xml"/>
  <Override PartName="/xl/comments136.xml" ContentType="application/vnd.openxmlformats-officedocument.spreadsheetml.comments+xml"/>
  <Override PartName="/xl/comments137.xml" ContentType="application/vnd.openxmlformats-officedocument.spreadsheetml.comments+xml"/>
  <Override PartName="/xl/comments138.xml" ContentType="application/vnd.openxmlformats-officedocument.spreadsheetml.comments+xml"/>
  <Override PartName="/xl/comments139.xml" ContentType="application/vnd.openxmlformats-officedocument.spreadsheetml.comments+xml"/>
  <Override PartName="/xl/comments140.xml" ContentType="application/vnd.openxmlformats-officedocument.spreadsheetml.comments+xml"/>
  <Override PartName="/xl/comments141.xml" ContentType="application/vnd.openxmlformats-officedocument.spreadsheetml.comments+xml"/>
  <Override PartName="/xl/comments142.xml" ContentType="application/vnd.openxmlformats-officedocument.spreadsheetml.comments+xml"/>
  <Override PartName="/xl/comments143.xml" ContentType="application/vnd.openxmlformats-officedocument.spreadsheetml.comments+xml"/>
  <Override PartName="/xl/comments14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eqwpfs01.eliptik.local\fileserver\Department_Data\00-Share\141-BTCTURK _INT\"/>
    </mc:Choice>
  </mc:AlternateContent>
  <xr:revisionPtr revIDLastSave="0" documentId="13_ncr:1_{94B106A1-DDA1-4144-986F-0DD2283A9DCC}" xr6:coauthVersionLast="47" xr6:coauthVersionMax="47" xr10:uidLastSave="{00000000-0000-0000-0000-000000000000}"/>
  <bookViews>
    <workbookView xWindow="-28920" yWindow="855" windowWidth="29040" windowHeight="17520" firstSheet="137" activeTab="146" xr2:uid="{00000000-000D-0000-FFFF-FFFF00000000}"/>
  </bookViews>
  <sheets>
    <sheet name="Margin Borrow Rates" sheetId="50" r:id="rId1"/>
    <sheet name="Daily Data" sheetId="10" r:id="rId2"/>
    <sheet name="Günlük taslak" sheetId="17" state="hidden" r:id="rId3"/>
    <sheet name="Günlük" sheetId="18" state="hidden" r:id="rId4"/>
    <sheet name="23.3.2026" sheetId="21" r:id="rId5"/>
    <sheet name="24.3.2026" sheetId="20" r:id="rId6"/>
    <sheet name="25.3.2026" sheetId="23" r:id="rId7"/>
    <sheet name="26.03.2026" sheetId="25" r:id="rId8"/>
    <sheet name="27.3.2026" sheetId="26" r:id="rId9"/>
    <sheet name="28.03.2026" sheetId="28" r:id="rId10"/>
    <sheet name="29.3.2026" sheetId="29" r:id="rId11"/>
    <sheet name="30.3.2026" sheetId="30" r:id="rId12"/>
    <sheet name="31.3.2026" sheetId="31" r:id="rId13"/>
    <sheet name="01.04.2026" sheetId="32" r:id="rId14"/>
    <sheet name="02.04.2026" sheetId="34" r:id="rId15"/>
    <sheet name="03.04.2026" sheetId="35" r:id="rId16"/>
    <sheet name="04.04.2026" sheetId="36" r:id="rId17"/>
    <sheet name="05.04.2026" sheetId="37" r:id="rId18"/>
    <sheet name="06.04.2026" sheetId="38" r:id="rId19"/>
    <sheet name="07.04.2026" sheetId="41" r:id="rId20"/>
    <sheet name="08.04.2026" sheetId="42" r:id="rId21"/>
    <sheet name="09.04.2026" sheetId="43" r:id="rId22"/>
    <sheet name="10.04.2026" sheetId="44" r:id="rId23"/>
    <sheet name="11.04.2026" sheetId="45" r:id="rId24"/>
    <sheet name="12.04.2026" sheetId="46" r:id="rId25"/>
    <sheet name="13.04.2026" sheetId="47" r:id="rId26"/>
    <sheet name="14.04.2026" sheetId="48" r:id="rId27"/>
    <sheet name="15.04.2026" sheetId="49" r:id="rId28"/>
    <sheet name="16.04.2026" sheetId="51" r:id="rId29"/>
    <sheet name="17.04.2026" sheetId="52" r:id="rId30"/>
    <sheet name="18.04.2026" sheetId="53" r:id="rId31"/>
    <sheet name="19.04.2026" sheetId="54" r:id="rId32"/>
    <sheet name="20.04.2026" sheetId="55" r:id="rId33"/>
    <sheet name="21.04.2026" sheetId="56" r:id="rId34"/>
    <sheet name="22.04.2026" sheetId="57" r:id="rId35"/>
    <sheet name="23.04.2026" sheetId="59" r:id="rId36"/>
    <sheet name="24.04.2026" sheetId="58" r:id="rId37"/>
    <sheet name="25.04.2026" sheetId="60" r:id="rId38"/>
    <sheet name="26.04.2026" sheetId="61" r:id="rId39"/>
    <sheet name="27.04.2026" sheetId="62" r:id="rId40"/>
    <sheet name="28.04.2026" sheetId="63" r:id="rId41"/>
    <sheet name="29.04.2026" sheetId="64" r:id="rId42"/>
    <sheet name="30.04.2026" sheetId="65" r:id="rId43"/>
    <sheet name="01.05.2026" sheetId="66" r:id="rId44"/>
    <sheet name="02.05.2026" sheetId="67" r:id="rId45"/>
    <sheet name="03.05.2026" sheetId="68" r:id="rId46"/>
    <sheet name="04.05.2026" sheetId="69" r:id="rId47"/>
    <sheet name="05.05.2026" sheetId="70" r:id="rId48"/>
    <sheet name="06.05.2026" sheetId="71" r:id="rId49"/>
    <sheet name="07.05.2026" sheetId="72" r:id="rId50"/>
    <sheet name="08.05.2026" sheetId="73" r:id="rId51"/>
    <sheet name="09.05.2026" sheetId="74" r:id="rId52"/>
    <sheet name="10.05.2026" sheetId="75" r:id="rId53"/>
    <sheet name="11.05.2026" sheetId="77" r:id="rId54"/>
    <sheet name="12.05.2026" sheetId="78" r:id="rId55"/>
    <sheet name="13.05.2026" sheetId="79" r:id="rId56"/>
    <sheet name="14.05.2026" sheetId="80" r:id="rId57"/>
    <sheet name="15.05.2026" sheetId="81" r:id="rId58"/>
    <sheet name="16.05.2026" sheetId="82" r:id="rId59"/>
    <sheet name="17.05.2026" sheetId="83" r:id="rId60"/>
    <sheet name="18.05.2026" sheetId="84" r:id="rId61"/>
    <sheet name="19.05.2026" sheetId="85" r:id="rId62"/>
    <sheet name="20.05.2026" sheetId="86" r:id="rId63"/>
    <sheet name="21.05.2026" sheetId="87" r:id="rId64"/>
    <sheet name="22.05.2026" sheetId="88" r:id="rId65"/>
    <sheet name="23.05.2026" sheetId="89" r:id="rId66"/>
    <sheet name="24.05.2026" sheetId="90" r:id="rId67"/>
    <sheet name="25.05.2026" sheetId="91" r:id="rId68"/>
    <sheet name="26.05.2026" sheetId="92" r:id="rId69"/>
    <sheet name="27.05.2026" sheetId="93" r:id="rId70"/>
    <sheet name="28.05.2026" sheetId="94" r:id="rId71"/>
    <sheet name="29.05.2026" sheetId="95" r:id="rId72"/>
    <sheet name="30.05.2026" sheetId="96" r:id="rId73"/>
    <sheet name="31.05.2026" sheetId="97" r:id="rId74"/>
    <sheet name="01.06.2026" sheetId="98" r:id="rId75"/>
    <sheet name="02.06.2026" sheetId="99" r:id="rId76"/>
    <sheet name="03.06.2026" sheetId="100" r:id="rId77"/>
    <sheet name="04.06.2026" sheetId="101" r:id="rId78"/>
    <sheet name="05.06.2026" sheetId="102" r:id="rId79"/>
    <sheet name="06.06.2026" sheetId="103" r:id="rId80"/>
    <sheet name="07.06.2026" sheetId="104" r:id="rId81"/>
    <sheet name="08.06.2026" sheetId="105" r:id="rId82"/>
    <sheet name="09.06.2026" sheetId="106" r:id="rId83"/>
    <sheet name="10.06.2026" sheetId="107" r:id="rId84"/>
    <sheet name="11.06.2026" sheetId="108" r:id="rId85"/>
    <sheet name="12.06.2026" sheetId="109" r:id="rId86"/>
    <sheet name="13.06.2026" sheetId="110" r:id="rId87"/>
    <sheet name="14.06.2026" sheetId="111" r:id="rId88"/>
    <sheet name="15.06.2026" sheetId="112" r:id="rId89"/>
    <sheet name="16.06.2026" sheetId="113" r:id="rId90"/>
    <sheet name="17.06.2026" sheetId="114" r:id="rId91"/>
    <sheet name="18.06.2026" sheetId="115" r:id="rId92"/>
    <sheet name="19.06.2026" sheetId="116" r:id="rId93"/>
    <sheet name="20.06.2026" sheetId="117" r:id="rId94"/>
    <sheet name="21.06.2026" sheetId="118" r:id="rId95"/>
    <sheet name="22.06.2026" sheetId="119" r:id="rId96"/>
    <sheet name="23.06.2026" sheetId="120" r:id="rId97"/>
    <sheet name="24.06.2026" sheetId="121" r:id="rId98"/>
    <sheet name="25.06.2026" sheetId="122" r:id="rId99"/>
    <sheet name="26.06.2026" sheetId="123" r:id="rId100"/>
    <sheet name="27.06.2026" sheetId="124" r:id="rId101"/>
    <sheet name="28.06.2026" sheetId="125" r:id="rId102"/>
    <sheet name="29.06.2026" sheetId="126" r:id="rId103"/>
    <sheet name="30.06.2026" sheetId="127" r:id="rId104"/>
    <sheet name="01.07.2026" sheetId="128" r:id="rId105"/>
    <sheet name="02.07.2026" sheetId="129" r:id="rId106"/>
    <sheet name="03.07.2026" sheetId="130" r:id="rId107"/>
    <sheet name="04.07.2026" sheetId="131" r:id="rId108"/>
    <sheet name="05.07.2026" sheetId="132" r:id="rId109"/>
    <sheet name="06.07.2026" sheetId="133" r:id="rId110"/>
    <sheet name="07.07.2026" sheetId="134" r:id="rId111"/>
    <sheet name="08.07.2026" sheetId="135" r:id="rId112"/>
    <sheet name="09.07.2026" sheetId="136" r:id="rId113"/>
    <sheet name="10.07.2026" sheetId="137" r:id="rId114"/>
    <sheet name="11.07.2026" sheetId="138" r:id="rId115"/>
    <sheet name="12.07.2026" sheetId="139" r:id="rId116"/>
    <sheet name="13.07.2026" sheetId="140" r:id="rId117"/>
    <sheet name="14.07.2026" sheetId="141" r:id="rId118"/>
    <sheet name="15.07.2026" sheetId="142" r:id="rId119"/>
    <sheet name="16.07.2026" sheetId="143" r:id="rId120"/>
    <sheet name="17.07.2026" sheetId="144" r:id="rId121"/>
    <sheet name="18.07.2026" sheetId="145" r:id="rId122"/>
    <sheet name="19.07.2026" sheetId="146" r:id="rId123"/>
    <sheet name="20.07.2026" sheetId="147" r:id="rId124"/>
    <sheet name="21.07.2026" sheetId="148" r:id="rId125"/>
    <sheet name="22.07.2026" sheetId="149" r:id="rId126"/>
    <sheet name="23.07.2026" sheetId="150" r:id="rId127"/>
    <sheet name="24.07.2026" sheetId="151" r:id="rId128"/>
    <sheet name="25.07.2026" sheetId="152" r:id="rId129"/>
    <sheet name="26.07.2026" sheetId="153" r:id="rId130"/>
    <sheet name="27.07.2026" sheetId="154" r:id="rId131"/>
    <sheet name="28.07.2026" sheetId="155" r:id="rId132"/>
    <sheet name="29.07.2026" sheetId="156" r:id="rId133"/>
    <sheet name="30.07.2026" sheetId="157" r:id="rId134"/>
    <sheet name="31.07.2026" sheetId="158" r:id="rId135"/>
    <sheet name="01.08.2026" sheetId="159" r:id="rId136"/>
    <sheet name="02.08.2026" sheetId="160" r:id="rId137"/>
    <sheet name="03.08.2026" sheetId="161" r:id="rId138"/>
    <sheet name="04.08.2026" sheetId="162" r:id="rId139"/>
    <sheet name="05.08.2026" sheetId="163" r:id="rId140"/>
    <sheet name="06.08.2026" sheetId="164" r:id="rId141"/>
    <sheet name="07.08.2026" sheetId="165" r:id="rId142"/>
    <sheet name="08.08.2026" sheetId="166" r:id="rId143"/>
    <sheet name="09.08.2026" sheetId="167" r:id="rId144"/>
    <sheet name="10.08.2026" sheetId="168" r:id="rId145"/>
    <sheet name="11.08.2026" sheetId="169" r:id="rId146"/>
    <sheet name="12.08.2026" sheetId="170" r:id="rId14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70" l="1"/>
  <c r="F9" i="170"/>
  <c r="E9" i="170"/>
  <c r="D9" i="170"/>
  <c r="C9" i="170"/>
  <c r="B9" i="170"/>
  <c r="G8" i="170"/>
  <c r="F8" i="170"/>
  <c r="E8" i="170"/>
  <c r="D8" i="170"/>
  <c r="C8" i="170"/>
  <c r="B8" i="170"/>
  <c r="G7" i="170"/>
  <c r="F7" i="170"/>
  <c r="E7" i="170"/>
  <c r="C7" i="170"/>
  <c r="G6" i="170"/>
  <c r="F6" i="170"/>
  <c r="E6" i="170"/>
  <c r="C6" i="170"/>
  <c r="C5" i="170"/>
  <c r="D5" i="170"/>
  <c r="E5" i="170"/>
  <c r="F5" i="170"/>
  <c r="G5" i="170"/>
  <c r="B5" i="170"/>
  <c r="G4" i="170"/>
  <c r="F4" i="170"/>
  <c r="E4" i="170"/>
  <c r="D4" i="170"/>
  <c r="C4" i="170"/>
  <c r="B4" i="170"/>
  <c r="BS173" i="10"/>
  <c r="AI173" i="10"/>
  <c r="Q173" i="10"/>
  <c r="I9" i="170"/>
  <c r="K8" i="170"/>
  <c r="I8" i="170"/>
  <c r="K7" i="170"/>
  <c r="I7" i="170"/>
  <c r="K6" i="170"/>
  <c r="I6" i="170"/>
  <c r="K5" i="170"/>
  <c r="I5" i="170"/>
  <c r="K4" i="170"/>
  <c r="I4" i="170"/>
  <c r="K3" i="170"/>
  <c r="I3" i="170"/>
  <c r="C9" i="169"/>
  <c r="D9" i="169"/>
  <c r="E9" i="169"/>
  <c r="F9" i="169"/>
  <c r="G9" i="169"/>
  <c r="B9" i="169"/>
  <c r="C8" i="169"/>
  <c r="D8" i="169"/>
  <c r="E8" i="169"/>
  <c r="F8" i="169"/>
  <c r="G8" i="169"/>
  <c r="B8" i="169"/>
  <c r="C7" i="169"/>
  <c r="E7" i="169"/>
  <c r="F7" i="169"/>
  <c r="G7" i="169"/>
  <c r="C6" i="169"/>
  <c r="E6" i="169"/>
  <c r="F6" i="169"/>
  <c r="G6" i="169"/>
  <c r="C5" i="169"/>
  <c r="E5" i="169"/>
  <c r="F5" i="169"/>
  <c r="G5" i="169"/>
  <c r="G4" i="169"/>
  <c r="F4" i="169"/>
  <c r="E4" i="169"/>
  <c r="D4" i="169"/>
  <c r="C4" i="169"/>
  <c r="B4" i="169"/>
  <c r="I9" i="169"/>
  <c r="I8" i="169"/>
  <c r="I7" i="169"/>
  <c r="I6" i="169"/>
  <c r="I5" i="169"/>
  <c r="I4" i="169"/>
  <c r="I3" i="169"/>
  <c r="BS172" i="10"/>
  <c r="AI172" i="10"/>
  <c r="Q172" i="10"/>
  <c r="K8" i="169"/>
  <c r="K7" i="169"/>
  <c r="K6" i="169"/>
  <c r="K5" i="169"/>
  <c r="K4" i="169"/>
  <c r="K3" i="169"/>
  <c r="G9" i="167"/>
  <c r="F9" i="167"/>
  <c r="E9" i="167"/>
  <c r="D9" i="167"/>
  <c r="C9" i="167"/>
  <c r="B9" i="167"/>
  <c r="G8" i="167"/>
  <c r="F8" i="167"/>
  <c r="E8" i="167"/>
  <c r="D8" i="167"/>
  <c r="C8" i="167"/>
  <c r="B8" i="167"/>
  <c r="C9" i="166"/>
  <c r="D9" i="166"/>
  <c r="E9" i="166"/>
  <c r="F9" i="166"/>
  <c r="G9" i="166"/>
  <c r="B9" i="166"/>
  <c r="C8" i="166"/>
  <c r="D8" i="166"/>
  <c r="E8" i="166"/>
  <c r="F8" i="166"/>
  <c r="G8" i="166"/>
  <c r="B8" i="166"/>
  <c r="C7" i="166"/>
  <c r="E7" i="166"/>
  <c r="F7" i="166"/>
  <c r="G7" i="166"/>
  <c r="C6" i="166"/>
  <c r="E6" i="166"/>
  <c r="F6" i="166"/>
  <c r="G6" i="166"/>
  <c r="C5" i="166"/>
  <c r="E5" i="166"/>
  <c r="F5" i="166"/>
  <c r="G5" i="166"/>
  <c r="G4" i="166"/>
  <c r="F4" i="166"/>
  <c r="E4" i="166"/>
  <c r="D4" i="166"/>
  <c r="C4" i="166"/>
  <c r="B4" i="166"/>
  <c r="C9" i="165"/>
  <c r="D9" i="165"/>
  <c r="E9" i="165"/>
  <c r="F9" i="165"/>
  <c r="G9" i="165"/>
  <c r="B9" i="165"/>
  <c r="C8" i="165"/>
  <c r="D8" i="165"/>
  <c r="E8" i="165"/>
  <c r="F8" i="165"/>
  <c r="G8" i="165"/>
  <c r="B8" i="165"/>
  <c r="C7" i="165"/>
  <c r="E7" i="165"/>
  <c r="F7" i="165"/>
  <c r="G7" i="165"/>
  <c r="C6" i="165"/>
  <c r="E6" i="165"/>
  <c r="F6" i="165"/>
  <c r="G6" i="165"/>
  <c r="C5" i="165"/>
  <c r="E5" i="165"/>
  <c r="F5" i="165"/>
  <c r="G5" i="165"/>
  <c r="G4" i="165"/>
  <c r="F4" i="165"/>
  <c r="E4" i="165"/>
  <c r="D4" i="165"/>
  <c r="C4" i="165"/>
  <c r="B4" i="165"/>
  <c r="BS171" i="10"/>
  <c r="BS170" i="10"/>
  <c r="BS169" i="10"/>
  <c r="AI171" i="10"/>
  <c r="AI170" i="10"/>
  <c r="AI169" i="10"/>
  <c r="Q171" i="10"/>
  <c r="Q170" i="10"/>
  <c r="Q169" i="10"/>
  <c r="BS168" i="10"/>
  <c r="AI168" i="10"/>
  <c r="Q168" i="10"/>
  <c r="I9" i="168"/>
  <c r="G9" i="168" s="1"/>
  <c r="K8" i="168"/>
  <c r="I8" i="168"/>
  <c r="G8" i="168" s="1"/>
  <c r="K7" i="168"/>
  <c r="I7" i="168"/>
  <c r="G7" i="168" s="1"/>
  <c r="K6" i="168"/>
  <c r="I6" i="168"/>
  <c r="G6" i="168" s="1"/>
  <c r="K5" i="168"/>
  <c r="I5" i="168"/>
  <c r="G5" i="168" s="1"/>
  <c r="K4" i="168"/>
  <c r="I4" i="168"/>
  <c r="G4" i="168" s="1"/>
  <c r="K3" i="168"/>
  <c r="I3" i="168"/>
  <c r="I9" i="167"/>
  <c r="K8" i="167"/>
  <c r="I8" i="167"/>
  <c r="K7" i="167"/>
  <c r="I7" i="167"/>
  <c r="G7" i="167" s="1"/>
  <c r="K6" i="167"/>
  <c r="I6" i="167"/>
  <c r="G6" i="167" s="1"/>
  <c r="K5" i="167"/>
  <c r="I5" i="167"/>
  <c r="G5" i="167" s="1"/>
  <c r="K4" i="167"/>
  <c r="I4" i="167"/>
  <c r="G4" i="167" s="1"/>
  <c r="K3" i="167"/>
  <c r="I3" i="167"/>
  <c r="I9" i="166"/>
  <c r="K8" i="166"/>
  <c r="I8" i="166"/>
  <c r="K7" i="166"/>
  <c r="I7" i="166"/>
  <c r="K6" i="166"/>
  <c r="I6" i="166"/>
  <c r="K5" i="166"/>
  <c r="I5" i="166"/>
  <c r="K4" i="166"/>
  <c r="I4" i="166"/>
  <c r="K3" i="166"/>
  <c r="I3" i="166"/>
  <c r="I9" i="165"/>
  <c r="K8" i="165"/>
  <c r="I8" i="165"/>
  <c r="K7" i="165"/>
  <c r="I7" i="165"/>
  <c r="K6" i="165"/>
  <c r="I6" i="165"/>
  <c r="K5" i="165"/>
  <c r="I5" i="165"/>
  <c r="K4" i="165"/>
  <c r="I4" i="165"/>
  <c r="K3" i="165"/>
  <c r="I3" i="165"/>
  <c r="C9" i="164"/>
  <c r="D9" i="164"/>
  <c r="E9" i="164"/>
  <c r="F9" i="164"/>
  <c r="G9" i="164"/>
  <c r="B9" i="164"/>
  <c r="C8" i="164"/>
  <c r="D8" i="164"/>
  <c r="E8" i="164"/>
  <c r="F8" i="164"/>
  <c r="G8" i="164"/>
  <c r="B8" i="164"/>
  <c r="C7" i="164"/>
  <c r="E7" i="164"/>
  <c r="F7" i="164"/>
  <c r="G7" i="164"/>
  <c r="G6" i="164"/>
  <c r="F6" i="164"/>
  <c r="E6" i="164"/>
  <c r="C6" i="164"/>
  <c r="G5" i="164"/>
  <c r="F5" i="164"/>
  <c r="E5" i="164"/>
  <c r="C5" i="164"/>
  <c r="G4" i="164"/>
  <c r="F4" i="164"/>
  <c r="E4" i="164"/>
  <c r="D4" i="164"/>
  <c r="C4" i="164"/>
  <c r="B4" i="164"/>
  <c r="BS167" i="10"/>
  <c r="AI167" i="10"/>
  <c r="Q167" i="10"/>
  <c r="I9" i="164"/>
  <c r="K8" i="164"/>
  <c r="I8" i="164"/>
  <c r="K7" i="164"/>
  <c r="I7" i="164"/>
  <c r="K6" i="164"/>
  <c r="I6" i="164"/>
  <c r="K5" i="164"/>
  <c r="I5" i="164"/>
  <c r="K4" i="164"/>
  <c r="I4" i="164"/>
  <c r="K3" i="164"/>
  <c r="I3" i="164"/>
  <c r="G5" i="163"/>
  <c r="F5" i="163"/>
  <c r="E5" i="163"/>
  <c r="C5" i="163"/>
  <c r="G7" i="163"/>
  <c r="F7" i="163"/>
  <c r="E7" i="163"/>
  <c r="C7" i="163"/>
  <c r="G8" i="163"/>
  <c r="F8" i="163"/>
  <c r="E8" i="163"/>
  <c r="D8" i="163"/>
  <c r="C8" i="163"/>
  <c r="B8" i="163"/>
  <c r="G6" i="163"/>
  <c r="F6" i="163"/>
  <c r="E6" i="163"/>
  <c r="C6" i="163"/>
  <c r="BS166" i="10"/>
  <c r="AI166" i="10"/>
  <c r="Q166" i="10"/>
  <c r="G4" i="163"/>
  <c r="I9" i="163"/>
  <c r="G9" i="163" s="1"/>
  <c r="K8" i="163"/>
  <c r="I8" i="163"/>
  <c r="K7" i="163"/>
  <c r="I7" i="163"/>
  <c r="K6" i="163"/>
  <c r="I6" i="163"/>
  <c r="K5" i="163"/>
  <c r="I5" i="163"/>
  <c r="K4" i="163"/>
  <c r="I4" i="163"/>
  <c r="F4" i="163" s="1"/>
  <c r="K3" i="163"/>
  <c r="I3" i="163"/>
  <c r="C8" i="168" l="1"/>
  <c r="D8" i="168"/>
  <c r="E9" i="168"/>
  <c r="E8" i="168"/>
  <c r="F9" i="168"/>
  <c r="B8" i="168"/>
  <c r="F8" i="168"/>
  <c r="B9" i="168"/>
  <c r="C9" i="168"/>
  <c r="D9" i="168"/>
  <c r="C5" i="168"/>
  <c r="E5" i="168"/>
  <c r="F5" i="168"/>
  <c r="C6" i="168"/>
  <c r="E6" i="168"/>
  <c r="F6" i="168"/>
  <c r="C7" i="168"/>
  <c r="E7" i="168"/>
  <c r="F7" i="168"/>
  <c r="E4" i="168"/>
  <c r="F4" i="168"/>
  <c r="B4" i="168"/>
  <c r="C4" i="168"/>
  <c r="D4" i="168"/>
  <c r="F7" i="167"/>
  <c r="C5" i="167"/>
  <c r="E5" i="167"/>
  <c r="F5" i="167"/>
  <c r="C6" i="167"/>
  <c r="E6" i="167"/>
  <c r="F6" i="167"/>
  <c r="C7" i="167"/>
  <c r="E7" i="167"/>
  <c r="D4" i="167"/>
  <c r="B4" i="167"/>
  <c r="E4" i="167"/>
  <c r="F4" i="167"/>
  <c r="C4" i="167"/>
  <c r="B9" i="163"/>
  <c r="C9" i="163"/>
  <c r="D9" i="163"/>
  <c r="E9" i="163"/>
  <c r="F9" i="163"/>
  <c r="B4" i="163"/>
  <c r="C4" i="163"/>
  <c r="E4" i="163"/>
  <c r="D4" i="163"/>
  <c r="G9" i="162"/>
  <c r="F9" i="162"/>
  <c r="E9" i="162"/>
  <c r="D9" i="162"/>
  <c r="C9" i="162"/>
  <c r="B9" i="162"/>
  <c r="G8" i="162"/>
  <c r="F8" i="162"/>
  <c r="E8" i="162"/>
  <c r="D8" i="162"/>
  <c r="C8" i="162"/>
  <c r="B8" i="162"/>
  <c r="G7" i="162"/>
  <c r="F7" i="162"/>
  <c r="E7" i="162"/>
  <c r="C7" i="162"/>
  <c r="G6" i="162"/>
  <c r="F6" i="162"/>
  <c r="E6" i="162"/>
  <c r="C6" i="162"/>
  <c r="G5" i="162"/>
  <c r="F5" i="162"/>
  <c r="E5" i="162"/>
  <c r="C5" i="162"/>
  <c r="G4" i="162"/>
  <c r="F4" i="162"/>
  <c r="E4" i="162"/>
  <c r="D4" i="162"/>
  <c r="C4" i="162"/>
  <c r="B4" i="162"/>
  <c r="BS165" i="10"/>
  <c r="AI165" i="10"/>
  <c r="Q165" i="10"/>
  <c r="I9" i="162"/>
  <c r="K8" i="162"/>
  <c r="I8" i="162"/>
  <c r="K7" i="162"/>
  <c r="I7" i="162"/>
  <c r="K6" i="162"/>
  <c r="I6" i="162"/>
  <c r="K5" i="162"/>
  <c r="I5" i="162"/>
  <c r="K4" i="162"/>
  <c r="I4" i="162"/>
  <c r="K3" i="162"/>
  <c r="I3" i="162"/>
  <c r="G5" i="161"/>
  <c r="F5" i="161"/>
  <c r="E5" i="161"/>
  <c r="C5" i="161"/>
  <c r="G6" i="161"/>
  <c r="F6" i="161"/>
  <c r="E6" i="161"/>
  <c r="C6" i="161"/>
  <c r="G7" i="161"/>
  <c r="F7" i="161"/>
  <c r="E7" i="161"/>
  <c r="C7" i="161"/>
  <c r="G8" i="161"/>
  <c r="F8" i="161"/>
  <c r="E8" i="161"/>
  <c r="D8" i="161"/>
  <c r="C8" i="161"/>
  <c r="B8" i="161"/>
  <c r="G9" i="161"/>
  <c r="F9" i="161"/>
  <c r="E9" i="161"/>
  <c r="D9" i="161"/>
  <c r="C9" i="161"/>
  <c r="B9" i="161"/>
  <c r="C9" i="160"/>
  <c r="D9" i="160"/>
  <c r="E9" i="160"/>
  <c r="F9" i="160"/>
  <c r="G9" i="160"/>
  <c r="B9" i="160"/>
  <c r="C8" i="160"/>
  <c r="D8" i="160"/>
  <c r="E8" i="160"/>
  <c r="F8" i="160"/>
  <c r="G8" i="160"/>
  <c r="B8" i="160"/>
  <c r="C7" i="160"/>
  <c r="E7" i="160"/>
  <c r="F7" i="160"/>
  <c r="G7" i="160"/>
  <c r="C6" i="160"/>
  <c r="E6" i="160"/>
  <c r="F6" i="160"/>
  <c r="G6" i="160"/>
  <c r="C5" i="160"/>
  <c r="E5" i="160"/>
  <c r="F5" i="160"/>
  <c r="G5" i="160"/>
  <c r="C9" i="159"/>
  <c r="D9" i="159"/>
  <c r="E9" i="159"/>
  <c r="F9" i="159"/>
  <c r="G9" i="159"/>
  <c r="B9" i="159"/>
  <c r="C8" i="159"/>
  <c r="D8" i="159"/>
  <c r="E8" i="159"/>
  <c r="F8" i="159"/>
  <c r="G8" i="159"/>
  <c r="B8" i="159"/>
  <c r="C7" i="159"/>
  <c r="E7" i="159"/>
  <c r="F7" i="159"/>
  <c r="G7" i="159"/>
  <c r="C6" i="159"/>
  <c r="E6" i="159"/>
  <c r="F6" i="159"/>
  <c r="G6" i="159"/>
  <c r="C5" i="159"/>
  <c r="E5" i="159"/>
  <c r="F5" i="159"/>
  <c r="G5" i="159"/>
  <c r="G4" i="159"/>
  <c r="F4" i="159"/>
  <c r="E4" i="159"/>
  <c r="D4" i="159"/>
  <c r="C4" i="159"/>
  <c r="B4" i="159"/>
  <c r="BS164" i="10"/>
  <c r="BS163" i="10"/>
  <c r="AI163" i="10"/>
  <c r="AI164" i="10"/>
  <c r="Q164" i="10"/>
  <c r="Q163" i="10"/>
  <c r="BS162" i="10" l="1"/>
  <c r="AI162" i="10"/>
  <c r="Q162" i="10"/>
  <c r="I9" i="161"/>
  <c r="K8" i="161"/>
  <c r="I8" i="161"/>
  <c r="K7" i="161"/>
  <c r="I7" i="161"/>
  <c r="K6" i="161"/>
  <c r="I6" i="161"/>
  <c r="K5" i="161"/>
  <c r="I5" i="161"/>
  <c r="K4" i="161"/>
  <c r="I4" i="161"/>
  <c r="K3" i="161"/>
  <c r="I3" i="161"/>
  <c r="I9" i="160"/>
  <c r="K8" i="160"/>
  <c r="I8" i="160"/>
  <c r="K7" i="160"/>
  <c r="I7" i="160"/>
  <c r="K6" i="160"/>
  <c r="I6" i="160"/>
  <c r="K5" i="160"/>
  <c r="I5" i="160"/>
  <c r="K4" i="160"/>
  <c r="I4" i="160"/>
  <c r="K3" i="160"/>
  <c r="I3" i="160"/>
  <c r="I9" i="159"/>
  <c r="K8" i="159"/>
  <c r="I8" i="159"/>
  <c r="K7" i="159"/>
  <c r="I7" i="159"/>
  <c r="K6" i="159"/>
  <c r="I6" i="159"/>
  <c r="K5" i="159"/>
  <c r="I5" i="159"/>
  <c r="K4" i="159"/>
  <c r="I4" i="159"/>
  <c r="K3" i="159"/>
  <c r="I3" i="159"/>
  <c r="C9" i="158"/>
  <c r="D9" i="158"/>
  <c r="E9" i="158"/>
  <c r="F9" i="158"/>
  <c r="G9" i="158"/>
  <c r="B9" i="158"/>
  <c r="C8" i="158"/>
  <c r="D8" i="158"/>
  <c r="E8" i="158"/>
  <c r="F8" i="158"/>
  <c r="G8" i="158"/>
  <c r="B8" i="158"/>
  <c r="C7" i="158"/>
  <c r="E7" i="158"/>
  <c r="F7" i="158"/>
  <c r="G7" i="158"/>
  <c r="C6" i="158"/>
  <c r="E6" i="158"/>
  <c r="F6" i="158"/>
  <c r="G6" i="158"/>
  <c r="C5" i="158"/>
  <c r="E5" i="158"/>
  <c r="F5" i="158"/>
  <c r="G5" i="158"/>
  <c r="G4" i="158"/>
  <c r="F4" i="158"/>
  <c r="E4" i="158"/>
  <c r="D4" i="158"/>
  <c r="C4" i="158"/>
  <c r="B4" i="158"/>
  <c r="BS161" i="10"/>
  <c r="AI161" i="10"/>
  <c r="Q161" i="10"/>
  <c r="I9" i="158"/>
  <c r="K8" i="158"/>
  <c r="I8" i="158"/>
  <c r="K7" i="158"/>
  <c r="I7" i="158"/>
  <c r="K6" i="158"/>
  <c r="I6" i="158"/>
  <c r="K5" i="158"/>
  <c r="I5" i="158"/>
  <c r="K4" i="158"/>
  <c r="I4" i="158"/>
  <c r="K3" i="158"/>
  <c r="I3" i="158"/>
  <c r="K8" i="157"/>
  <c r="K7" i="157"/>
  <c r="K6" i="157"/>
  <c r="K5" i="157"/>
  <c r="K4" i="157"/>
  <c r="K3" i="157"/>
  <c r="C9" i="157"/>
  <c r="D9" i="157"/>
  <c r="E9" i="157"/>
  <c r="F9" i="157"/>
  <c r="G9" i="157"/>
  <c r="B9" i="157"/>
  <c r="C8" i="157"/>
  <c r="D8" i="157"/>
  <c r="E8" i="157"/>
  <c r="F8" i="157"/>
  <c r="G8" i="157"/>
  <c r="B8" i="157"/>
  <c r="C7" i="157"/>
  <c r="E7" i="157"/>
  <c r="F7" i="157"/>
  <c r="G7" i="157"/>
  <c r="C6" i="157"/>
  <c r="E6" i="157"/>
  <c r="F6" i="157"/>
  <c r="G6" i="157"/>
  <c r="C5" i="157"/>
  <c r="E5" i="157"/>
  <c r="F5" i="157"/>
  <c r="G5" i="157"/>
  <c r="C5" i="156"/>
  <c r="E5" i="156"/>
  <c r="F5" i="156"/>
  <c r="G5" i="156"/>
  <c r="G4" i="157"/>
  <c r="F4" i="157"/>
  <c r="E4" i="157"/>
  <c r="D4" i="157"/>
  <c r="C4" i="157"/>
  <c r="B4" i="157"/>
  <c r="BS160" i="10"/>
  <c r="AI160" i="10"/>
  <c r="Q160" i="10"/>
  <c r="I9" i="157"/>
  <c r="I8" i="157"/>
  <c r="I7" i="157"/>
  <c r="I6" i="157"/>
  <c r="I5" i="157"/>
  <c r="I4" i="157"/>
  <c r="I3" i="157"/>
  <c r="C9" i="156"/>
  <c r="D9" i="156"/>
  <c r="E9" i="156"/>
  <c r="F9" i="156"/>
  <c r="G9" i="156"/>
  <c r="B9" i="156"/>
  <c r="C8" i="156"/>
  <c r="D8" i="156"/>
  <c r="E8" i="156"/>
  <c r="F8" i="156"/>
  <c r="G8" i="156"/>
  <c r="B8" i="156"/>
  <c r="C7" i="156"/>
  <c r="E7" i="156"/>
  <c r="F7" i="156"/>
  <c r="G7" i="156"/>
  <c r="C6" i="156"/>
  <c r="E6" i="156"/>
  <c r="F6" i="156"/>
  <c r="G6" i="156"/>
  <c r="G4" i="156"/>
  <c r="F4" i="156"/>
  <c r="E4" i="156"/>
  <c r="D4" i="156"/>
  <c r="C4" i="156"/>
  <c r="B4" i="156"/>
  <c r="BS159" i="10"/>
  <c r="AI159" i="10"/>
  <c r="Q159" i="10"/>
  <c r="I9" i="156"/>
  <c r="K8" i="156"/>
  <c r="I8" i="156"/>
  <c r="K7" i="156"/>
  <c r="I7" i="156"/>
  <c r="K6" i="156"/>
  <c r="I6" i="156"/>
  <c r="K5" i="156"/>
  <c r="I5" i="156"/>
  <c r="K4" i="156"/>
  <c r="I4" i="156"/>
  <c r="K3" i="156"/>
  <c r="I3" i="156"/>
  <c r="F4" i="161" l="1"/>
  <c r="E4" i="161"/>
  <c r="D4" i="161"/>
  <c r="C4" i="161"/>
  <c r="B4" i="161"/>
  <c r="G4" i="161"/>
  <c r="G4" i="160"/>
  <c r="F4" i="160"/>
  <c r="B4" i="160"/>
  <c r="E4" i="160"/>
  <c r="D4" i="160"/>
  <c r="C4" i="160"/>
  <c r="C9" i="155"/>
  <c r="D9" i="155"/>
  <c r="E9" i="155"/>
  <c r="F9" i="155"/>
  <c r="G9" i="155"/>
  <c r="B9" i="155"/>
  <c r="C8" i="155"/>
  <c r="D8" i="155"/>
  <c r="E8" i="155"/>
  <c r="F8" i="155"/>
  <c r="G8" i="155"/>
  <c r="B8" i="155"/>
  <c r="C7" i="155"/>
  <c r="E7" i="155"/>
  <c r="F7" i="155"/>
  <c r="G7" i="155"/>
  <c r="C6" i="155"/>
  <c r="E6" i="155"/>
  <c r="F6" i="155"/>
  <c r="G6" i="155"/>
  <c r="C5" i="155"/>
  <c r="E5" i="155"/>
  <c r="F5" i="155"/>
  <c r="G5" i="155"/>
  <c r="G4" i="155"/>
  <c r="F4" i="155"/>
  <c r="E4" i="155"/>
  <c r="D4" i="155"/>
  <c r="C4" i="155"/>
  <c r="B4" i="155"/>
  <c r="BS158" i="10"/>
  <c r="AI158" i="10"/>
  <c r="Q158" i="10"/>
  <c r="I9" i="155"/>
  <c r="K8" i="155"/>
  <c r="I8" i="155"/>
  <c r="K7" i="155"/>
  <c r="I7" i="155"/>
  <c r="K6" i="155"/>
  <c r="I6" i="155"/>
  <c r="K5" i="155"/>
  <c r="I5" i="155"/>
  <c r="K4" i="155"/>
  <c r="I4" i="155"/>
  <c r="K3" i="155"/>
  <c r="I3" i="155"/>
  <c r="I9" i="154"/>
  <c r="G9" i="154"/>
  <c r="F9" i="154"/>
  <c r="E9" i="154"/>
  <c r="D9" i="154"/>
  <c r="C9" i="154"/>
  <c r="B9" i="154"/>
  <c r="K8" i="154"/>
  <c r="I8" i="154"/>
  <c r="G8" i="154"/>
  <c r="F8" i="154"/>
  <c r="E8" i="154"/>
  <c r="D8" i="154"/>
  <c r="C8" i="154"/>
  <c r="B8" i="154"/>
  <c r="K7" i="154"/>
  <c r="I7" i="154"/>
  <c r="G7" i="154"/>
  <c r="F7" i="154"/>
  <c r="E7" i="154"/>
  <c r="C7" i="154"/>
  <c r="K6" i="154"/>
  <c r="I6" i="154"/>
  <c r="G6" i="154"/>
  <c r="F6" i="154"/>
  <c r="E6" i="154"/>
  <c r="C6" i="154"/>
  <c r="K5" i="154"/>
  <c r="I5" i="154"/>
  <c r="F5" i="154" s="1"/>
  <c r="G5" i="154"/>
  <c r="E5" i="154"/>
  <c r="C5" i="154"/>
  <c r="K4" i="154"/>
  <c r="I4" i="154"/>
  <c r="G4" i="154"/>
  <c r="F4" i="154"/>
  <c r="E4" i="154"/>
  <c r="D4" i="154"/>
  <c r="C4" i="154"/>
  <c r="B4" i="154"/>
  <c r="K3" i="154"/>
  <c r="I3" i="154"/>
  <c r="C9" i="153"/>
  <c r="D9" i="153"/>
  <c r="E9" i="153"/>
  <c r="F9" i="153"/>
  <c r="G9" i="153"/>
  <c r="B9" i="153"/>
  <c r="C8" i="153"/>
  <c r="D8" i="153"/>
  <c r="E8" i="153"/>
  <c r="F8" i="153"/>
  <c r="G8" i="153"/>
  <c r="B8" i="153"/>
  <c r="C7" i="153"/>
  <c r="E7" i="153"/>
  <c r="F7" i="153"/>
  <c r="G7" i="153"/>
  <c r="C6" i="153"/>
  <c r="E6" i="153"/>
  <c r="F6" i="153"/>
  <c r="G6" i="153"/>
  <c r="C5" i="153"/>
  <c r="E5" i="153"/>
  <c r="F5" i="153"/>
  <c r="G5" i="153"/>
  <c r="C4" i="153"/>
  <c r="D4" i="153"/>
  <c r="E4" i="153"/>
  <c r="F4" i="153"/>
  <c r="G4" i="153"/>
  <c r="B4" i="153"/>
  <c r="K8" i="152"/>
  <c r="K7" i="152"/>
  <c r="K6" i="152"/>
  <c r="K5" i="152"/>
  <c r="K4" i="152"/>
  <c r="K3" i="152"/>
  <c r="C9" i="152"/>
  <c r="D9" i="152"/>
  <c r="E9" i="152"/>
  <c r="F9" i="152"/>
  <c r="G9" i="152"/>
  <c r="B9" i="152"/>
  <c r="C8" i="152"/>
  <c r="D8" i="152"/>
  <c r="E8" i="152"/>
  <c r="F8" i="152"/>
  <c r="G8" i="152"/>
  <c r="B8" i="152"/>
  <c r="C7" i="152"/>
  <c r="E7" i="152"/>
  <c r="F7" i="152"/>
  <c r="G7" i="152"/>
  <c r="C6" i="152"/>
  <c r="E6" i="152"/>
  <c r="F6" i="152"/>
  <c r="G6" i="152"/>
  <c r="C5" i="152"/>
  <c r="E5" i="152"/>
  <c r="F5" i="152"/>
  <c r="G5" i="152"/>
  <c r="G4" i="151"/>
  <c r="F4" i="151"/>
  <c r="E4" i="151"/>
  <c r="D4" i="151"/>
  <c r="C4" i="151"/>
  <c r="B4" i="151"/>
  <c r="I9" i="153"/>
  <c r="K8" i="153"/>
  <c r="I8" i="153"/>
  <c r="K7" i="153"/>
  <c r="I7" i="153"/>
  <c r="K6" i="153"/>
  <c r="I6" i="153"/>
  <c r="K5" i="153"/>
  <c r="I5" i="153"/>
  <c r="K4" i="153"/>
  <c r="I4" i="153"/>
  <c r="K3" i="153"/>
  <c r="I3" i="153"/>
  <c r="I9" i="152"/>
  <c r="I8" i="152"/>
  <c r="I7" i="152"/>
  <c r="I6" i="152"/>
  <c r="I5" i="152"/>
  <c r="I4" i="152"/>
  <c r="G4" i="152" s="1"/>
  <c r="I3" i="152"/>
  <c r="BS157" i="10"/>
  <c r="BS156" i="10"/>
  <c r="BS155" i="10"/>
  <c r="BA156" i="10"/>
  <c r="C9" i="151"/>
  <c r="D9" i="151"/>
  <c r="E9" i="151"/>
  <c r="F9" i="151"/>
  <c r="G9" i="151"/>
  <c r="B9" i="151"/>
  <c r="C8" i="151"/>
  <c r="D8" i="151"/>
  <c r="E8" i="151"/>
  <c r="F8" i="151"/>
  <c r="G8" i="151"/>
  <c r="B8" i="151"/>
  <c r="C7" i="151"/>
  <c r="E7" i="151"/>
  <c r="F7" i="151"/>
  <c r="G7" i="151"/>
  <c r="C6" i="151"/>
  <c r="E6" i="151"/>
  <c r="F6" i="151"/>
  <c r="G6" i="151"/>
  <c r="C5" i="151"/>
  <c r="E5" i="151"/>
  <c r="F5" i="151"/>
  <c r="G5" i="151"/>
  <c r="BS154" i="10"/>
  <c r="I9" i="151"/>
  <c r="K8" i="151"/>
  <c r="I8" i="151"/>
  <c r="K7" i="151"/>
  <c r="I7" i="151"/>
  <c r="K6" i="151"/>
  <c r="I6" i="151"/>
  <c r="K5" i="151"/>
  <c r="I5" i="151"/>
  <c r="K4" i="151"/>
  <c r="I4" i="151"/>
  <c r="K3" i="151"/>
  <c r="I3" i="151"/>
  <c r="K8" i="150"/>
  <c r="K7" i="150"/>
  <c r="K6" i="150"/>
  <c r="K5" i="150"/>
  <c r="K4" i="150"/>
  <c r="K3" i="150"/>
  <c r="C9" i="150"/>
  <c r="D9" i="150"/>
  <c r="E9" i="150"/>
  <c r="F9" i="150"/>
  <c r="G9" i="150"/>
  <c r="B9" i="150"/>
  <c r="C8" i="150"/>
  <c r="D8" i="150"/>
  <c r="E8" i="150"/>
  <c r="F8" i="150"/>
  <c r="G8" i="150"/>
  <c r="B8" i="150"/>
  <c r="C7" i="150"/>
  <c r="E7" i="150"/>
  <c r="F7" i="150"/>
  <c r="G7" i="150"/>
  <c r="C6" i="150"/>
  <c r="E6" i="150"/>
  <c r="F6" i="150"/>
  <c r="G6" i="150"/>
  <c r="C5" i="150"/>
  <c r="E5" i="150"/>
  <c r="F5" i="150"/>
  <c r="G5" i="150"/>
  <c r="G4" i="150"/>
  <c r="F4" i="150"/>
  <c r="E4" i="150"/>
  <c r="D4" i="150"/>
  <c r="C4" i="150"/>
  <c r="B4" i="150"/>
  <c r="BS153" i="10"/>
  <c r="AI154" i="10"/>
  <c r="AI155" i="10"/>
  <c r="AI156" i="10"/>
  <c r="AI157" i="10"/>
  <c r="AI153" i="10"/>
  <c r="I9" i="150"/>
  <c r="I8" i="150"/>
  <c r="I7" i="150"/>
  <c r="I6" i="150"/>
  <c r="I5" i="150"/>
  <c r="I4" i="150"/>
  <c r="I3" i="150"/>
  <c r="K8" i="149"/>
  <c r="K7" i="149"/>
  <c r="K6" i="149"/>
  <c r="K5" i="149"/>
  <c r="K4" i="149"/>
  <c r="K3" i="149"/>
  <c r="C9" i="149"/>
  <c r="D9" i="149"/>
  <c r="E9" i="149"/>
  <c r="F9" i="149"/>
  <c r="G9" i="149"/>
  <c r="B9" i="149"/>
  <c r="C8" i="149"/>
  <c r="D8" i="149"/>
  <c r="E8" i="149"/>
  <c r="F8" i="149"/>
  <c r="G8" i="149"/>
  <c r="B8" i="149"/>
  <c r="C7" i="149"/>
  <c r="E7" i="149"/>
  <c r="F7" i="149"/>
  <c r="G7" i="149"/>
  <c r="C6" i="149"/>
  <c r="E6" i="149"/>
  <c r="F6" i="149"/>
  <c r="G6" i="149"/>
  <c r="C5" i="149"/>
  <c r="E5" i="149"/>
  <c r="F5" i="149"/>
  <c r="G5" i="149"/>
  <c r="C4" i="149"/>
  <c r="D4" i="149"/>
  <c r="E4" i="149"/>
  <c r="F4" i="149"/>
  <c r="G4" i="149"/>
  <c r="B4" i="149"/>
  <c r="BS152" i="10"/>
  <c r="B4" i="152" l="1"/>
  <c r="C4" i="152"/>
  <c r="D4" i="152"/>
  <c r="E4" i="152"/>
  <c r="F4" i="152"/>
  <c r="AI152" i="10"/>
  <c r="BA153" i="10" l="1"/>
  <c r="BA154" i="10"/>
  <c r="BA155" i="10"/>
  <c r="Q153" i="10"/>
  <c r="Q154" i="10"/>
  <c r="Q155" i="10"/>
  <c r="Q156" i="10"/>
  <c r="Q157" i="10"/>
  <c r="I9" i="149"/>
  <c r="I8" i="149"/>
  <c r="I7" i="149"/>
  <c r="I6" i="149"/>
  <c r="I5" i="149"/>
  <c r="I4" i="149"/>
  <c r="I3" i="149"/>
  <c r="K9" i="148"/>
  <c r="K8" i="148"/>
  <c r="K7" i="148"/>
  <c r="K6" i="148"/>
  <c r="K5" i="148"/>
  <c r="K4" i="148"/>
  <c r="K3" i="148"/>
  <c r="C9" i="148"/>
  <c r="D9" i="148"/>
  <c r="E9" i="148"/>
  <c r="F9" i="148"/>
  <c r="G9" i="148"/>
  <c r="B9" i="148"/>
  <c r="C8" i="148"/>
  <c r="D8" i="148"/>
  <c r="E8" i="148"/>
  <c r="F8" i="148"/>
  <c r="G8" i="148"/>
  <c r="B8" i="148"/>
  <c r="C7" i="148"/>
  <c r="E7" i="148"/>
  <c r="F7" i="148"/>
  <c r="G7" i="148"/>
  <c r="C6" i="148"/>
  <c r="E6" i="148"/>
  <c r="F6" i="148"/>
  <c r="G6" i="148"/>
  <c r="C5" i="148"/>
  <c r="E5" i="148"/>
  <c r="F5" i="148"/>
  <c r="G5" i="148"/>
  <c r="C4" i="148"/>
  <c r="D4" i="148"/>
  <c r="E4" i="148"/>
  <c r="F4" i="148"/>
  <c r="G4" i="148"/>
  <c r="B4" i="148"/>
  <c r="BS151" i="10"/>
  <c r="AI151" i="10"/>
  <c r="I9" i="148"/>
  <c r="I8" i="148"/>
  <c r="I7" i="148"/>
  <c r="I6" i="148"/>
  <c r="I5" i="148"/>
  <c r="I4" i="148"/>
  <c r="I3" i="148"/>
  <c r="C9" i="147" l="1"/>
  <c r="D9" i="147"/>
  <c r="E9" i="147"/>
  <c r="F9" i="147"/>
  <c r="G9" i="147"/>
  <c r="B9" i="147"/>
  <c r="C8" i="147"/>
  <c r="D8" i="147"/>
  <c r="E8" i="147"/>
  <c r="F8" i="147"/>
  <c r="G8" i="147"/>
  <c r="B8" i="147"/>
  <c r="C7" i="147"/>
  <c r="E7" i="147"/>
  <c r="F7" i="147"/>
  <c r="G7" i="147"/>
  <c r="C6" i="147"/>
  <c r="E6" i="147"/>
  <c r="F6" i="147"/>
  <c r="G6" i="147"/>
  <c r="C5" i="147"/>
  <c r="E5" i="147"/>
  <c r="F5" i="147"/>
  <c r="G5" i="147"/>
  <c r="G4" i="147"/>
  <c r="F4" i="147"/>
  <c r="E4" i="147"/>
  <c r="D4" i="147"/>
  <c r="C4" i="147"/>
  <c r="B4" i="147"/>
  <c r="C9" i="146"/>
  <c r="D9" i="146"/>
  <c r="E9" i="146"/>
  <c r="F9" i="146"/>
  <c r="G9" i="146"/>
  <c r="B9" i="146"/>
  <c r="C8" i="146"/>
  <c r="D8" i="146"/>
  <c r="E8" i="146"/>
  <c r="F8" i="146"/>
  <c r="G8" i="146"/>
  <c r="B8" i="146"/>
  <c r="C7" i="146"/>
  <c r="E7" i="146"/>
  <c r="F7" i="146"/>
  <c r="G7" i="146"/>
  <c r="C6" i="146"/>
  <c r="E6" i="146"/>
  <c r="F6" i="146"/>
  <c r="G6" i="146"/>
  <c r="C5" i="146"/>
  <c r="E5" i="146"/>
  <c r="F5" i="146"/>
  <c r="G5" i="146"/>
  <c r="G4" i="146"/>
  <c r="F4" i="146"/>
  <c r="E4" i="146"/>
  <c r="D4" i="146"/>
  <c r="C4" i="146"/>
  <c r="B4" i="146"/>
  <c r="C9" i="145"/>
  <c r="D9" i="145"/>
  <c r="E9" i="145"/>
  <c r="F9" i="145"/>
  <c r="G9" i="145"/>
  <c r="B9" i="145"/>
  <c r="C8" i="145"/>
  <c r="D8" i="145"/>
  <c r="E8" i="145"/>
  <c r="F8" i="145"/>
  <c r="G8" i="145"/>
  <c r="B8" i="145"/>
  <c r="C7" i="145"/>
  <c r="E7" i="145"/>
  <c r="F7" i="145"/>
  <c r="G7" i="145"/>
  <c r="C6" i="145"/>
  <c r="E6" i="145"/>
  <c r="F6" i="145"/>
  <c r="G6" i="145"/>
  <c r="C5" i="145"/>
  <c r="E5" i="145"/>
  <c r="F5" i="145"/>
  <c r="G5" i="145"/>
  <c r="G4" i="145"/>
  <c r="F4" i="145"/>
  <c r="E4" i="145"/>
  <c r="D4" i="145"/>
  <c r="C4" i="145"/>
  <c r="B4" i="145"/>
  <c r="BS150" i="10"/>
  <c r="BS149" i="10"/>
  <c r="BS148" i="10"/>
  <c r="AI148" i="10"/>
  <c r="AI149" i="10"/>
  <c r="AI150" i="10"/>
  <c r="I9" i="147"/>
  <c r="K8" i="147"/>
  <c r="I8" i="147"/>
  <c r="K7" i="147"/>
  <c r="I7" i="147"/>
  <c r="K6" i="147"/>
  <c r="I6" i="147"/>
  <c r="K5" i="147"/>
  <c r="I5" i="147"/>
  <c r="K4" i="147"/>
  <c r="I4" i="147"/>
  <c r="K3" i="147"/>
  <c r="I3" i="147"/>
  <c r="I9" i="146"/>
  <c r="K8" i="146"/>
  <c r="I8" i="146"/>
  <c r="K7" i="146"/>
  <c r="I7" i="146"/>
  <c r="K6" i="146"/>
  <c r="I6" i="146"/>
  <c r="K5" i="146"/>
  <c r="I5" i="146"/>
  <c r="K4" i="146"/>
  <c r="I4" i="146"/>
  <c r="K3" i="146"/>
  <c r="I3" i="146"/>
  <c r="I9" i="145"/>
  <c r="K8" i="145"/>
  <c r="I8" i="145"/>
  <c r="K7" i="145"/>
  <c r="I7" i="145"/>
  <c r="K6" i="145"/>
  <c r="I6" i="145"/>
  <c r="K5" i="145"/>
  <c r="I5" i="145"/>
  <c r="K4" i="145"/>
  <c r="I4" i="145"/>
  <c r="K3" i="145"/>
  <c r="I3" i="145"/>
  <c r="C9" i="144"/>
  <c r="D9" i="144"/>
  <c r="E9" i="144"/>
  <c r="F9" i="144"/>
  <c r="G9" i="144"/>
  <c r="B9" i="144"/>
  <c r="F8" i="144"/>
  <c r="G8" i="144"/>
  <c r="B8" i="144"/>
  <c r="C7" i="144"/>
  <c r="D7" i="144"/>
  <c r="E7" i="144"/>
  <c r="F7" i="144"/>
  <c r="G7" i="144"/>
  <c r="B7" i="144"/>
  <c r="B6" i="144"/>
  <c r="C6" i="144"/>
  <c r="D6" i="144"/>
  <c r="E6" i="144"/>
  <c r="F6" i="144"/>
  <c r="G6" i="144"/>
  <c r="C5" i="144"/>
  <c r="D5" i="144"/>
  <c r="E5" i="144"/>
  <c r="F5" i="144"/>
  <c r="G5" i="144"/>
  <c r="B5" i="144"/>
  <c r="G4" i="144"/>
  <c r="F4" i="144"/>
  <c r="E4" i="144"/>
  <c r="D4" i="144"/>
  <c r="C4" i="144"/>
  <c r="B4" i="144"/>
  <c r="BS147" i="10"/>
  <c r="AI147" i="10"/>
  <c r="BA147" i="10"/>
  <c r="BA148" i="10"/>
  <c r="BA149" i="10"/>
  <c r="BA150" i="10"/>
  <c r="BA151" i="10"/>
  <c r="BA152" i="10"/>
  <c r="Q147" i="10"/>
  <c r="Q148" i="10"/>
  <c r="Q149" i="10"/>
  <c r="Q150" i="10"/>
  <c r="Q151" i="10"/>
  <c r="Q152" i="10"/>
  <c r="I9" i="144"/>
  <c r="K8" i="144"/>
  <c r="I8" i="144"/>
  <c r="C8" i="144" s="1"/>
  <c r="K7" i="144"/>
  <c r="I7" i="144"/>
  <c r="K6" i="144"/>
  <c r="I6" i="144"/>
  <c r="K5" i="144"/>
  <c r="I5" i="144"/>
  <c r="K4" i="144"/>
  <c r="I4" i="144"/>
  <c r="K3" i="144"/>
  <c r="I3" i="144"/>
  <c r="K8" i="143"/>
  <c r="K7" i="143"/>
  <c r="K6" i="143"/>
  <c r="K5" i="143"/>
  <c r="K4" i="143"/>
  <c r="K3" i="143"/>
  <c r="C5" i="142"/>
  <c r="C9" i="142"/>
  <c r="D9" i="142"/>
  <c r="E9" i="142"/>
  <c r="F9" i="142"/>
  <c r="G9" i="142"/>
  <c r="B9" i="142"/>
  <c r="C9" i="143"/>
  <c r="D9" i="143"/>
  <c r="E9" i="143"/>
  <c r="F9" i="143"/>
  <c r="G9" i="143"/>
  <c r="B9" i="143"/>
  <c r="C8" i="143"/>
  <c r="D8" i="143"/>
  <c r="E8" i="143"/>
  <c r="F8" i="143"/>
  <c r="G8" i="143"/>
  <c r="B8" i="143"/>
  <c r="C7" i="143"/>
  <c r="E7" i="143"/>
  <c r="F7" i="143"/>
  <c r="G7" i="143"/>
  <c r="C6" i="143"/>
  <c r="E6" i="143"/>
  <c r="F6" i="143"/>
  <c r="G6" i="143"/>
  <c r="C5" i="143"/>
  <c r="E5" i="143"/>
  <c r="F5" i="143"/>
  <c r="G5" i="143"/>
  <c r="C8" i="142"/>
  <c r="D8" i="142"/>
  <c r="E8" i="142"/>
  <c r="F8" i="142"/>
  <c r="G8" i="142"/>
  <c r="B8" i="142"/>
  <c r="C7" i="142"/>
  <c r="E7" i="142"/>
  <c r="F7" i="142"/>
  <c r="G7" i="142"/>
  <c r="C6" i="142"/>
  <c r="E6" i="142"/>
  <c r="F6" i="142"/>
  <c r="G6" i="142"/>
  <c r="E5" i="142"/>
  <c r="F5" i="142"/>
  <c r="G5" i="142"/>
  <c r="G4" i="143"/>
  <c r="F4" i="143"/>
  <c r="E4" i="143"/>
  <c r="D4" i="143"/>
  <c r="C4" i="143"/>
  <c r="B4" i="143"/>
  <c r="G4" i="142"/>
  <c r="F4" i="142"/>
  <c r="E4" i="142"/>
  <c r="D4" i="142"/>
  <c r="C4" i="142"/>
  <c r="B4" i="142"/>
  <c r="AI145" i="10"/>
  <c r="AI146" i="10"/>
  <c r="I9" i="143"/>
  <c r="I8" i="143"/>
  <c r="I7" i="143"/>
  <c r="I6" i="143"/>
  <c r="I5" i="143"/>
  <c r="I4" i="143"/>
  <c r="I3" i="143"/>
  <c r="I9" i="142"/>
  <c r="K8" i="142"/>
  <c r="I8" i="142"/>
  <c r="K7" i="142"/>
  <c r="I7" i="142"/>
  <c r="K6" i="142"/>
  <c r="I6" i="142"/>
  <c r="K5" i="142"/>
  <c r="I5" i="142"/>
  <c r="K4" i="142"/>
  <c r="I4" i="142"/>
  <c r="K3" i="142"/>
  <c r="I3" i="142"/>
  <c r="K8" i="141"/>
  <c r="K7" i="141"/>
  <c r="K6" i="141"/>
  <c r="K5" i="141"/>
  <c r="K4" i="141"/>
  <c r="K3" i="141"/>
  <c r="C8" i="141"/>
  <c r="D8" i="141"/>
  <c r="E8" i="141"/>
  <c r="F8" i="141"/>
  <c r="G8" i="141"/>
  <c r="C9" i="141"/>
  <c r="D9" i="141"/>
  <c r="E9" i="141"/>
  <c r="F9" i="141"/>
  <c r="G9" i="141"/>
  <c r="B9" i="141"/>
  <c r="B8" i="141"/>
  <c r="C7" i="141"/>
  <c r="E7" i="141"/>
  <c r="F7" i="141"/>
  <c r="G7" i="141"/>
  <c r="C6" i="141"/>
  <c r="E6" i="141"/>
  <c r="F6" i="141"/>
  <c r="G6" i="141"/>
  <c r="C5" i="141"/>
  <c r="E5" i="141"/>
  <c r="F5" i="141"/>
  <c r="G5" i="141"/>
  <c r="G4" i="141"/>
  <c r="F4" i="141"/>
  <c r="E4" i="141"/>
  <c r="D4" i="141"/>
  <c r="C4" i="141"/>
  <c r="B4" i="141"/>
  <c r="E8" i="144" l="1"/>
  <c r="D8" i="144"/>
  <c r="I9" i="141"/>
  <c r="I8" i="141"/>
  <c r="I7" i="141"/>
  <c r="I6" i="141"/>
  <c r="I5" i="141"/>
  <c r="I4" i="141"/>
  <c r="I3" i="141"/>
  <c r="I9" i="140" l="1"/>
  <c r="G9" i="140"/>
  <c r="F9" i="140"/>
  <c r="E9" i="140"/>
  <c r="D9" i="140"/>
  <c r="C9" i="140"/>
  <c r="B9" i="140"/>
  <c r="K8" i="140"/>
  <c r="I8" i="140"/>
  <c r="E8" i="140" s="1"/>
  <c r="K7" i="140"/>
  <c r="I7" i="140"/>
  <c r="G7" i="140"/>
  <c r="F7" i="140"/>
  <c r="E7" i="140"/>
  <c r="C7" i="140"/>
  <c r="K6" i="140"/>
  <c r="I6" i="140"/>
  <c r="G6" i="140"/>
  <c r="F6" i="140"/>
  <c r="E6" i="140"/>
  <c r="C6" i="140"/>
  <c r="K5" i="140"/>
  <c r="I5" i="140"/>
  <c r="G5" i="140"/>
  <c r="F5" i="140"/>
  <c r="E5" i="140"/>
  <c r="C5" i="140"/>
  <c r="K4" i="140"/>
  <c r="I4" i="140"/>
  <c r="G4" i="140"/>
  <c r="F4" i="140"/>
  <c r="E4" i="140"/>
  <c r="D4" i="140"/>
  <c r="C4" i="140"/>
  <c r="B4" i="140"/>
  <c r="K3" i="140"/>
  <c r="I3" i="140"/>
  <c r="C9" i="139"/>
  <c r="D9" i="139"/>
  <c r="E9" i="139"/>
  <c r="F9" i="139"/>
  <c r="G9" i="139"/>
  <c r="B9" i="139"/>
  <c r="C8" i="139"/>
  <c r="D8" i="139"/>
  <c r="E8" i="139"/>
  <c r="F8" i="139"/>
  <c r="G8" i="139"/>
  <c r="B8" i="139"/>
  <c r="C7" i="139"/>
  <c r="E7" i="139"/>
  <c r="F7" i="139"/>
  <c r="G7" i="139"/>
  <c r="C6" i="139"/>
  <c r="E6" i="139"/>
  <c r="F6" i="139"/>
  <c r="G6" i="139"/>
  <c r="C5" i="139"/>
  <c r="E5" i="139"/>
  <c r="F5" i="139"/>
  <c r="G5" i="139"/>
  <c r="G4" i="139"/>
  <c r="F4" i="139"/>
  <c r="E4" i="139"/>
  <c r="D4" i="139"/>
  <c r="C4" i="139"/>
  <c r="B4" i="139"/>
  <c r="C9" i="138"/>
  <c r="D9" i="138"/>
  <c r="E9" i="138"/>
  <c r="F9" i="138"/>
  <c r="G9" i="138"/>
  <c r="B9" i="138"/>
  <c r="C8" i="138"/>
  <c r="D8" i="138"/>
  <c r="E8" i="138"/>
  <c r="F8" i="138"/>
  <c r="G8" i="138"/>
  <c r="B8" i="138"/>
  <c r="C7" i="138"/>
  <c r="E7" i="138"/>
  <c r="F7" i="138"/>
  <c r="G7" i="138"/>
  <c r="C6" i="138"/>
  <c r="E6" i="138"/>
  <c r="F6" i="138"/>
  <c r="G6" i="138"/>
  <c r="C5" i="138"/>
  <c r="E5" i="138"/>
  <c r="F5" i="138"/>
  <c r="G5" i="138"/>
  <c r="G4" i="138"/>
  <c r="F4" i="138"/>
  <c r="E4" i="138"/>
  <c r="D4" i="138"/>
  <c r="C4" i="138"/>
  <c r="B4" i="138"/>
  <c r="AI142" i="10"/>
  <c r="AI143" i="10"/>
  <c r="AI144" i="10"/>
  <c r="BS142" i="10"/>
  <c r="BS143" i="10"/>
  <c r="BS144" i="10"/>
  <c r="BS145" i="10"/>
  <c r="BS146" i="10"/>
  <c r="BA142" i="10"/>
  <c r="BA143" i="10"/>
  <c r="BA144" i="10"/>
  <c r="BA145" i="10"/>
  <c r="BA146" i="10"/>
  <c r="Q142" i="10"/>
  <c r="Q143" i="10"/>
  <c r="Q144" i="10"/>
  <c r="Q145" i="10"/>
  <c r="Q146" i="10"/>
  <c r="I9" i="139"/>
  <c r="K8" i="139"/>
  <c r="I8" i="139"/>
  <c r="K7" i="139"/>
  <c r="I7" i="139"/>
  <c r="K6" i="139"/>
  <c r="I6" i="139"/>
  <c r="K5" i="139"/>
  <c r="I5" i="139"/>
  <c r="K4" i="139"/>
  <c r="I4" i="139"/>
  <c r="K3" i="139"/>
  <c r="I3" i="139"/>
  <c r="I9" i="138"/>
  <c r="K8" i="138"/>
  <c r="I8" i="138"/>
  <c r="K7" i="138"/>
  <c r="I7" i="138"/>
  <c r="K6" i="138"/>
  <c r="I6" i="138"/>
  <c r="K5" i="138"/>
  <c r="I5" i="138"/>
  <c r="K4" i="138"/>
  <c r="I4" i="138"/>
  <c r="K3" i="138"/>
  <c r="I3" i="138"/>
  <c r="K8" i="137"/>
  <c r="K7" i="137"/>
  <c r="K6" i="137"/>
  <c r="K5" i="137"/>
  <c r="K4" i="137"/>
  <c r="K3" i="137"/>
  <c r="C9" i="137"/>
  <c r="D9" i="137"/>
  <c r="E9" i="137"/>
  <c r="F9" i="137"/>
  <c r="G9" i="137"/>
  <c r="B9" i="137"/>
  <c r="C8" i="137"/>
  <c r="D8" i="137"/>
  <c r="E8" i="137"/>
  <c r="F8" i="137"/>
  <c r="G8" i="137"/>
  <c r="B8" i="137"/>
  <c r="C7" i="137"/>
  <c r="E7" i="137"/>
  <c r="F7" i="137"/>
  <c r="G7" i="137"/>
  <c r="C6" i="137"/>
  <c r="E6" i="137"/>
  <c r="F6" i="137"/>
  <c r="G6" i="137"/>
  <c r="C5" i="137"/>
  <c r="E5" i="137"/>
  <c r="F5" i="137"/>
  <c r="G5" i="137"/>
  <c r="G4" i="137"/>
  <c r="F4" i="137"/>
  <c r="E4" i="137"/>
  <c r="D4" i="137"/>
  <c r="C4" i="137"/>
  <c r="B4" i="137"/>
  <c r="I9" i="137"/>
  <c r="I8" i="137"/>
  <c r="I7" i="137"/>
  <c r="I6" i="137"/>
  <c r="I5" i="137"/>
  <c r="I4" i="137"/>
  <c r="I3" i="137"/>
  <c r="K7" i="136"/>
  <c r="K8" i="136"/>
  <c r="K6" i="136"/>
  <c r="K5" i="136"/>
  <c r="K4" i="136"/>
  <c r="K3" i="136"/>
  <c r="B8" i="136"/>
  <c r="C9" i="136"/>
  <c r="D9" i="136"/>
  <c r="E9" i="136"/>
  <c r="F9" i="136"/>
  <c r="G9" i="136"/>
  <c r="B9" i="136"/>
  <c r="C8" i="136"/>
  <c r="D8" i="136"/>
  <c r="E8" i="136"/>
  <c r="F8" i="136"/>
  <c r="G8" i="136"/>
  <c r="C7" i="136"/>
  <c r="E7" i="136"/>
  <c r="F7" i="136"/>
  <c r="G7" i="136"/>
  <c r="C6" i="136"/>
  <c r="E6" i="136"/>
  <c r="F6" i="136"/>
  <c r="G6" i="136"/>
  <c r="C5" i="136"/>
  <c r="E5" i="136"/>
  <c r="F5" i="136"/>
  <c r="G5" i="136"/>
  <c r="G4" i="136"/>
  <c r="F4" i="136"/>
  <c r="E4" i="136"/>
  <c r="D4" i="136"/>
  <c r="C4" i="136"/>
  <c r="B4" i="136"/>
  <c r="F8" i="140" l="1"/>
  <c r="B8" i="140"/>
  <c r="C8" i="140"/>
  <c r="D8" i="140"/>
  <c r="G8" i="140"/>
  <c r="I9" i="136"/>
  <c r="I8" i="136"/>
  <c r="I7" i="136"/>
  <c r="I6" i="136"/>
  <c r="I5" i="136"/>
  <c r="I4" i="136"/>
  <c r="I3" i="136"/>
  <c r="K8" i="135"/>
  <c r="K7" i="135"/>
  <c r="K6" i="135"/>
  <c r="K5" i="135"/>
  <c r="K4" i="135"/>
  <c r="K3" i="135"/>
  <c r="C9" i="135"/>
  <c r="D9" i="135"/>
  <c r="E9" i="135"/>
  <c r="F9" i="135"/>
  <c r="G9" i="135"/>
  <c r="B9" i="135"/>
  <c r="C8" i="135"/>
  <c r="D8" i="135"/>
  <c r="E8" i="135"/>
  <c r="F8" i="135"/>
  <c r="G8" i="135"/>
  <c r="B8" i="135"/>
  <c r="C7" i="135"/>
  <c r="E7" i="135"/>
  <c r="F7" i="135"/>
  <c r="G7" i="135"/>
  <c r="C6" i="135"/>
  <c r="E6" i="135"/>
  <c r="F6" i="135"/>
  <c r="G6" i="135"/>
  <c r="C5" i="135"/>
  <c r="E5" i="135"/>
  <c r="F5" i="135"/>
  <c r="G5" i="135"/>
  <c r="G4" i="135"/>
  <c r="F4" i="135"/>
  <c r="E4" i="135"/>
  <c r="D4" i="135"/>
  <c r="C4" i="135"/>
  <c r="B4" i="135"/>
  <c r="I9" i="135"/>
  <c r="I8" i="135"/>
  <c r="I7" i="135"/>
  <c r="I6" i="135"/>
  <c r="I5" i="135"/>
  <c r="I4" i="135"/>
  <c r="I3" i="135"/>
  <c r="K8" i="134"/>
  <c r="K7" i="134"/>
  <c r="K6" i="134"/>
  <c r="K5" i="134"/>
  <c r="K4" i="134"/>
  <c r="K3" i="134"/>
  <c r="C9" i="134"/>
  <c r="D9" i="134"/>
  <c r="E9" i="134"/>
  <c r="F9" i="134"/>
  <c r="G9" i="134"/>
  <c r="B9" i="134"/>
  <c r="C8" i="134"/>
  <c r="D8" i="134"/>
  <c r="E8" i="134"/>
  <c r="F8" i="134"/>
  <c r="G8" i="134"/>
  <c r="B8" i="134"/>
  <c r="C7" i="134"/>
  <c r="E7" i="134"/>
  <c r="F7" i="134"/>
  <c r="G7" i="134"/>
  <c r="C6" i="134"/>
  <c r="E6" i="134"/>
  <c r="F6" i="134"/>
  <c r="G6" i="134"/>
  <c r="C5" i="134"/>
  <c r="E5" i="134"/>
  <c r="F5" i="134"/>
  <c r="G5" i="134"/>
  <c r="G4" i="134"/>
  <c r="F4" i="134"/>
  <c r="E4" i="134"/>
  <c r="D4" i="134"/>
  <c r="C4" i="134"/>
  <c r="B4" i="134"/>
  <c r="I9" i="134"/>
  <c r="I8" i="134"/>
  <c r="I7" i="134"/>
  <c r="I6" i="134"/>
  <c r="I5" i="134"/>
  <c r="I4" i="134"/>
  <c r="I3" i="134"/>
  <c r="C9" i="133"/>
  <c r="D9" i="133"/>
  <c r="E9" i="133"/>
  <c r="F9" i="133"/>
  <c r="G9" i="133"/>
  <c r="B9" i="133"/>
  <c r="C8" i="133"/>
  <c r="D8" i="133"/>
  <c r="E8" i="133"/>
  <c r="F8" i="133"/>
  <c r="G8" i="133"/>
  <c r="B8" i="133"/>
  <c r="C7" i="133"/>
  <c r="E7" i="133"/>
  <c r="F7" i="133"/>
  <c r="G7" i="133"/>
  <c r="C6" i="133"/>
  <c r="E6" i="133"/>
  <c r="F6" i="133"/>
  <c r="G6" i="133"/>
  <c r="G4" i="133"/>
  <c r="C5" i="133"/>
  <c r="E5" i="133"/>
  <c r="F5" i="133"/>
  <c r="G5" i="133"/>
  <c r="C4" i="133"/>
  <c r="D4" i="133"/>
  <c r="E4" i="133"/>
  <c r="F4" i="133"/>
  <c r="B4" i="133"/>
  <c r="I9" i="133"/>
  <c r="K8" i="133"/>
  <c r="I8" i="133"/>
  <c r="K7" i="133"/>
  <c r="I7" i="133"/>
  <c r="K6" i="133"/>
  <c r="I6" i="133"/>
  <c r="K5" i="133"/>
  <c r="I5" i="133"/>
  <c r="K4" i="133"/>
  <c r="I4" i="133"/>
  <c r="K3" i="133"/>
  <c r="I3" i="133"/>
  <c r="C9" i="132"/>
  <c r="D9" i="132"/>
  <c r="E9" i="132"/>
  <c r="F9" i="132"/>
  <c r="G9" i="132"/>
  <c r="B9" i="132"/>
  <c r="C7" i="132"/>
  <c r="E7" i="132"/>
  <c r="F7" i="132"/>
  <c r="G7" i="132"/>
  <c r="G8" i="132"/>
  <c r="C8" i="132"/>
  <c r="D8" i="132"/>
  <c r="E8" i="132"/>
  <c r="F8" i="132"/>
  <c r="B8" i="132"/>
  <c r="G6" i="132"/>
  <c r="C6" i="132"/>
  <c r="E6" i="132"/>
  <c r="F6" i="132"/>
  <c r="C5" i="132"/>
  <c r="E5" i="132"/>
  <c r="F5" i="132"/>
  <c r="G5" i="132"/>
  <c r="C4" i="132"/>
  <c r="D4" i="132"/>
  <c r="E4" i="132"/>
  <c r="F4" i="132"/>
  <c r="G4" i="132"/>
  <c r="B4" i="132"/>
  <c r="I9" i="132"/>
  <c r="K8" i="132"/>
  <c r="I8" i="132"/>
  <c r="K7" i="132"/>
  <c r="I7" i="132"/>
  <c r="K6" i="132"/>
  <c r="I6" i="132"/>
  <c r="K5" i="132"/>
  <c r="I5" i="132"/>
  <c r="K4" i="132"/>
  <c r="I4" i="132"/>
  <c r="K3" i="132"/>
  <c r="I3" i="132"/>
  <c r="K8" i="131"/>
  <c r="K7" i="131"/>
  <c r="K6" i="131"/>
  <c r="K5" i="131"/>
  <c r="K4" i="131"/>
  <c r="K3" i="131"/>
  <c r="C9" i="131"/>
  <c r="D9" i="131"/>
  <c r="E9" i="131"/>
  <c r="F9" i="131"/>
  <c r="G9" i="131"/>
  <c r="B9" i="131"/>
  <c r="C8" i="131"/>
  <c r="D8" i="131"/>
  <c r="E8" i="131"/>
  <c r="F8" i="131"/>
  <c r="G8" i="131"/>
  <c r="B8" i="131"/>
  <c r="C7" i="131"/>
  <c r="E7" i="131"/>
  <c r="F7" i="131"/>
  <c r="G7" i="131"/>
  <c r="C6" i="131"/>
  <c r="E6" i="131"/>
  <c r="F6" i="131"/>
  <c r="G6" i="131"/>
  <c r="C5" i="131"/>
  <c r="E5" i="131"/>
  <c r="F5" i="131"/>
  <c r="G5" i="131"/>
  <c r="C4" i="131"/>
  <c r="D4" i="131"/>
  <c r="E4" i="131"/>
  <c r="F4" i="131"/>
  <c r="G4" i="131"/>
  <c r="B4" i="131"/>
  <c r="I4" i="131"/>
  <c r="I5" i="131"/>
  <c r="I6" i="131"/>
  <c r="I7" i="131"/>
  <c r="I8" i="131"/>
  <c r="I9" i="131"/>
  <c r="I3" i="131"/>
  <c r="K8" i="130" l="1"/>
  <c r="K7" i="130"/>
  <c r="K6" i="130"/>
  <c r="K5" i="130"/>
  <c r="K4" i="130"/>
  <c r="K3" i="130"/>
  <c r="C8" i="130" l="1"/>
  <c r="D8" i="130"/>
  <c r="E8" i="130"/>
  <c r="F8" i="130"/>
  <c r="G8" i="130"/>
  <c r="C9" i="130"/>
  <c r="D9" i="130"/>
  <c r="E9" i="130"/>
  <c r="F9" i="130"/>
  <c r="G9" i="130"/>
  <c r="B9" i="130"/>
  <c r="B8" i="130"/>
  <c r="C7" i="130"/>
  <c r="E7" i="130"/>
  <c r="F7" i="130"/>
  <c r="G7" i="130"/>
  <c r="C6" i="130"/>
  <c r="E6" i="130"/>
  <c r="F6" i="130"/>
  <c r="G6" i="130"/>
  <c r="C5" i="130"/>
  <c r="E5" i="130"/>
  <c r="F5" i="130"/>
  <c r="G5" i="130"/>
  <c r="C4" i="130"/>
  <c r="D4" i="130"/>
  <c r="E4" i="130"/>
  <c r="F4" i="130"/>
  <c r="G4" i="130"/>
  <c r="B4" i="130"/>
  <c r="I4" i="130"/>
  <c r="I5" i="130"/>
  <c r="I6" i="130"/>
  <c r="I7" i="130"/>
  <c r="I8" i="130"/>
  <c r="I9" i="130"/>
  <c r="I3" i="130"/>
  <c r="BS133" i="10"/>
  <c r="BS134" i="10"/>
  <c r="BS135" i="10"/>
  <c r="BS136" i="10"/>
  <c r="BS137" i="10"/>
  <c r="BS138" i="10"/>
  <c r="BS139" i="10"/>
  <c r="BS140" i="10"/>
  <c r="BS141" i="10"/>
  <c r="BA133" i="10"/>
  <c r="BA134" i="10"/>
  <c r="BA135" i="10"/>
  <c r="BA136" i="10"/>
  <c r="BA137" i="10"/>
  <c r="BA138" i="10"/>
  <c r="BA139" i="10"/>
  <c r="BA140" i="10"/>
  <c r="BA141" i="10"/>
  <c r="AI133" i="10"/>
  <c r="AI134" i="10"/>
  <c r="AI135" i="10"/>
  <c r="AI136" i="10"/>
  <c r="AI137" i="10"/>
  <c r="AI138" i="10"/>
  <c r="AI139" i="10"/>
  <c r="AI140" i="10"/>
  <c r="AI141" i="10"/>
  <c r="Q133" i="10"/>
  <c r="Q134" i="10"/>
  <c r="Q135" i="10"/>
  <c r="Q136" i="10"/>
  <c r="Q137" i="10"/>
  <c r="Q138" i="10"/>
  <c r="Q139" i="10"/>
  <c r="Q140" i="10"/>
  <c r="Q141" i="10"/>
  <c r="K8" i="129"/>
  <c r="K7" i="129"/>
  <c r="K6" i="129"/>
  <c r="K5" i="129"/>
  <c r="K4" i="129"/>
  <c r="K3" i="129"/>
  <c r="C9" i="129"/>
  <c r="D9" i="129"/>
  <c r="E9" i="129"/>
  <c r="F9" i="129"/>
  <c r="G9" i="129"/>
  <c r="B9" i="129"/>
  <c r="C8" i="129"/>
  <c r="D8" i="129"/>
  <c r="E8" i="129"/>
  <c r="F8" i="129"/>
  <c r="G8" i="129"/>
  <c r="B8" i="129"/>
  <c r="C7" i="129"/>
  <c r="E7" i="129"/>
  <c r="F7" i="129"/>
  <c r="G7" i="129"/>
  <c r="C6" i="129"/>
  <c r="E6" i="129"/>
  <c r="F6" i="129"/>
  <c r="G6" i="129"/>
  <c r="C5" i="129"/>
  <c r="E5" i="129"/>
  <c r="F5" i="129"/>
  <c r="G5" i="129"/>
  <c r="C4" i="129"/>
  <c r="D4" i="129"/>
  <c r="E4" i="129"/>
  <c r="F4" i="129"/>
  <c r="G4" i="129"/>
  <c r="B4" i="129"/>
  <c r="I4" i="129"/>
  <c r="I5" i="129"/>
  <c r="I6" i="129"/>
  <c r="I7" i="129"/>
  <c r="I8" i="129"/>
  <c r="I9" i="129"/>
  <c r="I3" i="129"/>
  <c r="BS132" i="10"/>
  <c r="BA132" i="10"/>
  <c r="K8" i="128" l="1"/>
  <c r="K7" i="128"/>
  <c r="K6" i="128"/>
  <c r="K5" i="128"/>
  <c r="K4" i="128"/>
  <c r="K3" i="128"/>
  <c r="C9" i="128"/>
  <c r="D9" i="128"/>
  <c r="E9" i="128"/>
  <c r="F9" i="128"/>
  <c r="G9" i="128"/>
  <c r="B9" i="128"/>
  <c r="C8" i="128"/>
  <c r="D8" i="128"/>
  <c r="E8" i="128"/>
  <c r="F8" i="128"/>
  <c r="G8" i="128"/>
  <c r="B8" i="128"/>
  <c r="C7" i="128"/>
  <c r="E7" i="128"/>
  <c r="F7" i="128"/>
  <c r="G7" i="128"/>
  <c r="C6" i="128"/>
  <c r="E6" i="128"/>
  <c r="F6" i="128"/>
  <c r="G6" i="128"/>
  <c r="C5" i="128"/>
  <c r="E5" i="128"/>
  <c r="F5" i="128"/>
  <c r="G5" i="128"/>
  <c r="C4" i="128"/>
  <c r="D4" i="128"/>
  <c r="E4" i="128"/>
  <c r="F4" i="128"/>
  <c r="G4" i="128"/>
  <c r="B4" i="128"/>
  <c r="I4" i="128"/>
  <c r="I5" i="128"/>
  <c r="I6" i="128"/>
  <c r="I7" i="128"/>
  <c r="I8" i="128"/>
  <c r="I9" i="128"/>
  <c r="I3" i="128"/>
  <c r="BA131" i="10"/>
  <c r="BS130" i="10"/>
  <c r="BS131" i="10"/>
  <c r="F5" i="127" l="1"/>
  <c r="G5" i="127"/>
  <c r="G4" i="127"/>
  <c r="K8" i="127"/>
  <c r="K7" i="127"/>
  <c r="K6" i="127"/>
  <c r="K5" i="127"/>
  <c r="K4" i="127"/>
  <c r="K3" i="127"/>
  <c r="C9" i="127"/>
  <c r="D9" i="127"/>
  <c r="E9" i="127"/>
  <c r="F9" i="127"/>
  <c r="G9" i="127"/>
  <c r="B9" i="127"/>
  <c r="C8" i="127"/>
  <c r="D8" i="127"/>
  <c r="E8" i="127"/>
  <c r="F8" i="127"/>
  <c r="G8" i="127"/>
  <c r="B8" i="127"/>
  <c r="C7" i="127"/>
  <c r="E7" i="127"/>
  <c r="F7" i="127"/>
  <c r="G7" i="127"/>
  <c r="C6" i="127"/>
  <c r="E6" i="127"/>
  <c r="F6" i="127"/>
  <c r="G6" i="127"/>
  <c r="C5" i="127"/>
  <c r="E5" i="127"/>
  <c r="C4" i="127"/>
  <c r="D4" i="127"/>
  <c r="E4" i="127"/>
  <c r="F4" i="127"/>
  <c r="B4" i="127"/>
  <c r="I4" i="127"/>
  <c r="I5" i="127"/>
  <c r="I6" i="127"/>
  <c r="I7" i="127"/>
  <c r="I8" i="127"/>
  <c r="I9" i="127"/>
  <c r="I3" i="127"/>
  <c r="BA130" i="10"/>
  <c r="K8" i="126" l="1"/>
  <c r="K7" i="126"/>
  <c r="K5" i="126"/>
  <c r="K6" i="126"/>
  <c r="K4" i="126"/>
  <c r="K3" i="126"/>
  <c r="C9" i="126"/>
  <c r="D9" i="126"/>
  <c r="E9" i="126"/>
  <c r="F9" i="126"/>
  <c r="G9" i="126"/>
  <c r="B9" i="126"/>
  <c r="C8" i="126"/>
  <c r="D8" i="126"/>
  <c r="E8" i="126"/>
  <c r="F8" i="126"/>
  <c r="G8" i="126"/>
  <c r="B8" i="126"/>
  <c r="C7" i="126"/>
  <c r="E7" i="126"/>
  <c r="F7" i="126"/>
  <c r="G7" i="126"/>
  <c r="C6" i="126"/>
  <c r="E6" i="126"/>
  <c r="F6" i="126"/>
  <c r="G6" i="126"/>
  <c r="C5" i="126"/>
  <c r="E5" i="126"/>
  <c r="F5" i="126"/>
  <c r="G5" i="126"/>
  <c r="C4" i="126"/>
  <c r="D4" i="126"/>
  <c r="E4" i="126"/>
  <c r="F4" i="126"/>
  <c r="G4" i="126"/>
  <c r="B4" i="126"/>
  <c r="I4" i="126"/>
  <c r="I5" i="126"/>
  <c r="I6" i="126"/>
  <c r="I7" i="126"/>
  <c r="I8" i="126"/>
  <c r="I9" i="126"/>
  <c r="I3" i="126"/>
  <c r="K8" i="125"/>
  <c r="K7" i="125"/>
  <c r="K6" i="125"/>
  <c r="K5" i="125"/>
  <c r="K4" i="125"/>
  <c r="K3" i="125"/>
  <c r="C9" i="125"/>
  <c r="D9" i="125"/>
  <c r="E9" i="125"/>
  <c r="F9" i="125"/>
  <c r="G9" i="125"/>
  <c r="B9" i="125"/>
  <c r="C8" i="125"/>
  <c r="D8" i="125"/>
  <c r="E8" i="125"/>
  <c r="F8" i="125"/>
  <c r="G8" i="125"/>
  <c r="B8" i="125"/>
  <c r="C7" i="125"/>
  <c r="E7" i="125"/>
  <c r="F7" i="125"/>
  <c r="G7" i="125"/>
  <c r="C6" i="125"/>
  <c r="E6" i="125"/>
  <c r="F6" i="125"/>
  <c r="G6" i="125"/>
  <c r="C5" i="125"/>
  <c r="E5" i="125"/>
  <c r="F5" i="125"/>
  <c r="G5" i="125"/>
  <c r="C4" i="125"/>
  <c r="D4" i="125"/>
  <c r="E4" i="125"/>
  <c r="F4" i="125"/>
  <c r="G4" i="125"/>
  <c r="B4" i="125"/>
  <c r="I4" i="125"/>
  <c r="I5" i="125"/>
  <c r="I6" i="125"/>
  <c r="I7" i="125"/>
  <c r="I8" i="125"/>
  <c r="I9" i="125"/>
  <c r="I3" i="125"/>
  <c r="K8" i="124"/>
  <c r="K7" i="124"/>
  <c r="K6" i="124"/>
  <c r="K5" i="124"/>
  <c r="K4" i="124"/>
  <c r="K3" i="124"/>
  <c r="C9" i="124"/>
  <c r="D9" i="124"/>
  <c r="E9" i="124"/>
  <c r="F9" i="124"/>
  <c r="G9" i="124"/>
  <c r="B9" i="124"/>
  <c r="C8" i="124"/>
  <c r="D8" i="124"/>
  <c r="E8" i="124"/>
  <c r="F8" i="124"/>
  <c r="G8" i="124"/>
  <c r="B8" i="124"/>
  <c r="C7" i="124"/>
  <c r="E7" i="124"/>
  <c r="F7" i="124"/>
  <c r="G7" i="124"/>
  <c r="C6" i="124"/>
  <c r="E6" i="124"/>
  <c r="F6" i="124"/>
  <c r="G6" i="124"/>
  <c r="C5" i="124"/>
  <c r="E5" i="124"/>
  <c r="F5" i="124"/>
  <c r="G5" i="124"/>
  <c r="C4" i="124"/>
  <c r="D4" i="124"/>
  <c r="E4" i="124"/>
  <c r="F4" i="124"/>
  <c r="G4" i="124"/>
  <c r="B4" i="124"/>
  <c r="I4" i="124"/>
  <c r="I5" i="124"/>
  <c r="I6" i="124"/>
  <c r="I7" i="124"/>
  <c r="I8" i="124"/>
  <c r="I9" i="124"/>
  <c r="I3" i="124"/>
  <c r="BS129" i="10"/>
  <c r="BS128" i="10"/>
  <c r="BS127" i="10"/>
  <c r="BA129" i="10"/>
  <c r="BA128" i="10"/>
  <c r="BA127" i="10"/>
  <c r="K8" i="123"/>
  <c r="K7" i="123"/>
  <c r="K6" i="123"/>
  <c r="K5" i="123"/>
  <c r="K4" i="123"/>
  <c r="K3" i="123"/>
  <c r="C9" i="123"/>
  <c r="D9" i="123"/>
  <c r="E9" i="123"/>
  <c r="F9" i="123"/>
  <c r="G9" i="123"/>
  <c r="B9" i="123"/>
  <c r="C8" i="123"/>
  <c r="D8" i="123"/>
  <c r="E8" i="123"/>
  <c r="F8" i="123"/>
  <c r="G8" i="123"/>
  <c r="B8" i="123"/>
  <c r="C7" i="123"/>
  <c r="E7" i="123"/>
  <c r="F7" i="123"/>
  <c r="G7" i="123"/>
  <c r="C6" i="123"/>
  <c r="E6" i="123"/>
  <c r="F6" i="123"/>
  <c r="G6" i="123"/>
  <c r="C5" i="123"/>
  <c r="E5" i="123"/>
  <c r="F5" i="123"/>
  <c r="G5" i="123"/>
  <c r="C4" i="123"/>
  <c r="D4" i="123"/>
  <c r="E4" i="123"/>
  <c r="F4" i="123"/>
  <c r="G4" i="123"/>
  <c r="B4" i="123"/>
  <c r="I4" i="123"/>
  <c r="I5" i="123"/>
  <c r="I6" i="123"/>
  <c r="I7" i="123"/>
  <c r="I8" i="123"/>
  <c r="I9" i="123"/>
  <c r="I3" i="123"/>
  <c r="BS126" i="10"/>
  <c r="BA126" i="10"/>
  <c r="K8" i="122"/>
  <c r="K7" i="122"/>
  <c r="K6" i="122"/>
  <c r="K5" i="122"/>
  <c r="K4" i="122"/>
  <c r="K3" i="122"/>
  <c r="C9" i="122"/>
  <c r="D9" i="122"/>
  <c r="E9" i="122"/>
  <c r="F9" i="122"/>
  <c r="G9" i="122"/>
  <c r="B9" i="122"/>
  <c r="C8" i="122"/>
  <c r="D8" i="122"/>
  <c r="E8" i="122"/>
  <c r="F8" i="122"/>
  <c r="G8" i="122"/>
  <c r="B8" i="122"/>
  <c r="C7" i="122"/>
  <c r="E7" i="122"/>
  <c r="F7" i="122"/>
  <c r="G7" i="122"/>
  <c r="C6" i="122"/>
  <c r="E6" i="122"/>
  <c r="F6" i="122"/>
  <c r="G6" i="122"/>
  <c r="C5" i="122"/>
  <c r="E5" i="122"/>
  <c r="F5" i="122"/>
  <c r="G5" i="122"/>
  <c r="C4" i="122"/>
  <c r="D4" i="122"/>
  <c r="E4" i="122"/>
  <c r="F4" i="122"/>
  <c r="G4" i="122"/>
  <c r="B4" i="122"/>
  <c r="I4" i="122"/>
  <c r="I5" i="122"/>
  <c r="I6" i="122"/>
  <c r="I7" i="122"/>
  <c r="I8" i="122"/>
  <c r="I9" i="122"/>
  <c r="I3" i="122"/>
  <c r="BS125" i="10"/>
  <c r="BA125" i="10"/>
  <c r="K8" i="121" l="1"/>
  <c r="K7" i="121"/>
  <c r="K6" i="121"/>
  <c r="K5" i="121"/>
  <c r="K4" i="121"/>
  <c r="K3" i="121"/>
  <c r="C9" i="121"/>
  <c r="D9" i="121"/>
  <c r="E9" i="121"/>
  <c r="F9" i="121"/>
  <c r="G9" i="121"/>
  <c r="B9" i="121"/>
  <c r="C8" i="121"/>
  <c r="D8" i="121"/>
  <c r="E8" i="121"/>
  <c r="F8" i="121"/>
  <c r="G8" i="121"/>
  <c r="B8" i="121"/>
  <c r="C7" i="121"/>
  <c r="E7" i="121"/>
  <c r="F7" i="121"/>
  <c r="G7" i="121"/>
  <c r="C6" i="121"/>
  <c r="E6" i="121"/>
  <c r="F6" i="121"/>
  <c r="G6" i="121"/>
  <c r="C5" i="121"/>
  <c r="E5" i="121"/>
  <c r="F5" i="121"/>
  <c r="G5" i="121"/>
  <c r="C4" i="121"/>
  <c r="D4" i="121"/>
  <c r="E4" i="121"/>
  <c r="F4" i="121"/>
  <c r="G4" i="121"/>
  <c r="B4" i="121"/>
  <c r="I4" i="121"/>
  <c r="I5" i="121"/>
  <c r="I6" i="121"/>
  <c r="I7" i="121"/>
  <c r="I8" i="121"/>
  <c r="I9" i="121"/>
  <c r="I3" i="121"/>
  <c r="BS124" i="10"/>
  <c r="BA124" i="10"/>
  <c r="K8" i="120"/>
  <c r="K7" i="120"/>
  <c r="K6" i="120"/>
  <c r="K5" i="120"/>
  <c r="K4" i="120"/>
  <c r="K3" i="120"/>
  <c r="C9" i="120"/>
  <c r="D9" i="120"/>
  <c r="E9" i="120"/>
  <c r="F9" i="120"/>
  <c r="G9" i="120"/>
  <c r="B9" i="120"/>
  <c r="C8" i="120"/>
  <c r="D8" i="120"/>
  <c r="E8" i="120"/>
  <c r="F8" i="120"/>
  <c r="G8" i="120"/>
  <c r="B8" i="120"/>
  <c r="C7" i="120"/>
  <c r="E7" i="120"/>
  <c r="F7" i="120"/>
  <c r="G7" i="120"/>
  <c r="C6" i="120"/>
  <c r="E6" i="120"/>
  <c r="F6" i="120"/>
  <c r="G6" i="120"/>
  <c r="C5" i="120"/>
  <c r="E5" i="120"/>
  <c r="F5" i="120"/>
  <c r="G5" i="120"/>
  <c r="C4" i="120"/>
  <c r="D4" i="120"/>
  <c r="E4" i="120"/>
  <c r="F4" i="120"/>
  <c r="G4" i="120"/>
  <c r="B4" i="120"/>
  <c r="I4" i="120"/>
  <c r="I5" i="120"/>
  <c r="I6" i="120"/>
  <c r="I7" i="120"/>
  <c r="I8" i="120"/>
  <c r="I9" i="120"/>
  <c r="I3" i="120"/>
  <c r="BS123" i="10" l="1"/>
  <c r="BA123" i="10"/>
  <c r="AI124" i="10"/>
  <c r="AI125" i="10"/>
  <c r="AI126" i="10"/>
  <c r="AI127" i="10"/>
  <c r="AI128" i="10"/>
  <c r="AI129" i="10"/>
  <c r="AI130" i="10"/>
  <c r="AI131" i="10"/>
  <c r="AI132" i="10"/>
  <c r="AI123" i="10"/>
  <c r="K8" i="119"/>
  <c r="K7" i="119"/>
  <c r="K6" i="119"/>
  <c r="K5" i="119"/>
  <c r="K4" i="119"/>
  <c r="K3" i="119"/>
  <c r="C9" i="119"/>
  <c r="D9" i="119"/>
  <c r="E9" i="119"/>
  <c r="F9" i="119"/>
  <c r="G9" i="119"/>
  <c r="B9" i="119"/>
  <c r="C8" i="119"/>
  <c r="D8" i="119"/>
  <c r="E8" i="119"/>
  <c r="F8" i="119"/>
  <c r="G8" i="119"/>
  <c r="B8" i="119"/>
  <c r="C6" i="119"/>
  <c r="E6" i="119"/>
  <c r="F6" i="119"/>
  <c r="G6" i="119"/>
  <c r="C7" i="119"/>
  <c r="E7" i="119"/>
  <c r="F7" i="119"/>
  <c r="G7" i="119"/>
  <c r="G4" i="119"/>
  <c r="C5" i="119"/>
  <c r="E5" i="119"/>
  <c r="F5" i="119"/>
  <c r="G5" i="119"/>
  <c r="C4" i="119"/>
  <c r="D4" i="119"/>
  <c r="E4" i="119"/>
  <c r="F4" i="119"/>
  <c r="B4" i="119"/>
  <c r="I4" i="119"/>
  <c r="I5" i="119"/>
  <c r="I6" i="119"/>
  <c r="I7" i="119"/>
  <c r="I8" i="119"/>
  <c r="I9" i="119"/>
  <c r="I3" i="119"/>
  <c r="K8" i="118"/>
  <c r="K7" i="118"/>
  <c r="K6" i="118"/>
  <c r="K5" i="118"/>
  <c r="K4" i="118"/>
  <c r="K3" i="118"/>
  <c r="C9" i="118"/>
  <c r="D9" i="118"/>
  <c r="E9" i="118"/>
  <c r="F9" i="118"/>
  <c r="G9" i="118"/>
  <c r="B9" i="118"/>
  <c r="C8" i="118"/>
  <c r="D8" i="118"/>
  <c r="E8" i="118"/>
  <c r="F8" i="118"/>
  <c r="G8" i="118"/>
  <c r="B8" i="118"/>
  <c r="C7" i="118"/>
  <c r="E7" i="118"/>
  <c r="F7" i="118"/>
  <c r="G7" i="118"/>
  <c r="G6" i="118"/>
  <c r="C6" i="118"/>
  <c r="E6" i="118"/>
  <c r="F6" i="118"/>
  <c r="C5" i="118"/>
  <c r="E5" i="118"/>
  <c r="F5" i="118"/>
  <c r="G5" i="118"/>
  <c r="C4" i="118"/>
  <c r="D4" i="118"/>
  <c r="E4" i="118"/>
  <c r="F4" i="118"/>
  <c r="G4" i="118"/>
  <c r="B4" i="118"/>
  <c r="I4" i="118"/>
  <c r="I5" i="118"/>
  <c r="I6" i="118"/>
  <c r="I7" i="118"/>
  <c r="I8" i="118"/>
  <c r="I9" i="118"/>
  <c r="I3" i="118"/>
  <c r="K8" i="117"/>
  <c r="K7" i="117"/>
  <c r="K6" i="117"/>
  <c r="K5" i="117"/>
  <c r="K4" i="117"/>
  <c r="K3" i="117"/>
  <c r="C9" i="117"/>
  <c r="D9" i="117"/>
  <c r="E9" i="117"/>
  <c r="F9" i="117"/>
  <c r="G9" i="117"/>
  <c r="B9" i="117"/>
  <c r="C8" i="117"/>
  <c r="D8" i="117"/>
  <c r="E8" i="117"/>
  <c r="F8" i="117"/>
  <c r="G8" i="117"/>
  <c r="B8" i="117"/>
  <c r="C7" i="117"/>
  <c r="E7" i="117"/>
  <c r="F7" i="117"/>
  <c r="G7" i="117"/>
  <c r="C6" i="117"/>
  <c r="E6" i="117"/>
  <c r="F6" i="117"/>
  <c r="G6" i="117"/>
  <c r="C5" i="117"/>
  <c r="E5" i="117"/>
  <c r="F5" i="117"/>
  <c r="G5" i="117"/>
  <c r="C4" i="117"/>
  <c r="D4" i="117"/>
  <c r="E4" i="117"/>
  <c r="F4" i="117"/>
  <c r="G4" i="117"/>
  <c r="B4" i="117"/>
  <c r="I4" i="117"/>
  <c r="I5" i="117"/>
  <c r="I6" i="117"/>
  <c r="I7" i="117"/>
  <c r="I8" i="117"/>
  <c r="I9" i="117"/>
  <c r="I3" i="117"/>
  <c r="BS122" i="10"/>
  <c r="BS121" i="10"/>
  <c r="BS120" i="10"/>
  <c r="BA120" i="10"/>
  <c r="BA121" i="10"/>
  <c r="BA122" i="10"/>
  <c r="AI120" i="10"/>
  <c r="AI121" i="10"/>
  <c r="AI122" i="10"/>
  <c r="Q122" i="10"/>
  <c r="Q123" i="10"/>
  <c r="Q124" i="10"/>
  <c r="Q125" i="10"/>
  <c r="Q126" i="10"/>
  <c r="Q127" i="10"/>
  <c r="Q128" i="10"/>
  <c r="Q129" i="10"/>
  <c r="Q130" i="10"/>
  <c r="Q131" i="10"/>
  <c r="Q132" i="10"/>
  <c r="K8" i="116"/>
  <c r="K7" i="116"/>
  <c r="K6" i="116"/>
  <c r="K5" i="116"/>
  <c r="K4" i="116"/>
  <c r="K3" i="116"/>
  <c r="G8" i="116"/>
  <c r="C9" i="116"/>
  <c r="D9" i="116"/>
  <c r="E9" i="116"/>
  <c r="F9" i="116"/>
  <c r="G9" i="116"/>
  <c r="B9" i="116"/>
  <c r="C8" i="116"/>
  <c r="D8" i="116"/>
  <c r="E8" i="116"/>
  <c r="F8" i="116"/>
  <c r="B8" i="116"/>
  <c r="C7" i="116"/>
  <c r="E7" i="116"/>
  <c r="F7" i="116"/>
  <c r="G7" i="116"/>
  <c r="C6" i="116"/>
  <c r="E6" i="116"/>
  <c r="F6" i="116"/>
  <c r="G6" i="116"/>
  <c r="C5" i="116"/>
  <c r="E5" i="116"/>
  <c r="F5" i="116"/>
  <c r="G5" i="116"/>
  <c r="C4" i="116"/>
  <c r="D4" i="116"/>
  <c r="E4" i="116"/>
  <c r="F4" i="116"/>
  <c r="G4" i="116"/>
  <c r="B4" i="116"/>
  <c r="I4" i="116"/>
  <c r="I5" i="116"/>
  <c r="I6" i="116"/>
  <c r="I7" i="116"/>
  <c r="I8" i="116"/>
  <c r="I9" i="116"/>
  <c r="I3" i="116"/>
  <c r="BS119" i="10"/>
  <c r="AI119" i="10"/>
  <c r="BA119" i="10"/>
  <c r="K8" i="115"/>
  <c r="K7" i="115"/>
  <c r="K6" i="115"/>
  <c r="K5" i="115"/>
  <c r="K4" i="115"/>
  <c r="K3" i="115"/>
  <c r="C9" i="115"/>
  <c r="D9" i="115"/>
  <c r="E9" i="115"/>
  <c r="F9" i="115"/>
  <c r="G9" i="115"/>
  <c r="B9" i="115"/>
  <c r="C8" i="115"/>
  <c r="D8" i="115"/>
  <c r="E8" i="115"/>
  <c r="F8" i="115"/>
  <c r="G8" i="115"/>
  <c r="B8" i="115"/>
  <c r="C7" i="115"/>
  <c r="E7" i="115"/>
  <c r="F7" i="115"/>
  <c r="G7" i="115"/>
  <c r="C6" i="115"/>
  <c r="E6" i="115"/>
  <c r="F6" i="115"/>
  <c r="G6" i="115"/>
  <c r="C5" i="115"/>
  <c r="E5" i="115"/>
  <c r="F5" i="115"/>
  <c r="G5" i="115"/>
  <c r="C4" i="115"/>
  <c r="D4" i="115"/>
  <c r="E4" i="115"/>
  <c r="F4" i="115"/>
  <c r="G4" i="115"/>
  <c r="B4" i="115"/>
  <c r="I4" i="115"/>
  <c r="I5" i="115"/>
  <c r="I6" i="115"/>
  <c r="I7" i="115"/>
  <c r="I8" i="115"/>
  <c r="I9" i="115"/>
  <c r="I3" i="115"/>
  <c r="AI118" i="10"/>
  <c r="BS118" i="10"/>
  <c r="BA118" i="10"/>
  <c r="K8" i="114"/>
  <c r="K7" i="114"/>
  <c r="K6" i="114"/>
  <c r="K5" i="114"/>
  <c r="K4" i="114"/>
  <c r="K3" i="114"/>
  <c r="C9" i="114"/>
  <c r="D9" i="114"/>
  <c r="E9" i="114"/>
  <c r="F9" i="114"/>
  <c r="G9" i="114"/>
  <c r="B9" i="114"/>
  <c r="C8" i="114"/>
  <c r="D8" i="114"/>
  <c r="E8" i="114"/>
  <c r="F8" i="114"/>
  <c r="G8" i="114"/>
  <c r="B8" i="114"/>
  <c r="C7" i="114"/>
  <c r="E7" i="114"/>
  <c r="F7" i="114"/>
  <c r="G7" i="114"/>
  <c r="C6" i="114"/>
  <c r="E6" i="114"/>
  <c r="F6" i="114"/>
  <c r="G6" i="114"/>
  <c r="C5" i="114"/>
  <c r="E5" i="114"/>
  <c r="F5" i="114"/>
  <c r="G5" i="114"/>
  <c r="C4" i="114"/>
  <c r="D4" i="114"/>
  <c r="E4" i="114"/>
  <c r="F4" i="114"/>
  <c r="G4" i="114"/>
  <c r="B4" i="114"/>
  <c r="I4" i="114"/>
  <c r="I5" i="114"/>
  <c r="I6" i="114"/>
  <c r="I7" i="114"/>
  <c r="I8" i="114"/>
  <c r="I9" i="114"/>
  <c r="I3" i="114"/>
  <c r="BS117" i="10"/>
  <c r="BA117" i="10"/>
  <c r="AI117" i="10"/>
  <c r="Q118" i="10"/>
  <c r="Q119" i="10"/>
  <c r="Q120" i="10"/>
  <c r="Q121" i="10"/>
  <c r="K8" i="113" l="1"/>
  <c r="K7" i="113"/>
  <c r="K6" i="113"/>
  <c r="K5" i="113"/>
  <c r="K4" i="113"/>
  <c r="K3" i="113"/>
  <c r="C9" i="113"/>
  <c r="D9" i="113"/>
  <c r="E9" i="113"/>
  <c r="F9" i="113"/>
  <c r="G9" i="113"/>
  <c r="B9" i="113"/>
  <c r="C8" i="113"/>
  <c r="D8" i="113"/>
  <c r="E8" i="113"/>
  <c r="F8" i="113"/>
  <c r="G8" i="113"/>
  <c r="B8" i="113"/>
  <c r="C7" i="113"/>
  <c r="E7" i="113"/>
  <c r="F7" i="113"/>
  <c r="G7" i="113"/>
  <c r="C6" i="113"/>
  <c r="E6" i="113"/>
  <c r="F6" i="113"/>
  <c r="G6" i="113"/>
  <c r="C5" i="113"/>
  <c r="E5" i="113"/>
  <c r="F5" i="113"/>
  <c r="G5" i="113"/>
  <c r="C4" i="113"/>
  <c r="D4" i="113"/>
  <c r="E4" i="113"/>
  <c r="F4" i="113"/>
  <c r="G4" i="113"/>
  <c r="B4" i="113"/>
  <c r="I4" i="113"/>
  <c r="I5" i="113"/>
  <c r="I6" i="113"/>
  <c r="I7" i="113"/>
  <c r="I8" i="113"/>
  <c r="I9" i="113"/>
  <c r="I3" i="113"/>
  <c r="BS116" i="10" l="1"/>
  <c r="BA116" i="10"/>
  <c r="AI116" i="10"/>
  <c r="K8" i="112"/>
  <c r="K7" i="112"/>
  <c r="K6" i="112"/>
  <c r="K5" i="112"/>
  <c r="K4" i="112"/>
  <c r="K3" i="112"/>
  <c r="C9" i="112"/>
  <c r="D9" i="112"/>
  <c r="E9" i="112"/>
  <c r="F9" i="112"/>
  <c r="G9" i="112"/>
  <c r="B9" i="112"/>
  <c r="C8" i="112"/>
  <c r="D8" i="112"/>
  <c r="E8" i="112"/>
  <c r="F8" i="112"/>
  <c r="G8" i="112"/>
  <c r="B8" i="112"/>
  <c r="C7" i="112"/>
  <c r="E7" i="112"/>
  <c r="F7" i="112"/>
  <c r="G7" i="112"/>
  <c r="G6" i="112"/>
  <c r="C6" i="112"/>
  <c r="E6" i="112"/>
  <c r="F6" i="112"/>
  <c r="C5" i="112"/>
  <c r="E5" i="112"/>
  <c r="F5" i="112"/>
  <c r="G5" i="112"/>
  <c r="C4" i="112"/>
  <c r="D4" i="112"/>
  <c r="E4" i="112"/>
  <c r="F4" i="112"/>
  <c r="G4" i="112"/>
  <c r="B4" i="112"/>
  <c r="I4" i="112"/>
  <c r="I5" i="112"/>
  <c r="I6" i="112"/>
  <c r="I7" i="112"/>
  <c r="I8" i="112"/>
  <c r="I9" i="112"/>
  <c r="I3" i="112"/>
  <c r="K8" i="111"/>
  <c r="K7" i="111"/>
  <c r="K6" i="111"/>
  <c r="K5" i="111"/>
  <c r="K4" i="111"/>
  <c r="K3" i="111"/>
  <c r="C9" i="111"/>
  <c r="D9" i="111"/>
  <c r="E9" i="111"/>
  <c r="F9" i="111"/>
  <c r="G9" i="111"/>
  <c r="B9" i="111"/>
  <c r="C8" i="111"/>
  <c r="D8" i="111"/>
  <c r="E8" i="111"/>
  <c r="F8" i="111"/>
  <c r="G8" i="111"/>
  <c r="B8" i="111"/>
  <c r="C7" i="111"/>
  <c r="E7" i="111"/>
  <c r="F7" i="111"/>
  <c r="G7" i="111"/>
  <c r="C6" i="111"/>
  <c r="E6" i="111"/>
  <c r="F6" i="111"/>
  <c r="G6" i="111"/>
  <c r="C5" i="111"/>
  <c r="E5" i="111"/>
  <c r="F5" i="111"/>
  <c r="G5" i="111"/>
  <c r="C4" i="111"/>
  <c r="D4" i="111"/>
  <c r="E4" i="111"/>
  <c r="F4" i="111"/>
  <c r="G4" i="111"/>
  <c r="B4" i="111"/>
  <c r="I4" i="111"/>
  <c r="I5" i="111"/>
  <c r="I6" i="111"/>
  <c r="I7" i="111"/>
  <c r="I8" i="111"/>
  <c r="I9" i="111"/>
  <c r="I3" i="111"/>
  <c r="K8" i="110"/>
  <c r="K7" i="110"/>
  <c r="K6" i="110"/>
  <c r="K5" i="110"/>
  <c r="K4" i="110"/>
  <c r="K3" i="110" l="1"/>
  <c r="C9" i="110"/>
  <c r="D9" i="110"/>
  <c r="E9" i="110"/>
  <c r="F9" i="110"/>
  <c r="G9" i="110"/>
  <c r="B9" i="110"/>
  <c r="C8" i="110"/>
  <c r="D8" i="110"/>
  <c r="E8" i="110"/>
  <c r="F8" i="110"/>
  <c r="G8" i="110"/>
  <c r="B8" i="110"/>
  <c r="C7" i="110"/>
  <c r="E7" i="110"/>
  <c r="F7" i="110"/>
  <c r="G7" i="110"/>
  <c r="C6" i="110"/>
  <c r="E6" i="110"/>
  <c r="F6" i="110"/>
  <c r="G6" i="110"/>
  <c r="C5" i="110"/>
  <c r="E5" i="110"/>
  <c r="F5" i="110"/>
  <c r="G5" i="110"/>
  <c r="C4" i="110"/>
  <c r="D4" i="110"/>
  <c r="E4" i="110"/>
  <c r="F4" i="110"/>
  <c r="G4" i="110"/>
  <c r="B4" i="110"/>
  <c r="I4" i="110"/>
  <c r="I5" i="110"/>
  <c r="I6" i="110"/>
  <c r="I7" i="110"/>
  <c r="I8" i="110"/>
  <c r="I9" i="110"/>
  <c r="I3" i="110"/>
  <c r="BS115" i="10"/>
  <c r="BS114" i="10"/>
  <c r="BS113" i="10"/>
  <c r="BA114" i="10"/>
  <c r="BA115" i="10"/>
  <c r="BA113" i="10"/>
  <c r="AI112" i="10"/>
  <c r="AI113" i="10"/>
  <c r="AI114" i="10"/>
  <c r="AI115" i="10"/>
  <c r="K8" i="109"/>
  <c r="K7" i="109"/>
  <c r="K6" i="109"/>
  <c r="K5" i="109"/>
  <c r="K4" i="109"/>
  <c r="K3" i="109"/>
  <c r="C9" i="109"/>
  <c r="D9" i="109"/>
  <c r="E9" i="109"/>
  <c r="F9" i="109"/>
  <c r="G9" i="109"/>
  <c r="B9" i="109"/>
  <c r="C8" i="109"/>
  <c r="D8" i="109"/>
  <c r="E8" i="109"/>
  <c r="F8" i="109"/>
  <c r="G8" i="109"/>
  <c r="B8" i="109"/>
  <c r="C7" i="109"/>
  <c r="E7" i="109"/>
  <c r="F7" i="109"/>
  <c r="G7" i="109"/>
  <c r="C6" i="109"/>
  <c r="E6" i="109"/>
  <c r="F6" i="109"/>
  <c r="G6" i="109"/>
  <c r="C5" i="109"/>
  <c r="E5" i="109"/>
  <c r="F5" i="109"/>
  <c r="G5" i="109"/>
  <c r="C4" i="109"/>
  <c r="D4" i="109"/>
  <c r="E4" i="109"/>
  <c r="F4" i="109"/>
  <c r="G4" i="109"/>
  <c r="B4" i="109"/>
  <c r="I4" i="109"/>
  <c r="I5" i="109"/>
  <c r="I6" i="109"/>
  <c r="I7" i="109"/>
  <c r="I8" i="109"/>
  <c r="I9" i="109"/>
  <c r="I3" i="109"/>
  <c r="BS112" i="10"/>
  <c r="BA112" i="10"/>
  <c r="K8" i="108"/>
  <c r="K7" i="108"/>
  <c r="K6" i="108"/>
  <c r="K5" i="108"/>
  <c r="K4" i="108"/>
  <c r="K3" i="108"/>
  <c r="C9" i="108"/>
  <c r="D9" i="108"/>
  <c r="E9" i="108"/>
  <c r="F9" i="108"/>
  <c r="G9" i="108"/>
  <c r="B9" i="108"/>
  <c r="C8" i="108"/>
  <c r="D8" i="108"/>
  <c r="E8" i="108"/>
  <c r="F8" i="108"/>
  <c r="G8" i="108"/>
  <c r="B8" i="108"/>
  <c r="C7" i="108"/>
  <c r="E7" i="108"/>
  <c r="F7" i="108"/>
  <c r="G7" i="108"/>
  <c r="C6" i="108"/>
  <c r="E6" i="108"/>
  <c r="F6" i="108"/>
  <c r="G6" i="108"/>
  <c r="C5" i="108"/>
  <c r="E5" i="108"/>
  <c r="F5" i="108"/>
  <c r="G5" i="108"/>
  <c r="C4" i="108"/>
  <c r="D4" i="108"/>
  <c r="E4" i="108"/>
  <c r="F4" i="108"/>
  <c r="G4" i="108"/>
  <c r="B4" i="108"/>
  <c r="I4" i="108"/>
  <c r="I5" i="108"/>
  <c r="I6" i="108"/>
  <c r="I7" i="108"/>
  <c r="I8" i="108"/>
  <c r="I9" i="108"/>
  <c r="I3" i="108"/>
  <c r="BS111" i="10"/>
  <c r="BA111" i="10"/>
  <c r="AI111" i="10"/>
  <c r="K8" i="107" l="1"/>
  <c r="K7" i="107"/>
  <c r="K6" i="107"/>
  <c r="K5" i="107"/>
  <c r="K4" i="107"/>
  <c r="K3" i="107"/>
  <c r="D8" i="107"/>
  <c r="C9" i="107"/>
  <c r="D9" i="107"/>
  <c r="E9" i="107"/>
  <c r="F9" i="107"/>
  <c r="G9" i="107"/>
  <c r="B9" i="107"/>
  <c r="C8" i="107"/>
  <c r="E8" i="107"/>
  <c r="F8" i="107"/>
  <c r="G8" i="107"/>
  <c r="B8" i="107"/>
  <c r="C7" i="107"/>
  <c r="E7" i="107"/>
  <c r="F7" i="107"/>
  <c r="G7" i="107"/>
  <c r="C6" i="107"/>
  <c r="E6" i="107"/>
  <c r="F6" i="107"/>
  <c r="G6" i="107"/>
  <c r="F5" i="107"/>
  <c r="G5" i="107"/>
  <c r="E5" i="107"/>
  <c r="C5" i="107"/>
  <c r="C4" i="107"/>
  <c r="D4" i="107"/>
  <c r="E4" i="107"/>
  <c r="F4" i="107"/>
  <c r="G4" i="107"/>
  <c r="B4" i="107"/>
  <c r="I4" i="107"/>
  <c r="I5" i="107"/>
  <c r="I6" i="107"/>
  <c r="I7" i="107"/>
  <c r="I8" i="107"/>
  <c r="I9" i="107"/>
  <c r="I3" i="107"/>
  <c r="BS110" i="10"/>
  <c r="BA110" i="10"/>
  <c r="K8" i="106"/>
  <c r="K7" i="106"/>
  <c r="K6" i="106"/>
  <c r="K5" i="106"/>
  <c r="K4" i="106"/>
  <c r="K3" i="106"/>
  <c r="C9" i="106"/>
  <c r="D9" i="106"/>
  <c r="E9" i="106"/>
  <c r="F9" i="106"/>
  <c r="G9" i="106"/>
  <c r="B9" i="106"/>
  <c r="C8" i="106"/>
  <c r="D8" i="106"/>
  <c r="E8" i="106"/>
  <c r="F8" i="106"/>
  <c r="G8" i="106"/>
  <c r="B8" i="106"/>
  <c r="C7" i="106"/>
  <c r="E7" i="106"/>
  <c r="F7" i="106"/>
  <c r="G7" i="106"/>
  <c r="C6" i="106"/>
  <c r="E6" i="106"/>
  <c r="F6" i="106"/>
  <c r="G6" i="106"/>
  <c r="G5" i="106"/>
  <c r="C5" i="106"/>
  <c r="E5" i="106"/>
  <c r="F5" i="106"/>
  <c r="C4" i="106"/>
  <c r="D4" i="106"/>
  <c r="E4" i="106"/>
  <c r="F4" i="106"/>
  <c r="G4" i="106"/>
  <c r="B4" i="106"/>
  <c r="I4" i="106"/>
  <c r="I5" i="106"/>
  <c r="I6" i="106"/>
  <c r="I7" i="106"/>
  <c r="I8" i="106"/>
  <c r="I9" i="106"/>
  <c r="I3" i="106"/>
  <c r="BS109" i="10" l="1"/>
  <c r="BA109" i="10"/>
  <c r="AI109" i="10"/>
  <c r="AI110" i="10"/>
  <c r="K8" i="105" l="1"/>
  <c r="K7" i="105"/>
  <c r="K6" i="105"/>
  <c r="K5" i="105"/>
  <c r="K4" i="105"/>
  <c r="K3" i="105"/>
  <c r="C9" i="105"/>
  <c r="D9" i="105"/>
  <c r="E9" i="105"/>
  <c r="F9" i="105"/>
  <c r="G9" i="105"/>
  <c r="B9" i="105"/>
  <c r="C8" i="105"/>
  <c r="D8" i="105"/>
  <c r="E8" i="105"/>
  <c r="F8" i="105"/>
  <c r="G8" i="105"/>
  <c r="B8" i="105"/>
  <c r="C7" i="105"/>
  <c r="E7" i="105"/>
  <c r="F7" i="105"/>
  <c r="G7" i="105"/>
  <c r="C6" i="105"/>
  <c r="E6" i="105"/>
  <c r="F6" i="105"/>
  <c r="G6" i="105"/>
  <c r="C5" i="105"/>
  <c r="E5" i="105"/>
  <c r="F5" i="105"/>
  <c r="G5" i="105"/>
  <c r="C4" i="105"/>
  <c r="D4" i="105"/>
  <c r="E4" i="105"/>
  <c r="F4" i="105"/>
  <c r="G4" i="105"/>
  <c r="B4" i="105"/>
  <c r="I4" i="105"/>
  <c r="I5" i="105"/>
  <c r="I6" i="105"/>
  <c r="I7" i="105"/>
  <c r="I8" i="105"/>
  <c r="I9" i="105"/>
  <c r="I3" i="105"/>
  <c r="K8" i="104"/>
  <c r="K7" i="104"/>
  <c r="K6" i="104"/>
  <c r="K5" i="104"/>
  <c r="K4" i="104"/>
  <c r="K3" i="104"/>
  <c r="C9" i="104"/>
  <c r="D9" i="104"/>
  <c r="E9" i="104"/>
  <c r="F9" i="104"/>
  <c r="G9" i="104"/>
  <c r="B9" i="104"/>
  <c r="C8" i="104"/>
  <c r="D8" i="104"/>
  <c r="E8" i="104"/>
  <c r="F8" i="104"/>
  <c r="G8" i="104"/>
  <c r="B8" i="104"/>
  <c r="C7" i="104"/>
  <c r="E7" i="104"/>
  <c r="F7" i="104"/>
  <c r="G7" i="104"/>
  <c r="C6" i="104"/>
  <c r="E6" i="104"/>
  <c r="F6" i="104"/>
  <c r="G6" i="104"/>
  <c r="C5" i="104"/>
  <c r="E5" i="104"/>
  <c r="F5" i="104"/>
  <c r="G5" i="104"/>
  <c r="C4" i="104"/>
  <c r="D4" i="104"/>
  <c r="E4" i="104"/>
  <c r="F4" i="104"/>
  <c r="G4" i="104"/>
  <c r="B4" i="104"/>
  <c r="I4" i="104"/>
  <c r="I5" i="104"/>
  <c r="I6" i="104"/>
  <c r="I7" i="104"/>
  <c r="I8" i="104"/>
  <c r="I9" i="104"/>
  <c r="I3" i="104"/>
  <c r="K8" i="103"/>
  <c r="K7" i="103"/>
  <c r="K6" i="103"/>
  <c r="K5" i="103"/>
  <c r="K4" i="103"/>
  <c r="K3" i="103"/>
  <c r="C9" i="103"/>
  <c r="D9" i="103"/>
  <c r="E9" i="103"/>
  <c r="F9" i="103"/>
  <c r="G9" i="103"/>
  <c r="B9" i="103"/>
  <c r="C8" i="103"/>
  <c r="D8" i="103"/>
  <c r="E8" i="103"/>
  <c r="F8" i="103"/>
  <c r="G8" i="103"/>
  <c r="B8" i="103"/>
  <c r="C7" i="103"/>
  <c r="E7" i="103"/>
  <c r="F7" i="103"/>
  <c r="G7" i="103"/>
  <c r="C6" i="103"/>
  <c r="E6" i="103"/>
  <c r="F6" i="103"/>
  <c r="G6" i="103"/>
  <c r="C5" i="103"/>
  <c r="E5" i="103"/>
  <c r="F5" i="103"/>
  <c r="G5" i="103"/>
  <c r="C4" i="103"/>
  <c r="D4" i="103"/>
  <c r="E4" i="103"/>
  <c r="F4" i="103"/>
  <c r="G4" i="103"/>
  <c r="B4" i="103"/>
  <c r="I4" i="103"/>
  <c r="I5" i="103"/>
  <c r="I6" i="103"/>
  <c r="I7" i="103"/>
  <c r="I8" i="103"/>
  <c r="I9" i="103"/>
  <c r="I3" i="103"/>
  <c r="AI107" i="10"/>
  <c r="AI108" i="10"/>
  <c r="BA108" i="10"/>
  <c r="BA107" i="10"/>
  <c r="BS108" i="10"/>
  <c r="BS107" i="10"/>
  <c r="BS106" i="10"/>
  <c r="BA106" i="10"/>
  <c r="AI106" i="10"/>
  <c r="K8" i="102" l="1"/>
  <c r="K7" i="102"/>
  <c r="K6" i="102"/>
  <c r="K5" i="102"/>
  <c r="K4" i="102"/>
  <c r="K3" i="102"/>
  <c r="C9" i="102"/>
  <c r="D9" i="102"/>
  <c r="E9" i="102"/>
  <c r="F9" i="102"/>
  <c r="G9" i="102"/>
  <c r="B9" i="102"/>
  <c r="C8" i="102"/>
  <c r="D8" i="102"/>
  <c r="E8" i="102"/>
  <c r="F8" i="102"/>
  <c r="G8" i="102"/>
  <c r="B8" i="102"/>
  <c r="C7" i="102"/>
  <c r="E7" i="102"/>
  <c r="F7" i="102"/>
  <c r="G7" i="102"/>
  <c r="C6" i="102"/>
  <c r="E6" i="102"/>
  <c r="F6" i="102"/>
  <c r="G6" i="102"/>
  <c r="C5" i="102"/>
  <c r="E5" i="102"/>
  <c r="F5" i="102"/>
  <c r="G5" i="102"/>
  <c r="C4" i="102"/>
  <c r="D4" i="102"/>
  <c r="E4" i="102"/>
  <c r="F4" i="102"/>
  <c r="G4" i="102"/>
  <c r="B4" i="102"/>
  <c r="I4" i="102"/>
  <c r="I5" i="102"/>
  <c r="I6" i="102"/>
  <c r="I7" i="102"/>
  <c r="I8" i="102"/>
  <c r="I9" i="102"/>
  <c r="I3" i="102"/>
  <c r="BS105" i="10"/>
  <c r="BA105" i="10"/>
  <c r="AI105" i="10"/>
  <c r="AI104" i="10"/>
  <c r="K8" i="101"/>
  <c r="K7" i="101"/>
  <c r="K6" i="101"/>
  <c r="K5" i="101"/>
  <c r="K4" i="101"/>
  <c r="K3" i="101"/>
  <c r="C9" i="101"/>
  <c r="D9" i="101"/>
  <c r="E9" i="101"/>
  <c r="F9" i="101"/>
  <c r="G9" i="101"/>
  <c r="B9" i="101"/>
  <c r="C8" i="101"/>
  <c r="D8" i="101"/>
  <c r="E8" i="101"/>
  <c r="F8" i="101"/>
  <c r="G8" i="101"/>
  <c r="B8" i="101"/>
  <c r="C7" i="101"/>
  <c r="E7" i="101"/>
  <c r="F7" i="101"/>
  <c r="G7" i="101"/>
  <c r="C6" i="101"/>
  <c r="E6" i="101"/>
  <c r="F6" i="101"/>
  <c r="G6" i="101"/>
  <c r="C5" i="101"/>
  <c r="E5" i="101"/>
  <c r="F5" i="101"/>
  <c r="G5" i="101"/>
  <c r="C4" i="101"/>
  <c r="D4" i="101"/>
  <c r="E4" i="101"/>
  <c r="F4" i="101"/>
  <c r="G4" i="101"/>
  <c r="B4" i="101"/>
  <c r="I4" i="101"/>
  <c r="I5" i="101"/>
  <c r="I6" i="101"/>
  <c r="I7" i="101"/>
  <c r="I8" i="101"/>
  <c r="I9" i="101"/>
  <c r="I3" i="101"/>
  <c r="BS104" i="10"/>
  <c r="BA104" i="10"/>
  <c r="K7" i="81"/>
  <c r="K8" i="99"/>
  <c r="K7" i="99"/>
  <c r="K6" i="99"/>
  <c r="K5" i="99"/>
  <c r="K4" i="99"/>
  <c r="K3" i="99"/>
  <c r="C9" i="99"/>
  <c r="D9" i="99"/>
  <c r="E9" i="99"/>
  <c r="F9" i="99"/>
  <c r="G9" i="99"/>
  <c r="B9" i="99"/>
  <c r="C8" i="99"/>
  <c r="D8" i="99"/>
  <c r="E8" i="99"/>
  <c r="F8" i="99"/>
  <c r="G8" i="99"/>
  <c r="B8" i="99"/>
  <c r="C7" i="99"/>
  <c r="E7" i="99"/>
  <c r="F7" i="99"/>
  <c r="G7" i="99"/>
  <c r="C6" i="99"/>
  <c r="E6" i="99"/>
  <c r="F6" i="99"/>
  <c r="G6" i="99"/>
  <c r="C5" i="99"/>
  <c r="E5" i="99"/>
  <c r="F5" i="99"/>
  <c r="G5" i="99"/>
  <c r="C4" i="99"/>
  <c r="D4" i="99"/>
  <c r="E4" i="99"/>
  <c r="F4" i="99"/>
  <c r="G4" i="99"/>
  <c r="B4" i="99"/>
  <c r="I4" i="99"/>
  <c r="I5" i="99"/>
  <c r="I6" i="99"/>
  <c r="I7" i="99"/>
  <c r="I8" i="99"/>
  <c r="I9" i="99"/>
  <c r="I3" i="99"/>
  <c r="K8" i="98"/>
  <c r="K7" i="98"/>
  <c r="K6" i="98"/>
  <c r="K5" i="98"/>
  <c r="K4" i="98"/>
  <c r="K3" i="98"/>
  <c r="C9" i="98"/>
  <c r="D9" i="98"/>
  <c r="E9" i="98"/>
  <c r="F9" i="98"/>
  <c r="G9" i="98"/>
  <c r="B9" i="98"/>
  <c r="C7" i="98"/>
  <c r="E7" i="98"/>
  <c r="F7" i="98"/>
  <c r="G7" i="98"/>
  <c r="C8" i="98"/>
  <c r="D8" i="98"/>
  <c r="E8" i="98"/>
  <c r="F8" i="98"/>
  <c r="G8" i="98"/>
  <c r="B8" i="98"/>
  <c r="C6" i="98"/>
  <c r="E6" i="98"/>
  <c r="F6" i="98"/>
  <c r="G6" i="98"/>
  <c r="C5" i="98"/>
  <c r="E5" i="98"/>
  <c r="F5" i="98"/>
  <c r="G5" i="98"/>
  <c r="C4" i="98"/>
  <c r="D4" i="98"/>
  <c r="E4" i="98"/>
  <c r="F4" i="98"/>
  <c r="G4" i="98"/>
  <c r="B4" i="98"/>
  <c r="I4" i="98"/>
  <c r="I5" i="98"/>
  <c r="I6" i="98"/>
  <c r="I7" i="98"/>
  <c r="I8" i="98"/>
  <c r="I9" i="98"/>
  <c r="I3" i="98"/>
  <c r="K8" i="97"/>
  <c r="K7" i="97"/>
  <c r="K6" i="97"/>
  <c r="K5" i="97"/>
  <c r="K4" i="97"/>
  <c r="K3" i="97"/>
  <c r="C9" i="97"/>
  <c r="D9" i="97"/>
  <c r="E9" i="97"/>
  <c r="F9" i="97"/>
  <c r="G9" i="97"/>
  <c r="B9" i="97"/>
  <c r="C8" i="97"/>
  <c r="D8" i="97"/>
  <c r="E8" i="97"/>
  <c r="F8" i="97"/>
  <c r="G8" i="97"/>
  <c r="B8" i="97"/>
  <c r="C7" i="97"/>
  <c r="E7" i="97"/>
  <c r="F7" i="97"/>
  <c r="G7" i="97"/>
  <c r="C6" i="97"/>
  <c r="E6" i="97"/>
  <c r="F6" i="97"/>
  <c r="G6" i="97"/>
  <c r="G5" i="97"/>
  <c r="C5" i="97"/>
  <c r="E5" i="97"/>
  <c r="F5" i="97"/>
  <c r="C4" i="97"/>
  <c r="D4" i="97"/>
  <c r="E4" i="97"/>
  <c r="F4" i="97"/>
  <c r="G4" i="97"/>
  <c r="B4" i="97"/>
  <c r="I4" i="97"/>
  <c r="I5" i="97"/>
  <c r="I6" i="97"/>
  <c r="I7" i="97"/>
  <c r="I8" i="97"/>
  <c r="I9" i="97"/>
  <c r="I3" i="97"/>
  <c r="K8" i="96"/>
  <c r="K7" i="96"/>
  <c r="K6" i="96"/>
  <c r="K5" i="96"/>
  <c r="K4" i="96"/>
  <c r="K3" i="96"/>
  <c r="C9" i="96"/>
  <c r="D9" i="96"/>
  <c r="E9" i="96"/>
  <c r="F9" i="96"/>
  <c r="G9" i="96"/>
  <c r="B9" i="96"/>
  <c r="C8" i="96"/>
  <c r="D8" i="96"/>
  <c r="E8" i="96"/>
  <c r="F8" i="96"/>
  <c r="G8" i="96"/>
  <c r="B8" i="96"/>
  <c r="C7" i="96"/>
  <c r="E7" i="96"/>
  <c r="F7" i="96"/>
  <c r="G7" i="96"/>
  <c r="C6" i="96"/>
  <c r="E6" i="96"/>
  <c r="F6" i="96"/>
  <c r="G6" i="96"/>
  <c r="C5" i="96"/>
  <c r="E5" i="96"/>
  <c r="F5" i="96"/>
  <c r="G5" i="96"/>
  <c r="C4" i="96"/>
  <c r="D4" i="96"/>
  <c r="E4" i="96"/>
  <c r="F4" i="96"/>
  <c r="G4" i="96"/>
  <c r="B4" i="96"/>
  <c r="I4" i="96"/>
  <c r="I5" i="96"/>
  <c r="I6" i="96"/>
  <c r="I7" i="96"/>
  <c r="I8" i="96"/>
  <c r="I9" i="96"/>
  <c r="I3" i="96"/>
  <c r="K8" i="95"/>
  <c r="K7" i="95"/>
  <c r="K6" i="95"/>
  <c r="K5" i="95"/>
  <c r="K4" i="95"/>
  <c r="K3" i="95"/>
  <c r="C9" i="95"/>
  <c r="D9" i="95"/>
  <c r="E9" i="95"/>
  <c r="F9" i="95"/>
  <c r="G9" i="95"/>
  <c r="B9" i="95"/>
  <c r="C8" i="95"/>
  <c r="D8" i="95"/>
  <c r="E8" i="95"/>
  <c r="F8" i="95"/>
  <c r="G8" i="95"/>
  <c r="B8" i="95"/>
  <c r="C7" i="95"/>
  <c r="E7" i="95"/>
  <c r="F7" i="95"/>
  <c r="G7" i="95"/>
  <c r="C6" i="95"/>
  <c r="E6" i="95"/>
  <c r="F6" i="95"/>
  <c r="G6" i="95"/>
  <c r="F5" i="95"/>
  <c r="G5" i="95"/>
  <c r="E5" i="95"/>
  <c r="C5" i="95"/>
  <c r="C4" i="95"/>
  <c r="D4" i="95"/>
  <c r="E4" i="95"/>
  <c r="F4" i="95"/>
  <c r="G4" i="95"/>
  <c r="B4" i="95"/>
  <c r="I4" i="95"/>
  <c r="I5" i="95"/>
  <c r="I6" i="95"/>
  <c r="I7" i="95"/>
  <c r="I8" i="95"/>
  <c r="I9" i="95"/>
  <c r="I3" i="95"/>
  <c r="K8" i="100" l="1"/>
  <c r="K7" i="100"/>
  <c r="K6" i="100"/>
  <c r="K5" i="100"/>
  <c r="K4" i="100"/>
  <c r="K3" i="100"/>
  <c r="C9" i="100" l="1"/>
  <c r="D9" i="100"/>
  <c r="E9" i="100"/>
  <c r="F9" i="100"/>
  <c r="G9" i="100"/>
  <c r="B9" i="100"/>
  <c r="C8" i="100"/>
  <c r="D8" i="100"/>
  <c r="E8" i="100"/>
  <c r="F8" i="100"/>
  <c r="G8" i="100"/>
  <c r="B8" i="100"/>
  <c r="F7" i="100"/>
  <c r="G7" i="100"/>
  <c r="E7" i="100"/>
  <c r="C7" i="100"/>
  <c r="F6" i="100"/>
  <c r="G6" i="100"/>
  <c r="E6" i="100"/>
  <c r="C6" i="100"/>
  <c r="F5" i="100"/>
  <c r="G5" i="100"/>
  <c r="E5" i="100"/>
  <c r="C5" i="100"/>
  <c r="C4" i="100"/>
  <c r="D4" i="100"/>
  <c r="E4" i="100"/>
  <c r="F4" i="100"/>
  <c r="G4" i="100"/>
  <c r="B4" i="100"/>
  <c r="I4" i="100"/>
  <c r="I5" i="100"/>
  <c r="I6" i="100"/>
  <c r="I7" i="100"/>
  <c r="I8" i="100"/>
  <c r="I9" i="100"/>
  <c r="I3" i="100"/>
  <c r="BS103" i="10"/>
  <c r="BA103" i="10"/>
  <c r="AI103" i="10"/>
  <c r="K8" i="94"/>
  <c r="K7" i="94"/>
  <c r="K6" i="94"/>
  <c r="K5" i="94"/>
  <c r="K4" i="94"/>
  <c r="K3" i="94"/>
  <c r="C9" i="94"/>
  <c r="D9" i="94"/>
  <c r="E9" i="94"/>
  <c r="F9" i="94"/>
  <c r="G9" i="94"/>
  <c r="B9" i="94"/>
  <c r="C8" i="94"/>
  <c r="D8" i="94"/>
  <c r="E8" i="94"/>
  <c r="F8" i="94"/>
  <c r="G8" i="94"/>
  <c r="B8" i="94"/>
  <c r="F7" i="94"/>
  <c r="G7" i="94"/>
  <c r="E7" i="94"/>
  <c r="C7" i="94"/>
  <c r="F6" i="94"/>
  <c r="G6" i="94"/>
  <c r="E6" i="94"/>
  <c r="C6" i="94"/>
  <c r="F5" i="94"/>
  <c r="G5" i="94"/>
  <c r="E5" i="94"/>
  <c r="C5" i="94"/>
  <c r="C4" i="94"/>
  <c r="D4" i="94"/>
  <c r="E4" i="94"/>
  <c r="F4" i="94"/>
  <c r="G4" i="94"/>
  <c r="B4" i="94"/>
  <c r="I4" i="94"/>
  <c r="I5" i="94"/>
  <c r="I6" i="94"/>
  <c r="I7" i="94"/>
  <c r="I8" i="94"/>
  <c r="I9" i="94"/>
  <c r="I3" i="94"/>
  <c r="K8" i="93"/>
  <c r="K7" i="93"/>
  <c r="K6" i="93"/>
  <c r="K5" i="93"/>
  <c r="K4" i="93"/>
  <c r="K3" i="93"/>
  <c r="C9" i="93"/>
  <c r="D9" i="93"/>
  <c r="E9" i="93"/>
  <c r="F9" i="93"/>
  <c r="G9" i="93"/>
  <c r="B9" i="93"/>
  <c r="C8" i="93"/>
  <c r="D8" i="93"/>
  <c r="E8" i="93"/>
  <c r="F8" i="93"/>
  <c r="G8" i="93"/>
  <c r="B8" i="93"/>
  <c r="C7" i="93"/>
  <c r="E7" i="93"/>
  <c r="F7" i="93"/>
  <c r="G7" i="93"/>
  <c r="F6" i="93"/>
  <c r="G6" i="93"/>
  <c r="E6" i="93"/>
  <c r="C6" i="93"/>
  <c r="G5" i="93"/>
  <c r="F5" i="93"/>
  <c r="E5" i="93"/>
  <c r="C5" i="93"/>
  <c r="C4" i="93"/>
  <c r="D4" i="93"/>
  <c r="E4" i="93"/>
  <c r="F4" i="93"/>
  <c r="G4" i="93"/>
  <c r="B4" i="93"/>
  <c r="I4" i="93"/>
  <c r="I5" i="93"/>
  <c r="I6" i="93"/>
  <c r="I7" i="93"/>
  <c r="I8" i="93"/>
  <c r="I9" i="93"/>
  <c r="I3" i="93"/>
  <c r="BS102" i="10"/>
  <c r="BA102" i="10"/>
  <c r="AI102" i="10"/>
  <c r="K8" i="92"/>
  <c r="K7" i="92"/>
  <c r="K6" i="92"/>
  <c r="K5" i="92"/>
  <c r="K4" i="92"/>
  <c r="K3" i="92"/>
  <c r="C9" i="92"/>
  <c r="D9" i="92"/>
  <c r="E9" i="92"/>
  <c r="F9" i="92"/>
  <c r="G9" i="92"/>
  <c r="B9" i="92"/>
  <c r="C8" i="92"/>
  <c r="D8" i="92"/>
  <c r="E8" i="92"/>
  <c r="F8" i="92"/>
  <c r="G8" i="92"/>
  <c r="B8" i="92"/>
  <c r="F7" i="92"/>
  <c r="G7" i="92"/>
  <c r="E7" i="92"/>
  <c r="C7" i="92"/>
  <c r="F6" i="92"/>
  <c r="G6" i="92"/>
  <c r="E6" i="92"/>
  <c r="C6" i="92"/>
  <c r="F5" i="92"/>
  <c r="G5" i="92"/>
  <c r="E5" i="92"/>
  <c r="C5" i="92"/>
  <c r="C4" i="92"/>
  <c r="D4" i="92"/>
  <c r="E4" i="92"/>
  <c r="F4" i="92"/>
  <c r="G4" i="92"/>
  <c r="B4" i="92"/>
  <c r="I4" i="92"/>
  <c r="I5" i="92"/>
  <c r="I6" i="92"/>
  <c r="I7" i="92"/>
  <c r="I8" i="92"/>
  <c r="I9" i="92"/>
  <c r="I3" i="92"/>
  <c r="K8" i="90"/>
  <c r="K7" i="90"/>
  <c r="K6" i="90"/>
  <c r="K5" i="90"/>
  <c r="K4" i="90"/>
  <c r="K3" i="90"/>
  <c r="C9" i="90"/>
  <c r="D9" i="90"/>
  <c r="E9" i="90"/>
  <c r="F9" i="90"/>
  <c r="G9" i="90"/>
  <c r="B9" i="90"/>
  <c r="C8" i="90"/>
  <c r="D8" i="90"/>
  <c r="E8" i="90"/>
  <c r="F8" i="90"/>
  <c r="G8" i="90"/>
  <c r="B8" i="90"/>
  <c r="C7" i="90"/>
  <c r="E7" i="90"/>
  <c r="F7" i="90"/>
  <c r="G7" i="90"/>
  <c r="C6" i="90"/>
  <c r="E6" i="90"/>
  <c r="F6" i="90"/>
  <c r="G6" i="90"/>
  <c r="C5" i="90"/>
  <c r="E5" i="90"/>
  <c r="F5" i="90"/>
  <c r="G5" i="90"/>
  <c r="C4" i="90"/>
  <c r="D4" i="90"/>
  <c r="E4" i="90"/>
  <c r="F4" i="90"/>
  <c r="G4" i="90"/>
  <c r="B4" i="90"/>
  <c r="I4" i="90"/>
  <c r="I5" i="90"/>
  <c r="I6" i="90"/>
  <c r="I7" i="90"/>
  <c r="I8" i="90"/>
  <c r="I9" i="90"/>
  <c r="I3" i="90"/>
  <c r="K8" i="89"/>
  <c r="K7" i="89"/>
  <c r="K6" i="89"/>
  <c r="K4" i="89"/>
  <c r="K5" i="89"/>
  <c r="K3" i="89"/>
  <c r="C9" i="89"/>
  <c r="D9" i="89"/>
  <c r="E9" i="89"/>
  <c r="F9" i="89"/>
  <c r="G9" i="89"/>
  <c r="B9" i="89"/>
  <c r="C8" i="89"/>
  <c r="D8" i="89"/>
  <c r="E8" i="89"/>
  <c r="F8" i="89"/>
  <c r="G8" i="89"/>
  <c r="B8" i="89"/>
  <c r="F7" i="89"/>
  <c r="G7" i="89"/>
  <c r="E7" i="89"/>
  <c r="C7" i="89"/>
  <c r="F6" i="89"/>
  <c r="G6" i="89"/>
  <c r="E6" i="89"/>
  <c r="C6" i="89"/>
  <c r="F5" i="89"/>
  <c r="G5" i="89"/>
  <c r="E5" i="89"/>
  <c r="C5" i="89"/>
  <c r="C4" i="89"/>
  <c r="D4" i="89"/>
  <c r="E4" i="89"/>
  <c r="F4" i="89"/>
  <c r="G4" i="89"/>
  <c r="B4" i="89"/>
  <c r="I4" i="89"/>
  <c r="I5" i="89"/>
  <c r="I6" i="89"/>
  <c r="I7" i="89"/>
  <c r="I8" i="89"/>
  <c r="I9" i="89"/>
  <c r="I3" i="89"/>
  <c r="BS101" i="10"/>
  <c r="BA92" i="10"/>
  <c r="BA93" i="10"/>
  <c r="BA94" i="10"/>
  <c r="BA95" i="10"/>
  <c r="BA96" i="10"/>
  <c r="BA97" i="10"/>
  <c r="BA98" i="10"/>
  <c r="BA99" i="10"/>
  <c r="BA100" i="10"/>
  <c r="BA101" i="10"/>
  <c r="BS100" i="10"/>
  <c r="BS99" i="10"/>
  <c r="BS98" i="10"/>
  <c r="BS97" i="10"/>
  <c r="BS96" i="10"/>
  <c r="BS95" i="10"/>
  <c r="BS94" i="10"/>
  <c r="BS93" i="10"/>
  <c r="BS92" i="10"/>
  <c r="AI92" i="10" l="1"/>
  <c r="AI93" i="10"/>
  <c r="AI94" i="10"/>
  <c r="AI95" i="10"/>
  <c r="AI96" i="10"/>
  <c r="AI97" i="10"/>
  <c r="AI98" i="10"/>
  <c r="AI99" i="10"/>
  <c r="AI100" i="10"/>
  <c r="AI101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08" i="10"/>
  <c r="Q109" i="10"/>
  <c r="Q110" i="10"/>
  <c r="Q111" i="10"/>
  <c r="Q112" i="10"/>
  <c r="Q113" i="10"/>
  <c r="Q114" i="10"/>
  <c r="Q115" i="10"/>
  <c r="Q116" i="10"/>
  <c r="Q117" i="10"/>
  <c r="K8" i="88"/>
  <c r="K7" i="88"/>
  <c r="K6" i="88"/>
  <c r="K5" i="88"/>
  <c r="K4" i="88"/>
  <c r="K3" i="88"/>
  <c r="C9" i="88"/>
  <c r="D9" i="88"/>
  <c r="E9" i="88"/>
  <c r="F9" i="88"/>
  <c r="G9" i="88"/>
  <c r="B9" i="88"/>
  <c r="C8" i="88"/>
  <c r="D8" i="88"/>
  <c r="E8" i="88"/>
  <c r="F8" i="88"/>
  <c r="G8" i="88"/>
  <c r="B8" i="88"/>
  <c r="C7" i="88"/>
  <c r="E7" i="88"/>
  <c r="F7" i="88"/>
  <c r="G7" i="88"/>
  <c r="C6" i="88"/>
  <c r="E6" i="88"/>
  <c r="F6" i="88"/>
  <c r="G6" i="88"/>
  <c r="C5" i="88"/>
  <c r="E5" i="88"/>
  <c r="F5" i="88"/>
  <c r="G5" i="88"/>
  <c r="C4" i="88"/>
  <c r="D4" i="88"/>
  <c r="E4" i="88"/>
  <c r="F4" i="88"/>
  <c r="G4" i="88"/>
  <c r="B4" i="88"/>
  <c r="I4" i="88"/>
  <c r="I5" i="88"/>
  <c r="I6" i="88"/>
  <c r="I7" i="88"/>
  <c r="I8" i="88"/>
  <c r="I9" i="88"/>
  <c r="I3" i="88"/>
  <c r="BS91" i="10"/>
  <c r="BA91" i="10"/>
  <c r="AI91" i="10"/>
  <c r="K8" i="87"/>
  <c r="K7" i="87"/>
  <c r="K6" i="87"/>
  <c r="K5" i="87"/>
  <c r="K4" i="87"/>
  <c r="K3" i="87"/>
  <c r="C9" i="87"/>
  <c r="D9" i="87"/>
  <c r="E9" i="87"/>
  <c r="F9" i="87"/>
  <c r="G9" i="87"/>
  <c r="B9" i="87"/>
  <c r="B8" i="87"/>
  <c r="C8" i="87"/>
  <c r="D8" i="87"/>
  <c r="E8" i="87"/>
  <c r="F8" i="87"/>
  <c r="G8" i="87"/>
  <c r="F7" i="87"/>
  <c r="G7" i="87"/>
  <c r="E7" i="87"/>
  <c r="C7" i="87"/>
  <c r="F6" i="87"/>
  <c r="G6" i="87"/>
  <c r="E6" i="87"/>
  <c r="C6" i="87"/>
  <c r="F5" i="87"/>
  <c r="G5" i="87"/>
  <c r="E5" i="87"/>
  <c r="C5" i="87"/>
  <c r="C4" i="87"/>
  <c r="D4" i="87"/>
  <c r="E4" i="87"/>
  <c r="F4" i="87"/>
  <c r="G4" i="87"/>
  <c r="B4" i="87"/>
  <c r="I4" i="87"/>
  <c r="I5" i="87"/>
  <c r="I6" i="87"/>
  <c r="I7" i="87"/>
  <c r="I8" i="87"/>
  <c r="I9" i="87"/>
  <c r="I3" i="87"/>
  <c r="BS90" i="10"/>
  <c r="BA90" i="10"/>
  <c r="AI90" i="10"/>
  <c r="K8" i="86"/>
  <c r="K7" i="86"/>
  <c r="K6" i="86"/>
  <c r="K5" i="86"/>
  <c r="K4" i="86"/>
  <c r="K3" i="86"/>
  <c r="C9" i="86"/>
  <c r="D9" i="86"/>
  <c r="E9" i="86"/>
  <c r="F9" i="86"/>
  <c r="G9" i="86"/>
  <c r="B9" i="86"/>
  <c r="C8" i="86"/>
  <c r="D8" i="86"/>
  <c r="E8" i="86"/>
  <c r="F8" i="86"/>
  <c r="G8" i="86"/>
  <c r="B8" i="86"/>
  <c r="C7" i="86"/>
  <c r="E7" i="86"/>
  <c r="F7" i="86"/>
  <c r="G7" i="86"/>
  <c r="C6" i="86"/>
  <c r="E6" i="86"/>
  <c r="F6" i="86"/>
  <c r="G6" i="86"/>
  <c r="C5" i="86"/>
  <c r="E5" i="86"/>
  <c r="F5" i="86"/>
  <c r="G5" i="86"/>
  <c r="C4" i="86"/>
  <c r="D4" i="86"/>
  <c r="E4" i="86"/>
  <c r="F4" i="86"/>
  <c r="G4" i="86"/>
  <c r="B4" i="86"/>
  <c r="I4" i="86"/>
  <c r="I5" i="86"/>
  <c r="I6" i="86"/>
  <c r="I7" i="86"/>
  <c r="I8" i="86"/>
  <c r="I9" i="86"/>
  <c r="I3" i="86"/>
  <c r="K8" i="85"/>
  <c r="K7" i="85"/>
  <c r="K6" i="85"/>
  <c r="K5" i="85"/>
  <c r="K4" i="85"/>
  <c r="K3" i="85"/>
  <c r="C9" i="85"/>
  <c r="D9" i="85"/>
  <c r="E9" i="85"/>
  <c r="F9" i="85"/>
  <c r="G9" i="85"/>
  <c r="B9" i="85"/>
  <c r="C8" i="85"/>
  <c r="D8" i="85"/>
  <c r="E8" i="85"/>
  <c r="F8" i="85"/>
  <c r="G8" i="85"/>
  <c r="B8" i="85"/>
  <c r="C7" i="85"/>
  <c r="E7" i="85"/>
  <c r="F7" i="85"/>
  <c r="G7" i="85"/>
  <c r="C6" i="85"/>
  <c r="E6" i="85"/>
  <c r="F6" i="85"/>
  <c r="G6" i="85"/>
  <c r="F5" i="85"/>
  <c r="G5" i="85"/>
  <c r="E5" i="85"/>
  <c r="C5" i="85"/>
  <c r="C4" i="85"/>
  <c r="D4" i="85"/>
  <c r="E4" i="85"/>
  <c r="F4" i="85"/>
  <c r="G4" i="85"/>
  <c r="B4" i="85"/>
  <c r="I4" i="85"/>
  <c r="I5" i="85"/>
  <c r="I6" i="85"/>
  <c r="I7" i="85"/>
  <c r="I8" i="85"/>
  <c r="I9" i="85"/>
  <c r="I3" i="85"/>
  <c r="K8" i="84"/>
  <c r="K7" i="84"/>
  <c r="K6" i="84"/>
  <c r="K5" i="84"/>
  <c r="K4" i="84"/>
  <c r="K3" i="84"/>
  <c r="C9" i="84"/>
  <c r="D9" i="84"/>
  <c r="E9" i="84"/>
  <c r="F9" i="84"/>
  <c r="G9" i="84"/>
  <c r="B9" i="84"/>
  <c r="C8" i="84"/>
  <c r="D8" i="84"/>
  <c r="E8" i="84"/>
  <c r="F8" i="84"/>
  <c r="G8" i="84"/>
  <c r="B8" i="84"/>
  <c r="C7" i="84"/>
  <c r="E7" i="84"/>
  <c r="F7" i="84"/>
  <c r="G7" i="84"/>
  <c r="C6" i="84"/>
  <c r="E6" i="84"/>
  <c r="F6" i="84"/>
  <c r="G6" i="84"/>
  <c r="C5" i="84"/>
  <c r="E5" i="84"/>
  <c r="F5" i="84"/>
  <c r="G5" i="84"/>
  <c r="C4" i="84"/>
  <c r="D4" i="84"/>
  <c r="E4" i="84"/>
  <c r="F4" i="84"/>
  <c r="G4" i="84"/>
  <c r="B4" i="84"/>
  <c r="I4" i="84"/>
  <c r="I5" i="84"/>
  <c r="I6" i="84"/>
  <c r="I7" i="84"/>
  <c r="I8" i="84"/>
  <c r="I9" i="84"/>
  <c r="I3" i="84"/>
  <c r="K8" i="83"/>
  <c r="K7" i="83"/>
  <c r="K6" i="83"/>
  <c r="K5" i="83"/>
  <c r="K4" i="83"/>
  <c r="K3" i="83"/>
  <c r="C9" i="83"/>
  <c r="D9" i="83"/>
  <c r="E9" i="83"/>
  <c r="F9" i="83"/>
  <c r="G9" i="83"/>
  <c r="B9" i="83"/>
  <c r="C8" i="83"/>
  <c r="D8" i="83"/>
  <c r="E8" i="83"/>
  <c r="F8" i="83"/>
  <c r="G8" i="83"/>
  <c r="B8" i="83"/>
  <c r="C7" i="83"/>
  <c r="E7" i="83"/>
  <c r="F7" i="83"/>
  <c r="G7" i="83"/>
  <c r="C6" i="83"/>
  <c r="E6" i="83"/>
  <c r="F6" i="83"/>
  <c r="G6" i="83"/>
  <c r="C5" i="83"/>
  <c r="E5" i="83"/>
  <c r="F5" i="83"/>
  <c r="G5" i="83"/>
  <c r="C4" i="83"/>
  <c r="D4" i="83"/>
  <c r="E4" i="83"/>
  <c r="F4" i="83"/>
  <c r="G4" i="83"/>
  <c r="B4" i="83"/>
  <c r="I4" i="83"/>
  <c r="I5" i="83"/>
  <c r="I6" i="83"/>
  <c r="I7" i="83"/>
  <c r="I8" i="83"/>
  <c r="I9" i="83"/>
  <c r="I3" i="83"/>
  <c r="K8" i="82"/>
  <c r="K7" i="82"/>
  <c r="C9" i="82"/>
  <c r="D9" i="82"/>
  <c r="E9" i="82"/>
  <c r="F9" i="82"/>
  <c r="G9" i="82"/>
  <c r="B9" i="82"/>
  <c r="C8" i="82"/>
  <c r="D8" i="82"/>
  <c r="E8" i="82"/>
  <c r="F8" i="82"/>
  <c r="G8" i="82"/>
  <c r="B8" i="82"/>
  <c r="F7" i="82"/>
  <c r="G7" i="82"/>
  <c r="E7" i="82"/>
  <c r="K6" i="82"/>
  <c r="K5" i="82"/>
  <c r="K4" i="82"/>
  <c r="K3" i="82"/>
  <c r="C7" i="82"/>
  <c r="F6" i="82"/>
  <c r="G6" i="82"/>
  <c r="E6" i="82"/>
  <c r="C6" i="82"/>
  <c r="F5" i="82"/>
  <c r="G5" i="82"/>
  <c r="E5" i="82"/>
  <c r="C5" i="82"/>
  <c r="C4" i="82"/>
  <c r="D4" i="82"/>
  <c r="E4" i="82"/>
  <c r="F4" i="82"/>
  <c r="G4" i="82"/>
  <c r="B4" i="82"/>
  <c r="I4" i="82"/>
  <c r="I5" i="82"/>
  <c r="I6" i="82"/>
  <c r="I7" i="82"/>
  <c r="I8" i="82"/>
  <c r="I9" i="82"/>
  <c r="I3" i="82"/>
  <c r="BS89" i="10"/>
  <c r="BS88" i="10"/>
  <c r="BS87" i="10"/>
  <c r="BS86" i="10"/>
  <c r="BS85" i="10"/>
  <c r="BA86" i="10"/>
  <c r="BA87" i="10"/>
  <c r="BA88" i="10"/>
  <c r="BA89" i="10"/>
  <c r="BA85" i="10"/>
  <c r="AI85" i="10"/>
  <c r="AI86" i="10"/>
  <c r="AI87" i="10"/>
  <c r="AI88" i="10"/>
  <c r="AI89" i="10"/>
  <c r="Q87" i="10"/>
  <c r="Q88" i="10"/>
  <c r="Q89" i="10"/>
  <c r="Q90" i="10"/>
  <c r="Q91" i="10"/>
  <c r="Q92" i="10"/>
  <c r="Q93" i="10"/>
  <c r="K8" i="81"/>
  <c r="K6" i="81"/>
  <c r="K5" i="81"/>
  <c r="K4" i="81"/>
  <c r="K3" i="81"/>
  <c r="C9" i="81"/>
  <c r="D9" i="81"/>
  <c r="E9" i="81"/>
  <c r="F9" i="81"/>
  <c r="G9" i="81"/>
  <c r="B9" i="81"/>
  <c r="C8" i="81"/>
  <c r="D8" i="81"/>
  <c r="E8" i="81"/>
  <c r="F8" i="81"/>
  <c r="G8" i="81"/>
  <c r="B8" i="81"/>
  <c r="C7" i="81"/>
  <c r="E7" i="81"/>
  <c r="F7" i="81"/>
  <c r="G7" i="81"/>
  <c r="C6" i="81"/>
  <c r="E6" i="81"/>
  <c r="F6" i="81"/>
  <c r="G6" i="81"/>
  <c r="C5" i="81"/>
  <c r="E5" i="81"/>
  <c r="F5" i="81"/>
  <c r="G5" i="81"/>
  <c r="C4" i="81"/>
  <c r="D4" i="81"/>
  <c r="E4" i="81"/>
  <c r="F4" i="81"/>
  <c r="G4" i="81"/>
  <c r="B4" i="81"/>
  <c r="I4" i="81"/>
  <c r="I5" i="81"/>
  <c r="I6" i="81"/>
  <c r="I7" i="81"/>
  <c r="I8" i="81"/>
  <c r="I9" i="81"/>
  <c r="I3" i="81"/>
  <c r="BS84" i="10"/>
  <c r="BA84" i="10"/>
  <c r="AI84" i="10"/>
  <c r="K8" i="80"/>
  <c r="C8" i="80"/>
  <c r="D8" i="80"/>
  <c r="E8" i="80"/>
  <c r="F8" i="80"/>
  <c r="G8" i="80"/>
  <c r="B8" i="80"/>
  <c r="K7" i="80"/>
  <c r="K6" i="80"/>
  <c r="K5" i="80"/>
  <c r="K4" i="80"/>
  <c r="K3" i="80"/>
  <c r="C9" i="80"/>
  <c r="D9" i="80"/>
  <c r="E9" i="80"/>
  <c r="F9" i="80"/>
  <c r="G9" i="80"/>
  <c r="B9" i="80"/>
  <c r="C7" i="80"/>
  <c r="E7" i="80"/>
  <c r="F7" i="80"/>
  <c r="G7" i="80"/>
  <c r="C6" i="80"/>
  <c r="E6" i="80"/>
  <c r="F6" i="80"/>
  <c r="G6" i="80"/>
  <c r="C5" i="80"/>
  <c r="E5" i="80"/>
  <c r="F5" i="80"/>
  <c r="G5" i="80"/>
  <c r="C4" i="80"/>
  <c r="D4" i="80"/>
  <c r="E4" i="80"/>
  <c r="F4" i="80"/>
  <c r="G4" i="80"/>
  <c r="B4" i="80"/>
  <c r="I4" i="80"/>
  <c r="I5" i="80"/>
  <c r="I6" i="80"/>
  <c r="I7" i="80"/>
  <c r="I8" i="80"/>
  <c r="I9" i="80"/>
  <c r="I3" i="80"/>
  <c r="BS83" i="10"/>
  <c r="BA83" i="10"/>
  <c r="AI83" i="10"/>
  <c r="K8" i="79"/>
  <c r="K7" i="79"/>
  <c r="K6" i="79"/>
  <c r="K5" i="79"/>
  <c r="K4" i="79"/>
  <c r="K3" i="79"/>
  <c r="G7" i="79"/>
  <c r="G6" i="79"/>
  <c r="G5" i="79"/>
  <c r="C9" i="79"/>
  <c r="D9" i="79"/>
  <c r="E9" i="79"/>
  <c r="F9" i="79"/>
  <c r="G9" i="79"/>
  <c r="B9" i="79"/>
  <c r="C8" i="79"/>
  <c r="D8" i="79"/>
  <c r="E8" i="79"/>
  <c r="F8" i="79"/>
  <c r="G8" i="79"/>
  <c r="B8" i="79"/>
  <c r="C7" i="79"/>
  <c r="E7" i="79"/>
  <c r="F7" i="79"/>
  <c r="C6" i="79"/>
  <c r="E6" i="79"/>
  <c r="F6" i="79"/>
  <c r="C5" i="79"/>
  <c r="E5" i="79"/>
  <c r="F5" i="79"/>
  <c r="C4" i="79"/>
  <c r="D4" i="79"/>
  <c r="E4" i="79"/>
  <c r="F4" i="79"/>
  <c r="G4" i="79"/>
  <c r="B4" i="79"/>
  <c r="I4" i="79"/>
  <c r="I5" i="79"/>
  <c r="I6" i="79"/>
  <c r="I7" i="79"/>
  <c r="I8" i="79"/>
  <c r="I9" i="79"/>
  <c r="I3" i="79"/>
  <c r="BS82" i="10" l="1"/>
  <c r="BA82" i="10"/>
  <c r="AI82" i="10"/>
  <c r="K8" i="78"/>
  <c r="K7" i="78"/>
  <c r="K6" i="78"/>
  <c r="K5" i="78"/>
  <c r="K4" i="78"/>
  <c r="K3" i="78"/>
  <c r="C9" i="78"/>
  <c r="D9" i="78"/>
  <c r="E9" i="78"/>
  <c r="F9" i="78"/>
  <c r="G9" i="78"/>
  <c r="B9" i="78"/>
  <c r="C8" i="78"/>
  <c r="D8" i="78"/>
  <c r="E8" i="78"/>
  <c r="F8" i="78"/>
  <c r="G8" i="78"/>
  <c r="B8" i="78"/>
  <c r="C7" i="78"/>
  <c r="E7" i="78"/>
  <c r="F7" i="78"/>
  <c r="G7" i="78"/>
  <c r="C6" i="78"/>
  <c r="E6" i="78"/>
  <c r="F6" i="78"/>
  <c r="G6" i="78"/>
  <c r="C5" i="78"/>
  <c r="E5" i="78"/>
  <c r="F5" i="78"/>
  <c r="G5" i="78"/>
  <c r="C4" i="78"/>
  <c r="D4" i="78"/>
  <c r="E4" i="78"/>
  <c r="F4" i="78"/>
  <c r="G4" i="78"/>
  <c r="B4" i="78"/>
  <c r="I4" i="78"/>
  <c r="I5" i="78"/>
  <c r="I6" i="78"/>
  <c r="I7" i="78"/>
  <c r="I8" i="78"/>
  <c r="I9" i="78"/>
  <c r="I3" i="78"/>
  <c r="BS81" i="10"/>
  <c r="BA81" i="10"/>
  <c r="AI81" i="10"/>
  <c r="K8" i="77"/>
  <c r="K7" i="77"/>
  <c r="K6" i="77"/>
  <c r="K5" i="77"/>
  <c r="K4" i="77"/>
  <c r="K3" i="77"/>
  <c r="C9" i="77"/>
  <c r="D9" i="77"/>
  <c r="E9" i="77"/>
  <c r="F9" i="77"/>
  <c r="G9" i="77"/>
  <c r="B9" i="77"/>
  <c r="C8" i="77"/>
  <c r="D8" i="77"/>
  <c r="E8" i="77"/>
  <c r="F8" i="77"/>
  <c r="G8" i="77"/>
  <c r="B8" i="77"/>
  <c r="C7" i="77"/>
  <c r="E7" i="77"/>
  <c r="F7" i="77"/>
  <c r="G7" i="77"/>
  <c r="C6" i="77"/>
  <c r="E6" i="77"/>
  <c r="F6" i="77"/>
  <c r="G6" i="77"/>
  <c r="C5" i="77"/>
  <c r="E5" i="77"/>
  <c r="F5" i="77"/>
  <c r="G5" i="77"/>
  <c r="C4" i="77"/>
  <c r="D4" i="77"/>
  <c r="E4" i="77"/>
  <c r="F4" i="77"/>
  <c r="G4" i="77"/>
  <c r="B4" i="77"/>
  <c r="I4" i="77"/>
  <c r="I5" i="77"/>
  <c r="I6" i="77"/>
  <c r="I7" i="77"/>
  <c r="I8" i="77"/>
  <c r="I9" i="77"/>
  <c r="I3" i="77"/>
  <c r="K8" i="75"/>
  <c r="K7" i="75"/>
  <c r="K6" i="75"/>
  <c r="K5" i="75"/>
  <c r="K4" i="75"/>
  <c r="K3" i="75"/>
  <c r="C9" i="75"/>
  <c r="D9" i="75"/>
  <c r="E9" i="75"/>
  <c r="F9" i="75"/>
  <c r="G9" i="75"/>
  <c r="B9" i="75"/>
  <c r="C8" i="75"/>
  <c r="D8" i="75"/>
  <c r="E8" i="75"/>
  <c r="F8" i="75"/>
  <c r="G8" i="75"/>
  <c r="B8" i="75"/>
  <c r="C7" i="75"/>
  <c r="E7" i="75"/>
  <c r="F7" i="75"/>
  <c r="G7" i="75"/>
  <c r="C6" i="75"/>
  <c r="E6" i="75"/>
  <c r="F6" i="75"/>
  <c r="G6" i="75"/>
  <c r="C5" i="75"/>
  <c r="E5" i="75"/>
  <c r="F5" i="75"/>
  <c r="G5" i="75"/>
  <c r="C4" i="75"/>
  <c r="D4" i="75"/>
  <c r="E4" i="75"/>
  <c r="F4" i="75"/>
  <c r="G4" i="75"/>
  <c r="B4" i="75"/>
  <c r="I4" i="75"/>
  <c r="I5" i="75"/>
  <c r="I6" i="75"/>
  <c r="I7" i="75"/>
  <c r="I8" i="75"/>
  <c r="I9" i="75"/>
  <c r="I3" i="75"/>
  <c r="K8" i="74"/>
  <c r="K7" i="74"/>
  <c r="K6" i="74"/>
  <c r="K5" i="74"/>
  <c r="K4" i="74"/>
  <c r="K3" i="74"/>
  <c r="C9" i="74"/>
  <c r="D9" i="74"/>
  <c r="E9" i="74"/>
  <c r="F9" i="74"/>
  <c r="G9" i="74"/>
  <c r="B9" i="74"/>
  <c r="C8" i="74"/>
  <c r="D8" i="74"/>
  <c r="E8" i="74"/>
  <c r="F8" i="74"/>
  <c r="G8" i="74"/>
  <c r="B8" i="74"/>
  <c r="C7" i="74"/>
  <c r="E7" i="74"/>
  <c r="F7" i="74"/>
  <c r="G7" i="74"/>
  <c r="C6" i="74"/>
  <c r="E6" i="74"/>
  <c r="F6" i="74"/>
  <c r="G6" i="74"/>
  <c r="C5" i="74"/>
  <c r="E5" i="74"/>
  <c r="F5" i="74"/>
  <c r="G5" i="74"/>
  <c r="C4" i="74"/>
  <c r="D4" i="74"/>
  <c r="E4" i="74"/>
  <c r="F4" i="74"/>
  <c r="G4" i="74"/>
  <c r="B4" i="74"/>
  <c r="I4" i="74"/>
  <c r="I5" i="74"/>
  <c r="I6" i="74"/>
  <c r="I7" i="74"/>
  <c r="I8" i="74"/>
  <c r="I9" i="74"/>
  <c r="I3" i="74"/>
  <c r="K8" i="73"/>
  <c r="K7" i="73"/>
  <c r="K6" i="73"/>
  <c r="K5" i="73"/>
  <c r="K4" i="73"/>
  <c r="K3" i="73"/>
  <c r="C9" i="73"/>
  <c r="D9" i="73"/>
  <c r="E9" i="73"/>
  <c r="F9" i="73"/>
  <c r="G9" i="73"/>
  <c r="B9" i="73"/>
  <c r="C8" i="73"/>
  <c r="D8" i="73"/>
  <c r="E8" i="73"/>
  <c r="F8" i="73"/>
  <c r="G8" i="73"/>
  <c r="B8" i="73"/>
  <c r="C7" i="73"/>
  <c r="E7" i="73"/>
  <c r="F7" i="73"/>
  <c r="G7" i="73"/>
  <c r="C6" i="73"/>
  <c r="E6" i="73"/>
  <c r="F6" i="73"/>
  <c r="G6" i="73"/>
  <c r="C5" i="73"/>
  <c r="E5" i="73"/>
  <c r="F5" i="73"/>
  <c r="G5" i="73"/>
  <c r="C4" i="73"/>
  <c r="D4" i="73"/>
  <c r="E4" i="73"/>
  <c r="F4" i="73"/>
  <c r="G4" i="73"/>
  <c r="B4" i="73"/>
  <c r="I4" i="73"/>
  <c r="I5" i="73"/>
  <c r="I6" i="73"/>
  <c r="I7" i="73"/>
  <c r="I8" i="73"/>
  <c r="I9" i="73"/>
  <c r="I3" i="73"/>
  <c r="BA78" i="10"/>
  <c r="BA79" i="10"/>
  <c r="BA80" i="10"/>
  <c r="BA77" i="10"/>
  <c r="AI80" i="10"/>
  <c r="BS80" i="10"/>
  <c r="BS79" i="10"/>
  <c r="BS78" i="10"/>
  <c r="BS77" i="10"/>
  <c r="AI77" i="10"/>
  <c r="AI78" i="10"/>
  <c r="AI79" i="10"/>
  <c r="K7" i="72"/>
  <c r="K8" i="72"/>
  <c r="K6" i="72"/>
  <c r="K5" i="72"/>
  <c r="K4" i="72"/>
  <c r="K3" i="72"/>
  <c r="C9" i="72"/>
  <c r="D9" i="72"/>
  <c r="E9" i="72"/>
  <c r="F9" i="72"/>
  <c r="G9" i="72"/>
  <c r="B9" i="72"/>
  <c r="C8" i="72"/>
  <c r="D8" i="72"/>
  <c r="E8" i="72"/>
  <c r="F8" i="72"/>
  <c r="G8" i="72"/>
  <c r="B8" i="72"/>
  <c r="C7" i="72"/>
  <c r="E7" i="72"/>
  <c r="F7" i="72"/>
  <c r="G7" i="72"/>
  <c r="C6" i="72"/>
  <c r="E6" i="72"/>
  <c r="F6" i="72"/>
  <c r="G6" i="72"/>
  <c r="C5" i="72"/>
  <c r="E5" i="72"/>
  <c r="F5" i="72"/>
  <c r="G5" i="72"/>
  <c r="C4" i="72"/>
  <c r="D4" i="72"/>
  <c r="E4" i="72"/>
  <c r="F4" i="72"/>
  <c r="G4" i="72"/>
  <c r="B4" i="72"/>
  <c r="I4" i="72"/>
  <c r="I5" i="72"/>
  <c r="I6" i="72"/>
  <c r="I7" i="72"/>
  <c r="I8" i="72"/>
  <c r="I9" i="72"/>
  <c r="I3" i="72"/>
  <c r="BS76" i="10"/>
  <c r="BA76" i="10"/>
  <c r="AI76" i="10"/>
  <c r="K8" i="71"/>
  <c r="K7" i="71"/>
  <c r="K6" i="71"/>
  <c r="K5" i="71"/>
  <c r="K4" i="71"/>
  <c r="K3" i="71"/>
  <c r="C9" i="71"/>
  <c r="D9" i="71"/>
  <c r="E9" i="71"/>
  <c r="F9" i="71"/>
  <c r="G9" i="71"/>
  <c r="B9" i="71"/>
  <c r="C8" i="71"/>
  <c r="D8" i="71"/>
  <c r="E8" i="71"/>
  <c r="F8" i="71"/>
  <c r="G8" i="71"/>
  <c r="B8" i="71"/>
  <c r="C7" i="71"/>
  <c r="E7" i="71"/>
  <c r="F7" i="71"/>
  <c r="G7" i="71"/>
  <c r="C6" i="71"/>
  <c r="E6" i="71"/>
  <c r="F6" i="71"/>
  <c r="G6" i="71"/>
  <c r="C5" i="71"/>
  <c r="E5" i="71"/>
  <c r="F5" i="71"/>
  <c r="G5" i="71"/>
  <c r="C4" i="71"/>
  <c r="D4" i="71"/>
  <c r="E4" i="71"/>
  <c r="F4" i="71"/>
  <c r="G4" i="71"/>
  <c r="B4" i="71"/>
  <c r="I4" i="71"/>
  <c r="I5" i="71"/>
  <c r="I6" i="71"/>
  <c r="I7" i="71"/>
  <c r="I8" i="71"/>
  <c r="I9" i="71"/>
  <c r="I3" i="71"/>
  <c r="BA75" i="10"/>
  <c r="BS75" i="10"/>
  <c r="AI75" i="10"/>
  <c r="K8" i="70"/>
  <c r="K7" i="70"/>
  <c r="K6" i="70"/>
  <c r="K5" i="70"/>
  <c r="K4" i="70"/>
  <c r="K3" i="70"/>
  <c r="C9" i="70"/>
  <c r="D9" i="70"/>
  <c r="E9" i="70"/>
  <c r="F9" i="70"/>
  <c r="G9" i="70"/>
  <c r="B9" i="70"/>
  <c r="C8" i="70"/>
  <c r="D8" i="70"/>
  <c r="E8" i="70"/>
  <c r="F8" i="70"/>
  <c r="G8" i="70"/>
  <c r="B8" i="70"/>
  <c r="C7" i="70"/>
  <c r="E7" i="70"/>
  <c r="F7" i="70"/>
  <c r="G7" i="70"/>
  <c r="C6" i="70"/>
  <c r="E6" i="70"/>
  <c r="F6" i="70"/>
  <c r="G6" i="70"/>
  <c r="C5" i="70"/>
  <c r="E5" i="70"/>
  <c r="F5" i="70"/>
  <c r="G5" i="70"/>
  <c r="C4" i="70"/>
  <c r="D4" i="70"/>
  <c r="E4" i="70"/>
  <c r="F4" i="70"/>
  <c r="G4" i="70"/>
  <c r="B4" i="70"/>
  <c r="I4" i="70"/>
  <c r="I5" i="70"/>
  <c r="I6" i="70"/>
  <c r="I7" i="70"/>
  <c r="I8" i="70"/>
  <c r="I9" i="70"/>
  <c r="I3" i="70"/>
  <c r="BS74" i="10"/>
  <c r="BA74" i="10"/>
  <c r="AI74" i="10"/>
  <c r="K8" i="69" l="1"/>
  <c r="K7" i="69"/>
  <c r="K6" i="69"/>
  <c r="K5" i="69"/>
  <c r="K4" i="69"/>
  <c r="K3" i="69"/>
  <c r="C9" i="69"/>
  <c r="D9" i="69"/>
  <c r="E9" i="69"/>
  <c r="F9" i="69"/>
  <c r="G9" i="69"/>
  <c r="B9" i="69"/>
  <c r="C8" i="69"/>
  <c r="D8" i="69"/>
  <c r="E8" i="69"/>
  <c r="F8" i="69"/>
  <c r="G8" i="69"/>
  <c r="B8" i="69"/>
  <c r="C7" i="69"/>
  <c r="E7" i="69"/>
  <c r="F7" i="69"/>
  <c r="G7" i="69"/>
  <c r="C6" i="69"/>
  <c r="E6" i="69"/>
  <c r="F6" i="69"/>
  <c r="G6" i="69"/>
  <c r="C5" i="69"/>
  <c r="E5" i="69"/>
  <c r="F5" i="69"/>
  <c r="G5" i="69"/>
  <c r="C4" i="69"/>
  <c r="D4" i="69"/>
  <c r="E4" i="69"/>
  <c r="F4" i="69"/>
  <c r="G4" i="69"/>
  <c r="B4" i="69"/>
  <c r="I4" i="69"/>
  <c r="I5" i="69"/>
  <c r="I6" i="69"/>
  <c r="I7" i="69"/>
  <c r="I8" i="69"/>
  <c r="I9" i="69"/>
  <c r="I3" i="69"/>
  <c r="K8" i="68"/>
  <c r="K7" i="68"/>
  <c r="K6" i="68"/>
  <c r="K5" i="68"/>
  <c r="K4" i="68"/>
  <c r="K3" i="68"/>
  <c r="C9" i="68"/>
  <c r="D9" i="68"/>
  <c r="E9" i="68"/>
  <c r="F9" i="68"/>
  <c r="G9" i="68"/>
  <c r="B9" i="68"/>
  <c r="C8" i="68"/>
  <c r="D8" i="68"/>
  <c r="E8" i="68"/>
  <c r="F8" i="68"/>
  <c r="G8" i="68"/>
  <c r="B8" i="68"/>
  <c r="C7" i="68"/>
  <c r="E7" i="68"/>
  <c r="F7" i="68"/>
  <c r="G7" i="68"/>
  <c r="C6" i="68"/>
  <c r="E6" i="68"/>
  <c r="F6" i="68"/>
  <c r="G6" i="68"/>
  <c r="C5" i="68"/>
  <c r="E5" i="68"/>
  <c r="F5" i="68"/>
  <c r="G5" i="68"/>
  <c r="C4" i="68"/>
  <c r="D4" i="68"/>
  <c r="E4" i="68"/>
  <c r="F4" i="68"/>
  <c r="G4" i="68"/>
  <c r="B4" i="68"/>
  <c r="I4" i="68"/>
  <c r="I5" i="68"/>
  <c r="I6" i="68"/>
  <c r="I7" i="68"/>
  <c r="I8" i="68"/>
  <c r="I9" i="68"/>
  <c r="I3" i="68"/>
  <c r="K8" i="67"/>
  <c r="K7" i="67"/>
  <c r="K6" i="67"/>
  <c r="K5" i="67"/>
  <c r="K4" i="67"/>
  <c r="K3" i="67"/>
  <c r="C9" i="67"/>
  <c r="D9" i="67"/>
  <c r="E9" i="67"/>
  <c r="F9" i="67"/>
  <c r="G9" i="67"/>
  <c r="B9" i="67"/>
  <c r="C8" i="67"/>
  <c r="D8" i="67"/>
  <c r="E8" i="67"/>
  <c r="F8" i="67"/>
  <c r="G8" i="67"/>
  <c r="B8" i="67"/>
  <c r="C7" i="67"/>
  <c r="E7" i="67"/>
  <c r="F7" i="67"/>
  <c r="G7" i="67"/>
  <c r="C6" i="67"/>
  <c r="E6" i="67"/>
  <c r="F6" i="67"/>
  <c r="G6" i="67"/>
  <c r="C5" i="67"/>
  <c r="E5" i="67"/>
  <c r="F5" i="67"/>
  <c r="G5" i="67"/>
  <c r="C4" i="67"/>
  <c r="D4" i="67"/>
  <c r="E4" i="67"/>
  <c r="F4" i="67"/>
  <c r="G4" i="67"/>
  <c r="B4" i="67"/>
  <c r="I4" i="67"/>
  <c r="I5" i="67"/>
  <c r="I6" i="67"/>
  <c r="I7" i="67"/>
  <c r="I8" i="67"/>
  <c r="I9" i="67"/>
  <c r="I3" i="67"/>
  <c r="K8" i="66"/>
  <c r="K7" i="66"/>
  <c r="K6" i="66"/>
  <c r="K5" i="66"/>
  <c r="K4" i="66"/>
  <c r="K3" i="66"/>
  <c r="C9" i="66"/>
  <c r="D9" i="66"/>
  <c r="E9" i="66"/>
  <c r="F9" i="66"/>
  <c r="G9" i="66"/>
  <c r="B9" i="66"/>
  <c r="C8" i="66"/>
  <c r="D8" i="66"/>
  <c r="E8" i="66"/>
  <c r="F8" i="66"/>
  <c r="G8" i="66"/>
  <c r="B8" i="66"/>
  <c r="C7" i="66"/>
  <c r="E7" i="66"/>
  <c r="F7" i="66"/>
  <c r="G7" i="66"/>
  <c r="C6" i="66"/>
  <c r="E6" i="66"/>
  <c r="F6" i="66"/>
  <c r="G6" i="66"/>
  <c r="B9" i="65"/>
  <c r="C5" i="66"/>
  <c r="E5" i="66"/>
  <c r="F5" i="66"/>
  <c r="G5" i="66"/>
  <c r="C4" i="66"/>
  <c r="D4" i="66"/>
  <c r="E4" i="66"/>
  <c r="F4" i="66"/>
  <c r="G4" i="66"/>
  <c r="B4" i="66"/>
  <c r="I4" i="66"/>
  <c r="I5" i="66"/>
  <c r="I6" i="66"/>
  <c r="I7" i="66"/>
  <c r="I8" i="66"/>
  <c r="I9" i="66"/>
  <c r="I3" i="66"/>
  <c r="BS73" i="10"/>
  <c r="BS72" i="10"/>
  <c r="BS71" i="10"/>
  <c r="BS70" i="10"/>
  <c r="BA70" i="10"/>
  <c r="BA71" i="10"/>
  <c r="BA72" i="10"/>
  <c r="BA73" i="10"/>
  <c r="AI73" i="10"/>
  <c r="AI72" i="10"/>
  <c r="AI71" i="10"/>
  <c r="AI70" i="10"/>
  <c r="K8" i="65" l="1"/>
  <c r="K7" i="65"/>
  <c r="K6" i="65"/>
  <c r="K5" i="65"/>
  <c r="K4" i="65"/>
  <c r="K3" i="65"/>
  <c r="C5" i="65"/>
  <c r="C9" i="65"/>
  <c r="D9" i="65"/>
  <c r="E9" i="65"/>
  <c r="F9" i="65"/>
  <c r="G9" i="65"/>
  <c r="C6" i="65"/>
  <c r="E6" i="65"/>
  <c r="F6" i="65"/>
  <c r="G6" i="65"/>
  <c r="C7" i="65"/>
  <c r="E7" i="65"/>
  <c r="F7" i="65"/>
  <c r="G7" i="65"/>
  <c r="C8" i="65"/>
  <c r="D8" i="65"/>
  <c r="E8" i="65"/>
  <c r="F8" i="65"/>
  <c r="G8" i="65"/>
  <c r="B8" i="65"/>
  <c r="E5" i="65"/>
  <c r="F5" i="65"/>
  <c r="G5" i="65"/>
  <c r="C4" i="65"/>
  <c r="D4" i="65"/>
  <c r="E4" i="65"/>
  <c r="F4" i="65"/>
  <c r="G4" i="65"/>
  <c r="B4" i="65"/>
  <c r="I4" i="65"/>
  <c r="I5" i="65"/>
  <c r="I6" i="65"/>
  <c r="I7" i="65"/>
  <c r="I8" i="65"/>
  <c r="I9" i="65"/>
  <c r="I3" i="65"/>
  <c r="BS69" i="10"/>
  <c r="BA69" i="10"/>
  <c r="AI69" i="10"/>
  <c r="K8" i="64"/>
  <c r="K7" i="64"/>
  <c r="K6" i="64"/>
  <c r="K5" i="64"/>
  <c r="K4" i="64"/>
  <c r="K3" i="64"/>
  <c r="C9" i="64"/>
  <c r="D9" i="64"/>
  <c r="E9" i="64"/>
  <c r="F9" i="64"/>
  <c r="G9" i="64"/>
  <c r="B9" i="64"/>
  <c r="C8" i="64"/>
  <c r="D8" i="64"/>
  <c r="E8" i="64"/>
  <c r="F8" i="64"/>
  <c r="G8" i="64"/>
  <c r="B8" i="64"/>
  <c r="C7" i="64"/>
  <c r="E7" i="64"/>
  <c r="F7" i="64"/>
  <c r="G7" i="64"/>
  <c r="C6" i="64"/>
  <c r="E6" i="64"/>
  <c r="F6" i="64"/>
  <c r="G6" i="64"/>
  <c r="C5" i="64"/>
  <c r="E5" i="64"/>
  <c r="F5" i="64"/>
  <c r="G5" i="64"/>
  <c r="C4" i="64"/>
  <c r="D4" i="64"/>
  <c r="E4" i="64"/>
  <c r="F4" i="64"/>
  <c r="G4" i="64"/>
  <c r="B4" i="64"/>
  <c r="I4" i="64"/>
  <c r="I5" i="64"/>
  <c r="I6" i="64"/>
  <c r="I7" i="64"/>
  <c r="I8" i="64"/>
  <c r="I9" i="64"/>
  <c r="I3" i="64"/>
  <c r="BS68" i="10" l="1"/>
  <c r="BA68" i="10"/>
  <c r="AI68" i="10"/>
  <c r="K8" i="63"/>
  <c r="K7" i="63"/>
  <c r="K6" i="63"/>
  <c r="K5" i="63"/>
  <c r="K4" i="63"/>
  <c r="K3" i="63"/>
  <c r="C9" i="63"/>
  <c r="D9" i="63"/>
  <c r="E9" i="63"/>
  <c r="F9" i="63"/>
  <c r="G9" i="63"/>
  <c r="B9" i="63"/>
  <c r="C8" i="63"/>
  <c r="D8" i="63"/>
  <c r="E8" i="63"/>
  <c r="F8" i="63"/>
  <c r="G8" i="63"/>
  <c r="B8" i="63"/>
  <c r="C7" i="63"/>
  <c r="E7" i="63"/>
  <c r="F7" i="63"/>
  <c r="G7" i="63"/>
  <c r="C6" i="63"/>
  <c r="E6" i="63"/>
  <c r="F6" i="63"/>
  <c r="G6" i="63"/>
  <c r="C5" i="63"/>
  <c r="E5" i="63"/>
  <c r="F5" i="63"/>
  <c r="G5" i="63"/>
  <c r="C4" i="63"/>
  <c r="D4" i="63"/>
  <c r="E4" i="63"/>
  <c r="F4" i="63"/>
  <c r="G4" i="63"/>
  <c r="B4" i="63"/>
  <c r="I4" i="63"/>
  <c r="I5" i="63"/>
  <c r="I6" i="63"/>
  <c r="I7" i="63"/>
  <c r="I8" i="63"/>
  <c r="I9" i="63"/>
  <c r="I3" i="63"/>
  <c r="BS67" i="10" l="1"/>
  <c r="BA67" i="10"/>
  <c r="AI67" i="10"/>
  <c r="K8" i="62"/>
  <c r="K7" i="62"/>
  <c r="K6" i="62"/>
  <c r="K5" i="62"/>
  <c r="K4" i="62"/>
  <c r="K3" i="62"/>
  <c r="C7" i="62"/>
  <c r="C5" i="61"/>
  <c r="C9" i="62"/>
  <c r="D9" i="62"/>
  <c r="E9" i="62"/>
  <c r="F9" i="62"/>
  <c r="G9" i="62"/>
  <c r="B9" i="62"/>
  <c r="C8" i="62"/>
  <c r="D8" i="62"/>
  <c r="E8" i="62"/>
  <c r="F8" i="62"/>
  <c r="G8" i="62"/>
  <c r="B8" i="62"/>
  <c r="E7" i="62"/>
  <c r="F7" i="62"/>
  <c r="G7" i="62"/>
  <c r="C6" i="62"/>
  <c r="E6" i="62"/>
  <c r="F6" i="62"/>
  <c r="G6" i="62"/>
  <c r="C5" i="62"/>
  <c r="E5" i="62"/>
  <c r="F5" i="62"/>
  <c r="G5" i="62"/>
  <c r="C4" i="62"/>
  <c r="D4" i="62"/>
  <c r="E4" i="62"/>
  <c r="F4" i="62"/>
  <c r="G4" i="62"/>
  <c r="B4" i="62"/>
  <c r="I4" i="62"/>
  <c r="I5" i="62"/>
  <c r="I6" i="62"/>
  <c r="I7" i="62"/>
  <c r="I8" i="62"/>
  <c r="I9" i="62"/>
  <c r="I3" i="62"/>
  <c r="K8" i="61"/>
  <c r="K7" i="61"/>
  <c r="K6" i="61"/>
  <c r="K5" i="61"/>
  <c r="K4" i="61"/>
  <c r="K3" i="61"/>
  <c r="C9" i="61"/>
  <c r="D9" i="61"/>
  <c r="E9" i="61"/>
  <c r="F9" i="61"/>
  <c r="G9" i="61"/>
  <c r="B9" i="61"/>
  <c r="C8" i="61"/>
  <c r="D8" i="61"/>
  <c r="E8" i="61"/>
  <c r="F8" i="61"/>
  <c r="G8" i="61"/>
  <c r="B8" i="61"/>
  <c r="C7" i="61"/>
  <c r="E7" i="61"/>
  <c r="F7" i="61"/>
  <c r="G7" i="61"/>
  <c r="C6" i="61"/>
  <c r="E6" i="61"/>
  <c r="F6" i="61"/>
  <c r="G6" i="61"/>
  <c r="E5" i="61"/>
  <c r="F5" i="61"/>
  <c r="G5" i="61"/>
  <c r="C4" i="61"/>
  <c r="D4" i="61"/>
  <c r="E4" i="61"/>
  <c r="F4" i="61"/>
  <c r="G4" i="61"/>
  <c r="B4" i="61"/>
  <c r="I4" i="61"/>
  <c r="I5" i="61"/>
  <c r="I6" i="61"/>
  <c r="I7" i="61"/>
  <c r="I8" i="61"/>
  <c r="I9" i="61"/>
  <c r="I3" i="61"/>
  <c r="K8" i="60"/>
  <c r="K7" i="60"/>
  <c r="K6" i="60"/>
  <c r="K5" i="60"/>
  <c r="K4" i="60"/>
  <c r="K3" i="60"/>
  <c r="C9" i="60"/>
  <c r="D9" i="60"/>
  <c r="E9" i="60"/>
  <c r="F9" i="60"/>
  <c r="G9" i="60"/>
  <c r="B9" i="60"/>
  <c r="C8" i="60"/>
  <c r="D8" i="60"/>
  <c r="E8" i="60"/>
  <c r="F8" i="60"/>
  <c r="G8" i="60"/>
  <c r="C7" i="60"/>
  <c r="E7" i="60"/>
  <c r="F7" i="60"/>
  <c r="G7" i="60"/>
  <c r="C6" i="60"/>
  <c r="E6" i="60"/>
  <c r="F6" i="60"/>
  <c r="G6" i="60"/>
  <c r="C5" i="60"/>
  <c r="E5" i="60"/>
  <c r="F5" i="60"/>
  <c r="G5" i="60"/>
  <c r="C4" i="60"/>
  <c r="D4" i="60"/>
  <c r="E4" i="60"/>
  <c r="F4" i="60"/>
  <c r="G4" i="60"/>
  <c r="B4" i="60"/>
  <c r="I4" i="60"/>
  <c r="I5" i="60"/>
  <c r="I6" i="60"/>
  <c r="I7" i="60"/>
  <c r="I8" i="60"/>
  <c r="B8" i="60" s="1"/>
  <c r="I9" i="60"/>
  <c r="I3" i="60"/>
  <c r="BS66" i="10"/>
  <c r="BS65" i="10"/>
  <c r="BS64" i="10"/>
  <c r="BA64" i="10"/>
  <c r="BA65" i="10"/>
  <c r="BA66" i="10"/>
  <c r="AI64" i="10"/>
  <c r="AI65" i="10"/>
  <c r="AI66" i="10"/>
  <c r="K8" i="58"/>
  <c r="K7" i="58"/>
  <c r="K6" i="58"/>
  <c r="K5" i="58"/>
  <c r="K4" i="58"/>
  <c r="K3" i="58"/>
  <c r="K8" i="59"/>
  <c r="K7" i="59"/>
  <c r="K6" i="59" s="1"/>
  <c r="K5" i="59"/>
  <c r="K4" i="59"/>
  <c r="K3" i="59"/>
  <c r="C9" i="58"/>
  <c r="D9" i="58"/>
  <c r="E9" i="58"/>
  <c r="F9" i="58"/>
  <c r="G9" i="58"/>
  <c r="B9" i="58"/>
  <c r="C8" i="58"/>
  <c r="D8" i="58"/>
  <c r="E8" i="58"/>
  <c r="F8" i="58"/>
  <c r="G8" i="58"/>
  <c r="B8" i="58"/>
  <c r="C7" i="58"/>
  <c r="E7" i="58"/>
  <c r="F7" i="58"/>
  <c r="G7" i="58"/>
  <c r="C6" i="58"/>
  <c r="E6" i="58"/>
  <c r="F6" i="58"/>
  <c r="G6" i="58"/>
  <c r="C5" i="58"/>
  <c r="E5" i="58"/>
  <c r="F5" i="58"/>
  <c r="G5" i="58"/>
  <c r="C4" i="58"/>
  <c r="D4" i="58"/>
  <c r="E4" i="58"/>
  <c r="F4" i="58"/>
  <c r="G4" i="58"/>
  <c r="B4" i="58"/>
  <c r="I4" i="58"/>
  <c r="I5" i="58"/>
  <c r="I6" i="58"/>
  <c r="I7" i="58"/>
  <c r="I8" i="58"/>
  <c r="I9" i="58"/>
  <c r="I3" i="58"/>
  <c r="I3" i="59"/>
  <c r="C9" i="59"/>
  <c r="D9" i="59"/>
  <c r="E9" i="59"/>
  <c r="F9" i="59"/>
  <c r="G9" i="59"/>
  <c r="B9" i="59"/>
  <c r="C8" i="59"/>
  <c r="D8" i="59"/>
  <c r="E8" i="59"/>
  <c r="F8" i="59"/>
  <c r="G8" i="59"/>
  <c r="B8" i="59"/>
  <c r="C7" i="59"/>
  <c r="E7" i="59"/>
  <c r="F7" i="59"/>
  <c r="G7" i="59"/>
  <c r="C6" i="59"/>
  <c r="E6" i="59"/>
  <c r="F6" i="59"/>
  <c r="G6" i="59"/>
  <c r="C5" i="59"/>
  <c r="E5" i="59"/>
  <c r="F5" i="59"/>
  <c r="G5" i="59"/>
  <c r="C4" i="59"/>
  <c r="D4" i="59"/>
  <c r="E4" i="59"/>
  <c r="F4" i="59"/>
  <c r="G4" i="59"/>
  <c r="B4" i="59"/>
  <c r="I4" i="59"/>
  <c r="I5" i="59"/>
  <c r="I6" i="59"/>
  <c r="I7" i="59"/>
  <c r="I8" i="59"/>
  <c r="I9" i="59"/>
  <c r="BS63" i="10"/>
  <c r="BS62" i="10"/>
  <c r="BA62" i="10"/>
  <c r="BA63" i="10"/>
  <c r="AI63" i="10"/>
  <c r="AI62" i="10"/>
  <c r="K8" i="57"/>
  <c r="K7" i="57"/>
  <c r="K6" i="57"/>
  <c r="K5" i="57"/>
  <c r="K4" i="57"/>
  <c r="K3" i="57"/>
  <c r="C9" i="57" l="1"/>
  <c r="D9" i="57"/>
  <c r="E9" i="57"/>
  <c r="F9" i="57"/>
  <c r="G9" i="57"/>
  <c r="B9" i="57"/>
  <c r="C8" i="57"/>
  <c r="D8" i="57"/>
  <c r="E8" i="57"/>
  <c r="F8" i="57"/>
  <c r="G8" i="57"/>
  <c r="B8" i="57" l="1"/>
  <c r="C7" i="57"/>
  <c r="E7" i="57"/>
  <c r="F7" i="57"/>
  <c r="G7" i="57"/>
  <c r="C6" i="57"/>
  <c r="E6" i="57"/>
  <c r="F6" i="57"/>
  <c r="G6" i="57"/>
  <c r="C5" i="57"/>
  <c r="E5" i="57"/>
  <c r="F5" i="57"/>
  <c r="G5" i="57"/>
  <c r="C4" i="57"/>
  <c r="D4" i="57"/>
  <c r="E4" i="57"/>
  <c r="F4" i="57"/>
  <c r="G4" i="57"/>
  <c r="B4" i="57"/>
  <c r="I4" i="57"/>
  <c r="I5" i="57"/>
  <c r="I6" i="57"/>
  <c r="I7" i="57"/>
  <c r="I8" i="57"/>
  <c r="I9" i="57"/>
  <c r="I3" i="57"/>
  <c r="BS61" i="10"/>
  <c r="BA61" i="10"/>
  <c r="AI61" i="10"/>
  <c r="K8" i="56"/>
  <c r="K7" i="56"/>
  <c r="K6" i="56"/>
  <c r="K5" i="56"/>
  <c r="K4" i="56"/>
  <c r="K3" i="56"/>
  <c r="C9" i="56"/>
  <c r="D9" i="56"/>
  <c r="E9" i="56"/>
  <c r="F9" i="56"/>
  <c r="G9" i="56"/>
  <c r="B9" i="56"/>
  <c r="C8" i="56"/>
  <c r="D8" i="56"/>
  <c r="E8" i="56"/>
  <c r="F8" i="56"/>
  <c r="G8" i="56"/>
  <c r="B8" i="56"/>
  <c r="C7" i="56"/>
  <c r="E7" i="56"/>
  <c r="F7" i="56"/>
  <c r="G7" i="56"/>
  <c r="C6" i="56"/>
  <c r="E6" i="56"/>
  <c r="F6" i="56"/>
  <c r="G6" i="56"/>
  <c r="C5" i="56"/>
  <c r="E5" i="56"/>
  <c r="F5" i="56"/>
  <c r="G5" i="56"/>
  <c r="C4" i="56"/>
  <c r="D4" i="56"/>
  <c r="E4" i="56"/>
  <c r="F4" i="56"/>
  <c r="G4" i="56"/>
  <c r="B4" i="56"/>
  <c r="I4" i="56"/>
  <c r="I5" i="56"/>
  <c r="I6" i="56"/>
  <c r="I7" i="56"/>
  <c r="I8" i="56"/>
  <c r="I9" i="56"/>
  <c r="I3" i="56"/>
  <c r="BS60" i="10"/>
  <c r="BA60" i="10"/>
  <c r="AI60" i="10"/>
  <c r="K8" i="55"/>
  <c r="K7" i="55"/>
  <c r="K6" i="55"/>
  <c r="K5" i="55"/>
  <c r="K4" i="55"/>
  <c r="K3" i="55"/>
  <c r="C9" i="55"/>
  <c r="D9" i="55"/>
  <c r="E9" i="55"/>
  <c r="F9" i="55"/>
  <c r="G9" i="55"/>
  <c r="B9" i="55"/>
  <c r="C8" i="55"/>
  <c r="D8" i="55"/>
  <c r="E8" i="55"/>
  <c r="F8" i="55"/>
  <c r="G8" i="55"/>
  <c r="B8" i="55"/>
  <c r="C7" i="55"/>
  <c r="E7" i="55"/>
  <c r="F7" i="55"/>
  <c r="G7" i="55"/>
  <c r="C6" i="55"/>
  <c r="E6" i="55"/>
  <c r="F6" i="55"/>
  <c r="G6" i="55"/>
  <c r="C5" i="55"/>
  <c r="E5" i="55"/>
  <c r="F5" i="55"/>
  <c r="G5" i="55"/>
  <c r="C4" i="55"/>
  <c r="D4" i="55"/>
  <c r="E4" i="55"/>
  <c r="F4" i="55"/>
  <c r="G4" i="55"/>
  <c r="B4" i="55"/>
  <c r="I4" i="55"/>
  <c r="I5" i="55"/>
  <c r="I6" i="55"/>
  <c r="I7" i="55"/>
  <c r="I8" i="55"/>
  <c r="I9" i="55"/>
  <c r="I3" i="55"/>
  <c r="K8" i="54"/>
  <c r="K7" i="54"/>
  <c r="K6" i="54"/>
  <c r="K5" i="54"/>
  <c r="K4" i="54"/>
  <c r="K3" i="54"/>
  <c r="C9" i="54"/>
  <c r="D9" i="54"/>
  <c r="E9" i="54"/>
  <c r="F9" i="54"/>
  <c r="G9" i="54"/>
  <c r="B9" i="54"/>
  <c r="C8" i="54"/>
  <c r="D8" i="54"/>
  <c r="E8" i="54"/>
  <c r="F8" i="54"/>
  <c r="G8" i="54"/>
  <c r="B8" i="54"/>
  <c r="C7" i="54"/>
  <c r="E7" i="54"/>
  <c r="F7" i="54"/>
  <c r="G7" i="54"/>
  <c r="C6" i="54"/>
  <c r="E6" i="54"/>
  <c r="F6" i="54"/>
  <c r="G6" i="54"/>
  <c r="C5" i="54"/>
  <c r="E5" i="54"/>
  <c r="F5" i="54"/>
  <c r="G5" i="54"/>
  <c r="C4" i="54"/>
  <c r="D4" i="54"/>
  <c r="E4" i="54"/>
  <c r="F4" i="54"/>
  <c r="G4" i="54"/>
  <c r="B4" i="54"/>
  <c r="I4" i="54"/>
  <c r="I5" i="54"/>
  <c r="I6" i="54"/>
  <c r="I7" i="54"/>
  <c r="I8" i="54"/>
  <c r="I9" i="54"/>
  <c r="I3" i="54"/>
  <c r="K8" i="53"/>
  <c r="K7" i="53"/>
  <c r="K6" i="53"/>
  <c r="K5" i="53"/>
  <c r="K4" i="53"/>
  <c r="K3" i="53"/>
  <c r="C9" i="53"/>
  <c r="D9" i="53"/>
  <c r="E9" i="53"/>
  <c r="F9" i="53"/>
  <c r="G9" i="53"/>
  <c r="B9" i="53"/>
  <c r="C8" i="53"/>
  <c r="D8" i="53"/>
  <c r="E8" i="53"/>
  <c r="F8" i="53"/>
  <c r="G8" i="53"/>
  <c r="B8" i="53"/>
  <c r="C7" i="53"/>
  <c r="E7" i="53"/>
  <c r="F7" i="53"/>
  <c r="G7" i="53"/>
  <c r="C6" i="53"/>
  <c r="E6" i="53"/>
  <c r="F6" i="53"/>
  <c r="G6" i="53"/>
  <c r="C5" i="53"/>
  <c r="E5" i="53"/>
  <c r="F5" i="53"/>
  <c r="G5" i="53"/>
  <c r="C4" i="53"/>
  <c r="D4" i="53"/>
  <c r="E4" i="53"/>
  <c r="F4" i="53"/>
  <c r="G4" i="53"/>
  <c r="B4" i="53"/>
  <c r="I4" i="53"/>
  <c r="I5" i="53"/>
  <c r="I6" i="53"/>
  <c r="I7" i="53"/>
  <c r="I8" i="53"/>
  <c r="I9" i="53"/>
  <c r="I3" i="53"/>
  <c r="BS59" i="10"/>
  <c r="BS58" i="10"/>
  <c r="BS57" i="10"/>
  <c r="BA57" i="10"/>
  <c r="BA58" i="10"/>
  <c r="BA59" i="10"/>
  <c r="AI59" i="10"/>
  <c r="AI58" i="10"/>
  <c r="AI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7" i="10"/>
  <c r="Q78" i="10"/>
  <c r="Q79" i="10"/>
  <c r="Q80" i="10"/>
  <c r="Q81" i="10"/>
  <c r="Q82" i="10"/>
  <c r="Q83" i="10"/>
  <c r="Q84" i="10"/>
  <c r="Q85" i="10"/>
  <c r="Q86" i="10"/>
  <c r="Q57" i="10"/>
  <c r="K8" i="52"/>
  <c r="K7" i="52"/>
  <c r="K6" i="52"/>
  <c r="K5" i="52"/>
  <c r="K4" i="52"/>
  <c r="K3" i="52"/>
  <c r="C9" i="52"/>
  <c r="D9" i="52"/>
  <c r="E9" i="52"/>
  <c r="F9" i="52"/>
  <c r="G9" i="52"/>
  <c r="B9" i="52"/>
  <c r="C8" i="52"/>
  <c r="D8" i="52"/>
  <c r="E8" i="52"/>
  <c r="F8" i="52"/>
  <c r="G8" i="52"/>
  <c r="B8" i="52"/>
  <c r="F7" i="52"/>
  <c r="G7" i="52"/>
  <c r="E7" i="52"/>
  <c r="C7" i="52"/>
  <c r="F6" i="52"/>
  <c r="G6" i="52"/>
  <c r="E6" i="52"/>
  <c r="C6" i="52"/>
  <c r="F5" i="52"/>
  <c r="G5" i="52"/>
  <c r="E5" i="52"/>
  <c r="C5" i="52"/>
  <c r="C4" i="52"/>
  <c r="D4" i="52"/>
  <c r="E4" i="52"/>
  <c r="F4" i="52"/>
  <c r="G4" i="52"/>
  <c r="B4" i="52"/>
  <c r="I4" i="52"/>
  <c r="I5" i="52"/>
  <c r="I6" i="52"/>
  <c r="I7" i="52"/>
  <c r="I8" i="52"/>
  <c r="I9" i="52"/>
  <c r="I3" i="52"/>
  <c r="BS56" i="10"/>
  <c r="BA56" i="10"/>
  <c r="AI56" i="10"/>
  <c r="Q56" i="10"/>
  <c r="K8" i="51"/>
  <c r="K7" i="51"/>
  <c r="K6" i="51"/>
  <c r="K5" i="51"/>
  <c r="K4" i="51"/>
  <c r="K3" i="51"/>
  <c r="C9" i="51"/>
  <c r="D9" i="51"/>
  <c r="E9" i="51"/>
  <c r="F9" i="51"/>
  <c r="G9" i="51"/>
  <c r="B9" i="51"/>
  <c r="C8" i="51"/>
  <c r="D8" i="51"/>
  <c r="E8" i="51"/>
  <c r="F8" i="51"/>
  <c r="G8" i="51"/>
  <c r="B8" i="51"/>
  <c r="F7" i="51"/>
  <c r="G7" i="51"/>
  <c r="E7" i="51"/>
  <c r="C7" i="51"/>
  <c r="F6" i="51"/>
  <c r="G6" i="51"/>
  <c r="E6" i="51"/>
  <c r="C6" i="51"/>
  <c r="F5" i="51"/>
  <c r="G5" i="51"/>
  <c r="E5" i="51"/>
  <c r="C5" i="51"/>
  <c r="C4" i="51"/>
  <c r="D4" i="51"/>
  <c r="E4" i="51"/>
  <c r="F4" i="51"/>
  <c r="G4" i="51"/>
  <c r="B4" i="51"/>
  <c r="I4" i="51"/>
  <c r="I5" i="51"/>
  <c r="I6" i="51"/>
  <c r="I7" i="51"/>
  <c r="I8" i="51"/>
  <c r="I9" i="51"/>
  <c r="I3" i="51"/>
  <c r="DL17" i="18"/>
  <c r="DJ17" i="18"/>
  <c r="DI17" i="18"/>
  <c r="DH17" i="18"/>
  <c r="DG17" i="18"/>
  <c r="DF17" i="18"/>
  <c r="DL16" i="18"/>
  <c r="DG16" i="18"/>
  <c r="DH16" i="18"/>
  <c r="DI16" i="18"/>
  <c r="DJ16" i="18"/>
  <c r="DF16" i="18"/>
  <c r="DL15" i="18"/>
  <c r="DG15" i="18"/>
  <c r="DH15" i="18"/>
  <c r="DI15" i="18"/>
  <c r="DJ15" i="18"/>
  <c r="DF15" i="18"/>
  <c r="DL14" i="18"/>
  <c r="DG14" i="18"/>
  <c r="DH14" i="18"/>
  <c r="DI14" i="18"/>
  <c r="DJ14" i="18"/>
  <c r="DF14" i="18"/>
  <c r="DK17" i="18"/>
  <c r="DK16" i="18"/>
  <c r="DK15" i="18"/>
  <c r="DK14" i="18"/>
  <c r="BA69" i="17"/>
  <c r="AY69" i="17"/>
  <c r="AX69" i="17"/>
  <c r="AV69" i="17"/>
  <c r="BA67" i="17"/>
  <c r="AY67" i="17" s="1"/>
  <c r="BA65" i="17"/>
  <c r="BA64" i="17"/>
  <c r="AY64" i="17"/>
  <c r="AX64" i="17"/>
  <c r="AW64" i="17"/>
  <c r="AV64" i="17"/>
  <c r="AU64" i="17"/>
  <c r="BS55" i="10"/>
  <c r="BA55" i="10"/>
  <c r="AI55" i="10"/>
  <c r="Q55" i="10"/>
  <c r="C10" i="45"/>
  <c r="D10" i="45"/>
  <c r="E10" i="45"/>
  <c r="F10" i="45"/>
  <c r="G10" i="45"/>
  <c r="H10" i="45"/>
  <c r="B10" i="45"/>
  <c r="C10" i="46"/>
  <c r="D10" i="46"/>
  <c r="E10" i="46"/>
  <c r="F10" i="46"/>
  <c r="G10" i="46"/>
  <c r="H10" i="46"/>
  <c r="B10" i="46"/>
  <c r="C10" i="47"/>
  <c r="D10" i="47"/>
  <c r="E10" i="47"/>
  <c r="F10" i="47"/>
  <c r="G10" i="47"/>
  <c r="H10" i="47"/>
  <c r="B10" i="47"/>
  <c r="C10" i="48"/>
  <c r="D10" i="48"/>
  <c r="E10" i="48"/>
  <c r="F10" i="48"/>
  <c r="G10" i="48"/>
  <c r="H10" i="48"/>
  <c r="B10" i="48"/>
  <c r="I10" i="49"/>
  <c r="C10" i="49"/>
  <c r="D10" i="49"/>
  <c r="E10" i="49"/>
  <c r="F10" i="49"/>
  <c r="G10" i="49"/>
  <c r="H10" i="49"/>
  <c r="B10" i="49"/>
  <c r="AU67" i="17" l="1"/>
  <c r="AV67" i="17"/>
  <c r="AW67" i="17"/>
  <c r="AX67" i="17"/>
  <c r="K8" i="49"/>
  <c r="K7" i="49"/>
  <c r="K6" i="49"/>
  <c r="K5" i="49"/>
  <c r="K4" i="49"/>
  <c r="K3" i="49"/>
  <c r="C9" i="49"/>
  <c r="D9" i="49"/>
  <c r="E9" i="49"/>
  <c r="F9" i="49"/>
  <c r="G9" i="49"/>
  <c r="B9" i="49"/>
  <c r="C8" i="49"/>
  <c r="D8" i="49"/>
  <c r="E8" i="49"/>
  <c r="F8" i="49"/>
  <c r="G8" i="49"/>
  <c r="B8" i="49"/>
  <c r="G7" i="49"/>
  <c r="F7" i="49"/>
  <c r="E7" i="49"/>
  <c r="C7" i="49"/>
  <c r="F6" i="49"/>
  <c r="G6" i="49"/>
  <c r="E6" i="49"/>
  <c r="C6" i="49"/>
  <c r="F5" i="49"/>
  <c r="G5" i="49"/>
  <c r="E5" i="49"/>
  <c r="C5" i="49"/>
  <c r="C4" i="49"/>
  <c r="D4" i="49"/>
  <c r="E4" i="49"/>
  <c r="F4" i="49"/>
  <c r="G4" i="49"/>
  <c r="B4" i="49"/>
  <c r="I4" i="49"/>
  <c r="I5" i="49"/>
  <c r="I6" i="49"/>
  <c r="I7" i="49"/>
  <c r="I8" i="49"/>
  <c r="I9" i="49"/>
  <c r="I3" i="49"/>
  <c r="DJ11" i="18"/>
  <c r="DI11" i="18"/>
  <c r="DH11" i="18"/>
  <c r="DG11" i="18"/>
  <c r="DF11" i="18"/>
  <c r="DG10" i="18"/>
  <c r="DH10" i="18"/>
  <c r="DI10" i="18"/>
  <c r="DJ10" i="18"/>
  <c r="DF10" i="18"/>
  <c r="DG8" i="18"/>
  <c r="DH8" i="18"/>
  <c r="DI8" i="18"/>
  <c r="DJ8" i="18"/>
  <c r="DF8" i="18"/>
  <c r="DL11" i="18"/>
  <c r="DL10" i="18"/>
  <c r="DL9" i="18"/>
  <c r="DL8" i="18"/>
  <c r="DK11" i="18"/>
  <c r="DK10" i="18"/>
  <c r="DK9" i="18"/>
  <c r="DK8" i="18"/>
  <c r="AP105" i="17"/>
  <c r="AO105" i="17"/>
  <c r="AM105" i="17"/>
  <c r="AM103" i="17"/>
  <c r="AN103" i="17"/>
  <c r="AO103" i="17"/>
  <c r="AP103" i="17"/>
  <c r="AL103" i="17"/>
  <c r="AM101" i="17"/>
  <c r="DG9" i="18" s="1"/>
  <c r="AN101" i="17"/>
  <c r="DH9" i="18" s="1"/>
  <c r="AO101" i="17"/>
  <c r="DI9" i="18" s="1"/>
  <c r="AP101" i="17"/>
  <c r="DJ9" i="18" s="1"/>
  <c r="AL101" i="17"/>
  <c r="DF9" i="18" s="1"/>
  <c r="AM100" i="17"/>
  <c r="AN100" i="17"/>
  <c r="AO100" i="17"/>
  <c r="AP100" i="17"/>
  <c r="AL100" i="17"/>
  <c r="AR105" i="17"/>
  <c r="AR103" i="17"/>
  <c r="AR101" i="17"/>
  <c r="AR100" i="17"/>
  <c r="BS54" i="10"/>
  <c r="BA54" i="10"/>
  <c r="AI54" i="10"/>
  <c r="Q54" i="10"/>
  <c r="K8" i="48"/>
  <c r="K7" i="48"/>
  <c r="K6" i="48"/>
  <c r="K5" i="48"/>
  <c r="K4" i="48"/>
  <c r="K3" i="48"/>
  <c r="C9" i="48"/>
  <c r="D9" i="48"/>
  <c r="E9" i="48"/>
  <c r="F9" i="48"/>
  <c r="G9" i="48"/>
  <c r="B9" i="48"/>
  <c r="C8" i="48"/>
  <c r="D8" i="48"/>
  <c r="E8" i="48"/>
  <c r="F8" i="48"/>
  <c r="G8" i="48"/>
  <c r="B8" i="48"/>
  <c r="F7" i="48"/>
  <c r="G7" i="48"/>
  <c r="E7" i="48"/>
  <c r="C7" i="48"/>
  <c r="F6" i="48"/>
  <c r="G6" i="48"/>
  <c r="E6" i="48"/>
  <c r="C6" i="48"/>
  <c r="F5" i="48"/>
  <c r="G5" i="48"/>
  <c r="E5" i="48"/>
  <c r="C5" i="48"/>
  <c r="C4" i="48"/>
  <c r="D4" i="48"/>
  <c r="E4" i="48"/>
  <c r="F4" i="48"/>
  <c r="G4" i="48"/>
  <c r="B4" i="48"/>
  <c r="I4" i="48"/>
  <c r="I5" i="48"/>
  <c r="I6" i="48"/>
  <c r="I7" i="48"/>
  <c r="I8" i="48"/>
  <c r="I9" i="48"/>
  <c r="I3" i="48"/>
  <c r="DL5" i="18"/>
  <c r="DJ5" i="18"/>
  <c r="DI5" i="18"/>
  <c r="DH5" i="18"/>
  <c r="DG5" i="18"/>
  <c r="DF5" i="18"/>
  <c r="DL4" i="18"/>
  <c r="DG4" i="18"/>
  <c r="DH4" i="18"/>
  <c r="DI4" i="18"/>
  <c r="DJ4" i="18"/>
  <c r="DF4" i="18"/>
  <c r="DL3" i="18"/>
  <c r="DG3" i="18"/>
  <c r="DH3" i="18"/>
  <c r="DI3" i="18"/>
  <c r="DJ3" i="18"/>
  <c r="DF3" i="18"/>
  <c r="DL2" i="18"/>
  <c r="DG2" i="18"/>
  <c r="DH2" i="18"/>
  <c r="DI2" i="18"/>
  <c r="DJ2" i="18"/>
  <c r="DF2" i="18"/>
  <c r="DK5" i="18"/>
  <c r="DK4" i="18"/>
  <c r="DK3" i="18"/>
  <c r="DK2" i="18"/>
  <c r="AP96" i="17"/>
  <c r="AO96" i="17"/>
  <c r="AM96" i="17"/>
  <c r="AM94" i="17"/>
  <c r="AN94" i="17"/>
  <c r="AO94" i="17"/>
  <c r="AP94" i="17"/>
  <c r="AL94" i="17"/>
  <c r="AM91" i="17"/>
  <c r="AN91" i="17"/>
  <c r="AO91" i="17"/>
  <c r="AP91" i="17"/>
  <c r="AL91" i="17"/>
  <c r="AR96" i="17"/>
  <c r="AR94" i="17"/>
  <c r="AR92" i="17"/>
  <c r="AR91" i="17"/>
  <c r="BS53" i="10"/>
  <c r="BA53" i="10"/>
  <c r="AI53" i="10"/>
  <c r="Q53" i="10"/>
  <c r="K8" i="47"/>
  <c r="K7" i="47"/>
  <c r="K6" i="47"/>
  <c r="K5" i="47"/>
  <c r="K4" i="47"/>
  <c r="K3" i="47"/>
  <c r="C9" i="47"/>
  <c r="D9" i="47"/>
  <c r="E9" i="47"/>
  <c r="F9" i="47"/>
  <c r="G9" i="47"/>
  <c r="B9" i="47"/>
  <c r="C8" i="47"/>
  <c r="D8" i="47"/>
  <c r="E8" i="47"/>
  <c r="F8" i="47"/>
  <c r="G8" i="47"/>
  <c r="B8" i="47"/>
  <c r="F7" i="47"/>
  <c r="G7" i="47"/>
  <c r="E7" i="47"/>
  <c r="C7" i="47"/>
  <c r="F6" i="47"/>
  <c r="G6" i="47"/>
  <c r="E6" i="47"/>
  <c r="C6" i="47"/>
  <c r="F5" i="47"/>
  <c r="G5" i="47"/>
  <c r="E5" i="47"/>
  <c r="C5" i="47"/>
  <c r="C4" i="47"/>
  <c r="D4" i="47"/>
  <c r="E4" i="47"/>
  <c r="F4" i="47"/>
  <c r="G4" i="47"/>
  <c r="B4" i="47"/>
  <c r="I4" i="47"/>
  <c r="I5" i="47"/>
  <c r="I6" i="47"/>
  <c r="I7" i="47"/>
  <c r="I8" i="47"/>
  <c r="I9" i="47"/>
  <c r="I3" i="47" l="1"/>
  <c r="K8" i="46"/>
  <c r="K7" i="46"/>
  <c r="K7" i="45"/>
  <c r="K6" i="46"/>
  <c r="K5" i="46"/>
  <c r="K4" i="46"/>
  <c r="K3" i="46"/>
  <c r="C9" i="46"/>
  <c r="D9" i="46"/>
  <c r="E9" i="46"/>
  <c r="F9" i="46"/>
  <c r="G9" i="46"/>
  <c r="B9" i="46"/>
  <c r="C8" i="46"/>
  <c r="D8" i="46"/>
  <c r="E8" i="46"/>
  <c r="F8" i="46"/>
  <c r="G8" i="46"/>
  <c r="F7" i="46"/>
  <c r="G7" i="46"/>
  <c r="E7" i="46"/>
  <c r="C7" i="46"/>
  <c r="F6" i="46"/>
  <c r="G6" i="46"/>
  <c r="E6" i="46"/>
  <c r="C6" i="46"/>
  <c r="F5" i="46"/>
  <c r="G5" i="46"/>
  <c r="E5" i="46"/>
  <c r="C5" i="46"/>
  <c r="C4" i="46"/>
  <c r="D4" i="46"/>
  <c r="E4" i="46"/>
  <c r="F4" i="46"/>
  <c r="G4" i="46"/>
  <c r="B4" i="46"/>
  <c r="I4" i="46"/>
  <c r="I5" i="46"/>
  <c r="I6" i="46"/>
  <c r="I7" i="46"/>
  <c r="I8" i="46"/>
  <c r="B8" i="46" s="1"/>
  <c r="I9" i="46"/>
  <c r="I3" i="46"/>
  <c r="K8" i="45"/>
  <c r="K6" i="45"/>
  <c r="K5" i="45"/>
  <c r="K4" i="45"/>
  <c r="K3" i="45"/>
  <c r="C9" i="45"/>
  <c r="D9" i="45"/>
  <c r="E9" i="45"/>
  <c r="F9" i="45"/>
  <c r="G9" i="45"/>
  <c r="B9" i="45"/>
  <c r="C8" i="45"/>
  <c r="D8" i="45"/>
  <c r="E8" i="45"/>
  <c r="F8" i="45"/>
  <c r="G8" i="45"/>
  <c r="B8" i="45"/>
  <c r="F7" i="45"/>
  <c r="G7" i="45"/>
  <c r="E7" i="45"/>
  <c r="C7" i="45"/>
  <c r="F6" i="45"/>
  <c r="G6" i="45"/>
  <c r="E6" i="45"/>
  <c r="C6" i="45"/>
  <c r="F5" i="45"/>
  <c r="G5" i="45"/>
  <c r="E5" i="45"/>
  <c r="C5" i="45"/>
  <c r="C4" i="45"/>
  <c r="D4" i="45"/>
  <c r="E4" i="45"/>
  <c r="F4" i="45"/>
  <c r="G4" i="45"/>
  <c r="B4" i="45"/>
  <c r="I5" i="45"/>
  <c r="I6" i="45"/>
  <c r="I7" i="45"/>
  <c r="I8" i="45"/>
  <c r="I9" i="45"/>
  <c r="I4" i="45"/>
  <c r="I3" i="45"/>
  <c r="DA23" i="18"/>
  <c r="CZ23" i="18"/>
  <c r="CY23" i="18"/>
  <c r="CX23" i="18"/>
  <c r="CW23" i="18"/>
  <c r="CX22" i="18"/>
  <c r="CY22" i="18"/>
  <c r="CZ22" i="18"/>
  <c r="DA22" i="18"/>
  <c r="CW22" i="18"/>
  <c r="CX21" i="18"/>
  <c r="CY21" i="18"/>
  <c r="CZ21" i="18"/>
  <c r="DA21" i="18"/>
  <c r="CW21" i="18"/>
  <c r="CX20" i="18"/>
  <c r="CY20" i="18"/>
  <c r="CZ20" i="18"/>
  <c r="DA20" i="18"/>
  <c r="CW20" i="18"/>
  <c r="DC23" i="18"/>
  <c r="DC22" i="18"/>
  <c r="DC21" i="18"/>
  <c r="DC20" i="18"/>
  <c r="DB23" i="18"/>
  <c r="DB22" i="18"/>
  <c r="DB21" i="18"/>
  <c r="DB20" i="18"/>
  <c r="DA17" i="18"/>
  <c r="CZ17" i="18"/>
  <c r="CY17" i="18"/>
  <c r="CX17" i="18"/>
  <c r="CW17" i="18"/>
  <c r="CX16" i="18"/>
  <c r="CY16" i="18"/>
  <c r="CZ16" i="18"/>
  <c r="DA16" i="18"/>
  <c r="CW16" i="18"/>
  <c r="CX15" i="18"/>
  <c r="CY15" i="18"/>
  <c r="CZ15" i="18"/>
  <c r="DA15" i="18"/>
  <c r="CW15" i="18"/>
  <c r="CX14" i="18"/>
  <c r="CY14" i="18"/>
  <c r="CZ14" i="18"/>
  <c r="DA14" i="18"/>
  <c r="CW14" i="18"/>
  <c r="DC17" i="18"/>
  <c r="DC16" i="18"/>
  <c r="DC15" i="18"/>
  <c r="DC14" i="18"/>
  <c r="DB17" i="18"/>
  <c r="DB16" i="18"/>
  <c r="DB15" i="18"/>
  <c r="DB14" i="18"/>
  <c r="DA11" i="18"/>
  <c r="CZ11" i="18"/>
  <c r="CY11" i="18"/>
  <c r="CX11" i="18"/>
  <c r="CW11" i="18"/>
  <c r="CX10" i="18"/>
  <c r="CY10" i="18"/>
  <c r="CZ10" i="18"/>
  <c r="DA10" i="18"/>
  <c r="CW10" i="18"/>
  <c r="CX9" i="18"/>
  <c r="CY9" i="18"/>
  <c r="CZ9" i="18"/>
  <c r="DA9" i="18"/>
  <c r="CW9" i="18"/>
  <c r="CX8" i="18"/>
  <c r="CY8" i="18"/>
  <c r="CZ8" i="18"/>
  <c r="DA8" i="18"/>
  <c r="CW8" i="18"/>
  <c r="DC11" i="18"/>
  <c r="DC10" i="18"/>
  <c r="DC9" i="18"/>
  <c r="DC8" i="18"/>
  <c r="DB11" i="18"/>
  <c r="DB10" i="18"/>
  <c r="DB9" i="18"/>
  <c r="DB8" i="18"/>
  <c r="AP87" i="17"/>
  <c r="AO87" i="17"/>
  <c r="AM87" i="17"/>
  <c r="AM85" i="17"/>
  <c r="AN85" i="17"/>
  <c r="AO85" i="17"/>
  <c r="AP85" i="17"/>
  <c r="AL85" i="17"/>
  <c r="AM82" i="17"/>
  <c r="AN82" i="17"/>
  <c r="AO82" i="17"/>
  <c r="AP82" i="17"/>
  <c r="AL82" i="17"/>
  <c r="AR87" i="17"/>
  <c r="AR85" i="17"/>
  <c r="AR83" i="17"/>
  <c r="AR82" i="17"/>
  <c r="AP78" i="17"/>
  <c r="AO78" i="17"/>
  <c r="AM78" i="17"/>
  <c r="AM76" i="17"/>
  <c r="AN76" i="17"/>
  <c r="AO76" i="17"/>
  <c r="AP76" i="17"/>
  <c r="AL76" i="17"/>
  <c r="AM73" i="17"/>
  <c r="AN73" i="17"/>
  <c r="AO73" i="17"/>
  <c r="AP73" i="17"/>
  <c r="AL73" i="17"/>
  <c r="AR78" i="17"/>
  <c r="AR76" i="17"/>
  <c r="AR74" i="17"/>
  <c r="AR73" i="17"/>
  <c r="AP69" i="17"/>
  <c r="AO69" i="17"/>
  <c r="AM69" i="17"/>
  <c r="AM67" i="17"/>
  <c r="AN67" i="17"/>
  <c r="AO67" i="17"/>
  <c r="AP67" i="17"/>
  <c r="AL67" i="17"/>
  <c r="AM64" i="17"/>
  <c r="AN64" i="17"/>
  <c r="AO64" i="17"/>
  <c r="AP64" i="17"/>
  <c r="AL64" i="17"/>
  <c r="AR69" i="17"/>
  <c r="AR67" i="17"/>
  <c r="AR65" i="17"/>
  <c r="AR64" i="17"/>
  <c r="BS51" i="10"/>
  <c r="BS52" i="10"/>
  <c r="BS50" i="10"/>
  <c r="BA51" i="10"/>
  <c r="BA52" i="10"/>
  <c r="BA50" i="10"/>
  <c r="AI52" i="10"/>
  <c r="AI51" i="10"/>
  <c r="AI50" i="10"/>
  <c r="Q51" i="10"/>
  <c r="Q52" i="10"/>
  <c r="Q50" i="10"/>
  <c r="K8" i="44" l="1"/>
  <c r="K7" i="44"/>
  <c r="K6" i="44"/>
  <c r="K5" i="44"/>
  <c r="K4" i="44"/>
  <c r="K3" i="44"/>
  <c r="C9" i="44"/>
  <c r="D9" i="44"/>
  <c r="E9" i="44"/>
  <c r="F9" i="44"/>
  <c r="G9" i="44"/>
  <c r="B9" i="44"/>
  <c r="I9" i="44"/>
  <c r="B8" i="44"/>
  <c r="C8" i="44"/>
  <c r="D8" i="44"/>
  <c r="E8" i="44"/>
  <c r="F8" i="44"/>
  <c r="G8" i="44"/>
  <c r="I8" i="44"/>
  <c r="F7" i="44"/>
  <c r="G7" i="44"/>
  <c r="E7" i="44"/>
  <c r="C7" i="44"/>
  <c r="I7" i="44"/>
  <c r="E6" i="44"/>
  <c r="F6" i="44"/>
  <c r="G6" i="44"/>
  <c r="C6" i="44"/>
  <c r="I6" i="44"/>
  <c r="F5" i="44"/>
  <c r="G5" i="44"/>
  <c r="E5" i="44"/>
  <c r="C5" i="44"/>
  <c r="I5" i="44"/>
  <c r="C4" i="44"/>
  <c r="D4" i="44"/>
  <c r="E4" i="44"/>
  <c r="F4" i="44"/>
  <c r="G4" i="44"/>
  <c r="B4" i="44"/>
  <c r="I4" i="44"/>
  <c r="I3" i="44"/>
  <c r="DA5" i="18"/>
  <c r="CZ5" i="18"/>
  <c r="CY5" i="18"/>
  <c r="CX5" i="18"/>
  <c r="CW5" i="18"/>
  <c r="CX4" i="18"/>
  <c r="CY4" i="18"/>
  <c r="CZ4" i="18"/>
  <c r="DA4" i="18"/>
  <c r="CW4" i="18"/>
  <c r="CX3" i="18"/>
  <c r="CY3" i="18"/>
  <c r="CZ3" i="18"/>
  <c r="DA3" i="18"/>
  <c r="CW3" i="18"/>
  <c r="CX2" i="18"/>
  <c r="CY2" i="18"/>
  <c r="CZ2" i="18"/>
  <c r="DA2" i="18"/>
  <c r="CW2" i="18"/>
  <c r="DC5" i="18"/>
  <c r="DC4" i="18"/>
  <c r="DC3" i="18"/>
  <c r="DC2" i="18"/>
  <c r="DB5" i="18"/>
  <c r="DB4" i="18"/>
  <c r="DB3" i="18"/>
  <c r="DB2" i="18"/>
  <c r="AP60" i="17"/>
  <c r="AO60" i="17"/>
  <c r="AM60" i="17"/>
  <c r="AM58" i="17"/>
  <c r="AN58" i="17"/>
  <c r="AO58" i="17"/>
  <c r="AP58" i="17"/>
  <c r="AL58" i="17"/>
  <c r="AM55" i="17"/>
  <c r="AN55" i="17"/>
  <c r="AO55" i="17"/>
  <c r="AP55" i="17"/>
  <c r="AL55" i="17"/>
  <c r="AR60" i="17"/>
  <c r="AR58" i="17"/>
  <c r="AR56" i="17"/>
  <c r="AR55" i="17"/>
  <c r="BA49" i="10"/>
  <c r="BS49" i="10"/>
  <c r="AI49" i="10"/>
  <c r="Q49" i="10"/>
  <c r="K8" i="43"/>
  <c r="K7" i="43"/>
  <c r="K6" i="43"/>
  <c r="K5" i="43"/>
  <c r="K4" i="43"/>
  <c r="K3" i="43"/>
  <c r="C9" i="43"/>
  <c r="D9" i="43"/>
  <c r="E9" i="43"/>
  <c r="F9" i="43"/>
  <c r="G9" i="43"/>
  <c r="B9" i="43"/>
  <c r="I9" i="43"/>
  <c r="C8" i="43"/>
  <c r="D8" i="43"/>
  <c r="E8" i="43"/>
  <c r="F8" i="43"/>
  <c r="G8" i="43"/>
  <c r="B8" i="43"/>
  <c r="I8" i="43"/>
  <c r="F7" i="43"/>
  <c r="G7" i="43"/>
  <c r="E7" i="43"/>
  <c r="C7" i="43"/>
  <c r="I7" i="43"/>
  <c r="F6" i="43"/>
  <c r="G6" i="43"/>
  <c r="E6" i="43"/>
  <c r="C6" i="43"/>
  <c r="I6" i="43"/>
  <c r="F5" i="43"/>
  <c r="G5" i="43"/>
  <c r="E5" i="43"/>
  <c r="C5" i="43"/>
  <c r="I5" i="43"/>
  <c r="C4" i="43"/>
  <c r="D4" i="43"/>
  <c r="E4" i="43"/>
  <c r="F4" i="43"/>
  <c r="G4" i="43"/>
  <c r="B4" i="43"/>
  <c r="I4" i="43"/>
  <c r="I3" i="43"/>
  <c r="CT23" i="18"/>
  <c r="CS23" i="18"/>
  <c r="CR23" i="18"/>
  <c r="CQ23" i="18"/>
  <c r="CO23" i="18"/>
  <c r="CP23" i="18"/>
  <c r="CN23" i="18"/>
  <c r="CT22" i="18"/>
  <c r="CS22" i="18"/>
  <c r="CO22" i="18"/>
  <c r="CP22" i="18"/>
  <c r="CQ22" i="18"/>
  <c r="CR22" i="18"/>
  <c r="CN22" i="18"/>
  <c r="CT21" i="18"/>
  <c r="CS21" i="18"/>
  <c r="CO21" i="18"/>
  <c r="CP21" i="18"/>
  <c r="CQ21" i="18"/>
  <c r="CR21" i="18"/>
  <c r="CN21" i="18"/>
  <c r="CT20" i="18"/>
  <c r="CO20" i="18"/>
  <c r="CP20" i="18"/>
  <c r="CQ20" i="18"/>
  <c r="CR20" i="18"/>
  <c r="CN20" i="18"/>
  <c r="CS20" i="18"/>
  <c r="AP49" i="17"/>
  <c r="AO49" i="17"/>
  <c r="AM49" i="17"/>
  <c r="AM47" i="17"/>
  <c r="AN47" i="17"/>
  <c r="AO47" i="17"/>
  <c r="AP47" i="17"/>
  <c r="AL47" i="17"/>
  <c r="AM44" i="17"/>
  <c r="AN44" i="17"/>
  <c r="AO44" i="17"/>
  <c r="AP44" i="17"/>
  <c r="AL44" i="17"/>
  <c r="AR49" i="17"/>
  <c r="AR47" i="17"/>
  <c r="AR45" i="17"/>
  <c r="AR44" i="17"/>
  <c r="BS48" i="10"/>
  <c r="BA48" i="10"/>
  <c r="AI48" i="10"/>
  <c r="Q48" i="10"/>
  <c r="K8" i="42" l="1"/>
  <c r="K7" i="42"/>
  <c r="K6" i="42"/>
  <c r="K5" i="42"/>
  <c r="K4" i="42"/>
  <c r="K3" i="42"/>
  <c r="C9" i="42"/>
  <c r="D9" i="42"/>
  <c r="E9" i="42"/>
  <c r="F9" i="42"/>
  <c r="G9" i="42"/>
  <c r="B9" i="42"/>
  <c r="C8" i="42"/>
  <c r="D8" i="42"/>
  <c r="E8" i="42"/>
  <c r="F8" i="42"/>
  <c r="G8" i="42"/>
  <c r="B8" i="42"/>
  <c r="F7" i="42"/>
  <c r="G7" i="42"/>
  <c r="E7" i="42"/>
  <c r="C7" i="42"/>
  <c r="F6" i="42"/>
  <c r="G6" i="42"/>
  <c r="E6" i="42"/>
  <c r="C6" i="42"/>
  <c r="F5" i="42"/>
  <c r="G5" i="42"/>
  <c r="E5" i="42"/>
  <c r="C5" i="42"/>
  <c r="C4" i="42"/>
  <c r="D4" i="42"/>
  <c r="E4" i="42"/>
  <c r="F4" i="42"/>
  <c r="G4" i="42"/>
  <c r="B4" i="42"/>
  <c r="I4" i="42"/>
  <c r="I5" i="42"/>
  <c r="I6" i="42"/>
  <c r="I7" i="42"/>
  <c r="I8" i="42"/>
  <c r="I9" i="42"/>
  <c r="I3" i="42"/>
  <c r="CT17" i="18" l="1"/>
  <c r="CO17" i="18"/>
  <c r="CP17" i="18"/>
  <c r="CQ17" i="18"/>
  <c r="CR17" i="18"/>
  <c r="CN17" i="18"/>
  <c r="CT16" i="18"/>
  <c r="CO16" i="18"/>
  <c r="CP16" i="18"/>
  <c r="CQ16" i="18"/>
  <c r="CR16" i="18"/>
  <c r="CN16" i="18"/>
  <c r="CT15" i="18"/>
  <c r="CO15" i="18"/>
  <c r="CP15" i="18"/>
  <c r="CQ15" i="18"/>
  <c r="CR15" i="18"/>
  <c r="CN15" i="18"/>
  <c r="CT14" i="18"/>
  <c r="CO14" i="18"/>
  <c r="CP14" i="18"/>
  <c r="CQ14" i="18"/>
  <c r="CR14" i="18"/>
  <c r="CN14" i="18"/>
  <c r="CS17" i="18"/>
  <c r="CS16" i="18"/>
  <c r="CS15" i="18"/>
  <c r="CS14" i="18"/>
  <c r="AP39" i="17"/>
  <c r="AO39" i="17"/>
  <c r="AM39" i="17"/>
  <c r="AM37" i="17"/>
  <c r="AN37" i="17"/>
  <c r="AO37" i="17"/>
  <c r="AP37" i="17"/>
  <c r="AL37" i="17"/>
  <c r="AM34" i="17"/>
  <c r="AN34" i="17"/>
  <c r="AO34" i="17"/>
  <c r="AP34" i="17"/>
  <c r="AL34" i="17"/>
  <c r="AR39" i="17"/>
  <c r="AR37" i="17"/>
  <c r="AR35" i="17"/>
  <c r="AR34" i="17"/>
  <c r="Q47" i="10"/>
  <c r="BS47" i="10"/>
  <c r="BA47" i="10"/>
  <c r="AI47" i="10"/>
  <c r="K8" i="41"/>
  <c r="K7" i="41"/>
  <c r="K6" i="41"/>
  <c r="K5" i="41"/>
  <c r="K4" i="41"/>
  <c r="K3" i="41"/>
  <c r="C9" i="41"/>
  <c r="D9" i="41"/>
  <c r="E9" i="41"/>
  <c r="F9" i="41"/>
  <c r="G9" i="41"/>
  <c r="B9" i="41"/>
  <c r="C8" i="41"/>
  <c r="D8" i="41"/>
  <c r="E8" i="41"/>
  <c r="F8" i="41"/>
  <c r="G8" i="41"/>
  <c r="B8" i="41"/>
  <c r="F7" i="41"/>
  <c r="G7" i="41"/>
  <c r="E7" i="41"/>
  <c r="C7" i="41"/>
  <c r="F6" i="41"/>
  <c r="G6" i="41"/>
  <c r="E6" i="41"/>
  <c r="C6" i="41"/>
  <c r="F5" i="41"/>
  <c r="G5" i="41"/>
  <c r="E5" i="41"/>
  <c r="C5" i="41"/>
  <c r="C4" i="41"/>
  <c r="D4" i="41"/>
  <c r="E4" i="41"/>
  <c r="F4" i="41"/>
  <c r="G4" i="41"/>
  <c r="B4" i="41"/>
  <c r="I4" i="41"/>
  <c r="I5" i="41"/>
  <c r="I6" i="41"/>
  <c r="I7" i="41"/>
  <c r="I8" i="41"/>
  <c r="I9" i="41"/>
  <c r="I3" i="41"/>
  <c r="CO11" i="18"/>
  <c r="CP11" i="18"/>
  <c r="CQ11" i="18"/>
  <c r="CR11" i="18"/>
  <c r="CS11" i="18"/>
  <c r="CT11" i="18"/>
  <c r="CN11" i="18"/>
  <c r="CT10" i="18"/>
  <c r="CO10" i="18"/>
  <c r="CP10" i="18"/>
  <c r="CQ10" i="18"/>
  <c r="CR10" i="18"/>
  <c r="CN10" i="18"/>
  <c r="CO9" i="18"/>
  <c r="CP9" i="18"/>
  <c r="CQ9" i="18"/>
  <c r="CR9" i="18"/>
  <c r="CS9" i="18"/>
  <c r="CT9" i="18"/>
  <c r="CN9" i="18"/>
  <c r="CT8" i="18"/>
  <c r="CO8" i="18"/>
  <c r="CP8" i="18"/>
  <c r="CQ8" i="18"/>
  <c r="CR8" i="18"/>
  <c r="CS8" i="18"/>
  <c r="CN8" i="18"/>
  <c r="CS10" i="18"/>
  <c r="AP29" i="17"/>
  <c r="AO29" i="17"/>
  <c r="AM29" i="17"/>
  <c r="AM27" i="17"/>
  <c r="AN27" i="17"/>
  <c r="AO27" i="17"/>
  <c r="AP27" i="17"/>
  <c r="AL27" i="17"/>
  <c r="AM24" i="17"/>
  <c r="AN24" i="17"/>
  <c r="AO24" i="17"/>
  <c r="AP24" i="17"/>
  <c r="AL24" i="17"/>
  <c r="AR29" i="17"/>
  <c r="AR27" i="17"/>
  <c r="AR25" i="17"/>
  <c r="AR24" i="17"/>
  <c r="BS46" i="10"/>
  <c r="BA46" i="10"/>
  <c r="AI46" i="10"/>
  <c r="K8" i="38"/>
  <c r="K7" i="38"/>
  <c r="K6" i="38"/>
  <c r="K5" i="38"/>
  <c r="K4" i="38"/>
  <c r="K3" i="38"/>
  <c r="C9" i="38"/>
  <c r="D9" i="38"/>
  <c r="E9" i="38"/>
  <c r="F9" i="38"/>
  <c r="G9" i="38"/>
  <c r="B9" i="38"/>
  <c r="C8" i="38"/>
  <c r="D8" i="38"/>
  <c r="E8" i="38"/>
  <c r="F8" i="38"/>
  <c r="G8" i="38"/>
  <c r="B8" i="38"/>
  <c r="F6" i="38"/>
  <c r="G6" i="38"/>
  <c r="E6" i="38"/>
  <c r="F7" i="38"/>
  <c r="G7" i="38"/>
  <c r="E7" i="38"/>
  <c r="C7" i="38"/>
  <c r="C6" i="38"/>
  <c r="F5" i="38"/>
  <c r="G5" i="38"/>
  <c r="E5" i="38"/>
  <c r="C5" i="38"/>
  <c r="C4" i="38"/>
  <c r="D4" i="38"/>
  <c r="E4" i="38"/>
  <c r="F4" i="38"/>
  <c r="G4" i="38"/>
  <c r="B4" i="38"/>
  <c r="I9" i="38"/>
  <c r="I4" i="38"/>
  <c r="I5" i="38"/>
  <c r="I6" i="38"/>
  <c r="I7" i="38"/>
  <c r="I8" i="38"/>
  <c r="I3" i="38"/>
  <c r="K8" i="37"/>
  <c r="K7" i="36"/>
  <c r="K7" i="37"/>
  <c r="K6" i="37"/>
  <c r="K5" i="37"/>
  <c r="K4" i="37"/>
  <c r="K3" i="37"/>
  <c r="C9" i="37"/>
  <c r="D9" i="37"/>
  <c r="E9" i="37"/>
  <c r="F9" i="37"/>
  <c r="G9" i="37"/>
  <c r="B9" i="37"/>
  <c r="C8" i="37"/>
  <c r="D8" i="37"/>
  <c r="E8" i="37"/>
  <c r="F8" i="37"/>
  <c r="G8" i="37"/>
  <c r="B8" i="37"/>
  <c r="F7" i="37"/>
  <c r="G7" i="37"/>
  <c r="E7" i="37"/>
  <c r="C7" i="37"/>
  <c r="F6" i="37"/>
  <c r="G6" i="37"/>
  <c r="E6" i="37"/>
  <c r="C6" i="37"/>
  <c r="F5" i="37"/>
  <c r="G5" i="37"/>
  <c r="E5" i="37"/>
  <c r="C5" i="37"/>
  <c r="C4" i="37"/>
  <c r="D4" i="37"/>
  <c r="E4" i="37"/>
  <c r="F4" i="37"/>
  <c r="G4" i="37"/>
  <c r="B4" i="37"/>
  <c r="I4" i="37"/>
  <c r="I5" i="37"/>
  <c r="I6" i="37"/>
  <c r="I7" i="37"/>
  <c r="I8" i="37"/>
  <c r="I9" i="37"/>
  <c r="I3" i="37"/>
  <c r="K8" i="36"/>
  <c r="K6" i="36"/>
  <c r="K5" i="36"/>
  <c r="K4" i="36"/>
  <c r="K3" i="36"/>
  <c r="C9" i="36"/>
  <c r="D9" i="36"/>
  <c r="E9" i="36"/>
  <c r="F9" i="36"/>
  <c r="G9" i="36"/>
  <c r="B9" i="36"/>
  <c r="C8" i="36"/>
  <c r="D8" i="36"/>
  <c r="E8" i="36"/>
  <c r="F8" i="36"/>
  <c r="G8" i="36"/>
  <c r="B8" i="36"/>
  <c r="I9" i="36"/>
  <c r="I8" i="36"/>
  <c r="F7" i="36"/>
  <c r="G7" i="36"/>
  <c r="E7" i="36"/>
  <c r="C7" i="36"/>
  <c r="I7" i="36"/>
  <c r="F6" i="36"/>
  <c r="G6" i="36"/>
  <c r="E6" i="36"/>
  <c r="C6" i="36"/>
  <c r="I6" i="36"/>
  <c r="F5" i="36"/>
  <c r="G5" i="36"/>
  <c r="E5" i="36"/>
  <c r="C5" i="36"/>
  <c r="I4" i="36"/>
  <c r="I5" i="36"/>
  <c r="C4" i="36"/>
  <c r="D4" i="36"/>
  <c r="E4" i="36"/>
  <c r="F4" i="36"/>
  <c r="G4" i="36"/>
  <c r="B4" i="36"/>
  <c r="I3" i="36"/>
  <c r="CT5" i="18"/>
  <c r="CT4" i="18"/>
  <c r="CT3" i="18"/>
  <c r="CT2" i="18"/>
  <c r="CO5" i="18"/>
  <c r="CP5" i="18"/>
  <c r="CQ5" i="18"/>
  <c r="CR5" i="18"/>
  <c r="CN5" i="18"/>
  <c r="CO4" i="18"/>
  <c r="CP4" i="18"/>
  <c r="CQ4" i="18"/>
  <c r="CR4" i="18"/>
  <c r="CN4" i="18"/>
  <c r="CO3" i="18"/>
  <c r="CP3" i="18"/>
  <c r="CQ3" i="18"/>
  <c r="CR3" i="18"/>
  <c r="CN3" i="18"/>
  <c r="CO2" i="18"/>
  <c r="CP2" i="18"/>
  <c r="CQ2" i="18"/>
  <c r="CR2" i="18"/>
  <c r="CN2" i="18"/>
  <c r="CS5" i="18"/>
  <c r="CS4" i="18"/>
  <c r="CS3" i="18"/>
  <c r="CS2" i="18"/>
  <c r="CF23" i="18"/>
  <c r="CG23" i="18"/>
  <c r="CH23" i="18"/>
  <c r="CI23" i="18"/>
  <c r="CE23" i="18"/>
  <c r="CF22" i="18"/>
  <c r="CG22" i="18"/>
  <c r="CH22" i="18"/>
  <c r="CI22" i="18"/>
  <c r="CE22" i="18"/>
  <c r="CF21" i="18"/>
  <c r="CG21" i="18"/>
  <c r="CH21" i="18"/>
  <c r="CI21" i="18"/>
  <c r="CE21" i="18"/>
  <c r="CF20" i="18"/>
  <c r="CG20" i="18"/>
  <c r="CH20" i="18"/>
  <c r="CI20" i="18"/>
  <c r="CE20" i="18"/>
  <c r="CK23" i="18"/>
  <c r="CK22" i="18"/>
  <c r="CK21" i="18"/>
  <c r="CK20" i="18"/>
  <c r="CJ23" i="18"/>
  <c r="CJ22" i="18"/>
  <c r="CJ21" i="18"/>
  <c r="CJ20" i="18"/>
  <c r="CF17" i="18"/>
  <c r="CG17" i="18"/>
  <c r="CH17" i="18"/>
  <c r="CI17" i="18"/>
  <c r="CE17" i="18"/>
  <c r="CF16" i="18"/>
  <c r="CG16" i="18"/>
  <c r="CH16" i="18"/>
  <c r="CI16" i="18"/>
  <c r="CE16" i="18"/>
  <c r="CF15" i="18"/>
  <c r="CG15" i="18"/>
  <c r="CH15" i="18"/>
  <c r="CI15" i="18"/>
  <c r="CE15" i="18"/>
  <c r="CF14" i="18"/>
  <c r="CG14" i="18"/>
  <c r="CH14" i="18"/>
  <c r="CI14" i="18"/>
  <c r="CE14" i="18"/>
  <c r="CK17" i="18"/>
  <c r="CK16" i="18"/>
  <c r="CK15" i="18"/>
  <c r="CK14" i="18"/>
  <c r="CJ17" i="18"/>
  <c r="CJ16" i="18"/>
  <c r="CJ15" i="18"/>
  <c r="CJ14" i="18"/>
  <c r="AP19" i="17"/>
  <c r="AO19" i="17"/>
  <c r="AM19" i="17"/>
  <c r="AP17" i="17"/>
  <c r="AO17" i="17"/>
  <c r="AN17" i="17"/>
  <c r="AM17" i="17"/>
  <c r="AL17" i="17"/>
  <c r="AM14" i="17"/>
  <c r="AN14" i="17"/>
  <c r="AO14" i="17"/>
  <c r="AP14" i="17"/>
  <c r="AL14" i="17"/>
  <c r="AR15" i="17"/>
  <c r="AR17" i="17"/>
  <c r="AR19" i="17"/>
  <c r="AR14" i="17"/>
  <c r="AP8" i="17"/>
  <c r="AO8" i="17"/>
  <c r="AM8" i="17"/>
  <c r="AM6" i="17"/>
  <c r="AN6" i="17"/>
  <c r="AO6" i="17"/>
  <c r="AP6" i="17"/>
  <c r="AL6" i="17"/>
  <c r="AR8" i="17"/>
  <c r="AR6" i="17"/>
  <c r="AR4" i="17"/>
  <c r="AM3" i="17"/>
  <c r="AN3" i="17"/>
  <c r="AO3" i="17"/>
  <c r="AP3" i="17"/>
  <c r="AL3" i="17"/>
  <c r="AR3" i="17"/>
  <c r="AG104" i="17"/>
  <c r="AF104" i="17"/>
  <c r="AD104" i="17"/>
  <c r="AD102" i="17"/>
  <c r="AE102" i="17"/>
  <c r="AF102" i="17"/>
  <c r="AG102" i="17"/>
  <c r="AC102" i="17"/>
  <c r="AD99" i="17"/>
  <c r="AE99" i="17"/>
  <c r="AF99" i="17"/>
  <c r="AG99" i="17"/>
  <c r="AC99" i="17"/>
  <c r="AI104" i="17"/>
  <c r="AI102" i="17"/>
  <c r="AI100" i="17"/>
  <c r="AI99" i="17"/>
  <c r="BS45" i="10"/>
  <c r="BS44" i="10"/>
  <c r="BS43" i="10"/>
  <c r="BA45" i="10"/>
  <c r="BA44" i="10"/>
  <c r="BA43" i="10"/>
  <c r="AI43" i="10"/>
  <c r="AI44" i="10"/>
  <c r="AI45" i="10"/>
  <c r="Q44" i="10"/>
  <c r="Q45" i="10"/>
  <c r="Q46" i="10"/>
  <c r="Q43" i="10"/>
  <c r="K8" i="35" l="1"/>
  <c r="K7" i="35"/>
  <c r="K6" i="35"/>
  <c r="K5" i="35"/>
  <c r="K4" i="35"/>
  <c r="K3" i="35"/>
  <c r="C8" i="35"/>
  <c r="D8" i="35"/>
  <c r="E8" i="35"/>
  <c r="F8" i="35"/>
  <c r="G8" i="35"/>
  <c r="B8" i="35"/>
  <c r="C9" i="35"/>
  <c r="D9" i="35"/>
  <c r="E9" i="35"/>
  <c r="F9" i="35"/>
  <c r="G9" i="35"/>
  <c r="F7" i="35"/>
  <c r="G7" i="35"/>
  <c r="E7" i="35"/>
  <c r="C7" i="35"/>
  <c r="F6" i="35"/>
  <c r="G6" i="35"/>
  <c r="E6" i="35"/>
  <c r="C6" i="35"/>
  <c r="F5" i="35"/>
  <c r="G5" i="35"/>
  <c r="E5" i="35"/>
  <c r="C5" i="35"/>
  <c r="C4" i="35"/>
  <c r="D4" i="35"/>
  <c r="E4" i="35"/>
  <c r="F4" i="35"/>
  <c r="G4" i="35"/>
  <c r="B4" i="35"/>
  <c r="I4" i="35"/>
  <c r="I5" i="35"/>
  <c r="I6" i="35"/>
  <c r="I7" i="35"/>
  <c r="I8" i="35"/>
  <c r="I9" i="35"/>
  <c r="B9" i="35" s="1"/>
  <c r="I3" i="35"/>
  <c r="K8" i="34"/>
  <c r="D8" i="34" s="1"/>
  <c r="K7" i="34"/>
  <c r="K6" i="34"/>
  <c r="K5" i="34"/>
  <c r="K4" i="34"/>
  <c r="K3" i="34"/>
  <c r="C9" i="34"/>
  <c r="D9" i="34"/>
  <c r="E9" i="34"/>
  <c r="F9" i="34"/>
  <c r="G9" i="34"/>
  <c r="B9" i="34"/>
  <c r="C8" i="34"/>
  <c r="E8" i="34"/>
  <c r="F8" i="34"/>
  <c r="G8" i="34"/>
  <c r="B8" i="34"/>
  <c r="F7" i="34"/>
  <c r="G7" i="34"/>
  <c r="E7" i="34"/>
  <c r="C7" i="34"/>
  <c r="F6" i="34"/>
  <c r="G6" i="34"/>
  <c r="E6" i="34"/>
  <c r="C6" i="34"/>
  <c r="F5" i="34"/>
  <c r="G5" i="34"/>
  <c r="E5" i="34"/>
  <c r="C5" i="34"/>
  <c r="C4" i="34"/>
  <c r="D4" i="34"/>
  <c r="E4" i="34"/>
  <c r="F4" i="34"/>
  <c r="G4" i="34"/>
  <c r="B4" i="34"/>
  <c r="I9" i="34"/>
  <c r="I5" i="34"/>
  <c r="I6" i="34"/>
  <c r="I7" i="34"/>
  <c r="I8" i="34"/>
  <c r="I4" i="34"/>
  <c r="I3" i="34"/>
  <c r="CK11" i="18"/>
  <c r="CH11" i="18"/>
  <c r="CI11" i="18"/>
  <c r="CF11" i="18"/>
  <c r="CG11" i="18"/>
  <c r="CE11" i="18"/>
  <c r="CK10" i="18"/>
  <c r="CF10" i="18"/>
  <c r="CG10" i="18"/>
  <c r="CH10" i="18"/>
  <c r="CI10" i="18"/>
  <c r="CE10" i="18"/>
  <c r="CK9" i="18"/>
  <c r="CF9" i="18"/>
  <c r="CG9" i="18"/>
  <c r="CH9" i="18"/>
  <c r="CI9" i="18"/>
  <c r="CE9" i="18"/>
  <c r="CK8" i="18"/>
  <c r="CF8" i="18"/>
  <c r="CG8" i="18"/>
  <c r="CH8" i="18"/>
  <c r="CI8" i="18"/>
  <c r="CE8" i="18"/>
  <c r="CJ11" i="18"/>
  <c r="CJ10" i="18"/>
  <c r="CJ9" i="18"/>
  <c r="CJ8" i="18"/>
  <c r="CF5" i="18"/>
  <c r="CG5" i="18"/>
  <c r="CH5" i="18"/>
  <c r="CI5" i="18"/>
  <c r="CE5" i="18"/>
  <c r="CK5" i="18"/>
  <c r="CK4" i="18"/>
  <c r="CF4" i="18"/>
  <c r="CG4" i="18"/>
  <c r="CH4" i="18"/>
  <c r="CI4" i="18"/>
  <c r="CE4" i="18"/>
  <c r="CK3" i="18"/>
  <c r="CF3" i="18"/>
  <c r="CG3" i="18"/>
  <c r="CH3" i="18"/>
  <c r="CI3" i="18"/>
  <c r="CE3" i="18"/>
  <c r="CJ5" i="18"/>
  <c r="CJ4" i="18"/>
  <c r="CJ3" i="18"/>
  <c r="CK2" i="18"/>
  <c r="CF2" i="18"/>
  <c r="CG2" i="18"/>
  <c r="CH2" i="18"/>
  <c r="CI2" i="18"/>
  <c r="CE2" i="18"/>
  <c r="CJ2" i="18"/>
  <c r="AG95" i="17"/>
  <c r="AF95" i="17"/>
  <c r="AD95" i="17"/>
  <c r="AD93" i="17"/>
  <c r="AE93" i="17"/>
  <c r="AF93" i="17"/>
  <c r="AG93" i="17"/>
  <c r="AD88" i="17"/>
  <c r="AE88" i="17"/>
  <c r="AF88" i="17"/>
  <c r="AG88" i="17"/>
  <c r="AC88" i="17"/>
  <c r="AI90" i="17"/>
  <c r="AI95" i="17"/>
  <c r="AI88" i="17"/>
  <c r="AG84" i="17"/>
  <c r="AF84" i="17"/>
  <c r="AD84" i="17"/>
  <c r="AD82" i="17"/>
  <c r="AE82" i="17"/>
  <c r="AF82" i="17"/>
  <c r="AG82" i="17"/>
  <c r="AD77" i="17"/>
  <c r="AE77" i="17"/>
  <c r="AF77" i="17"/>
  <c r="AG77" i="17"/>
  <c r="AC77" i="17"/>
  <c r="AI84" i="17"/>
  <c r="AI79" i="17"/>
  <c r="AI77" i="17"/>
  <c r="BS42" i="10"/>
  <c r="BS41" i="10"/>
  <c r="BA39" i="10"/>
  <c r="BA40" i="10"/>
  <c r="BA41" i="10"/>
  <c r="BA42" i="10"/>
  <c r="AI40" i="10"/>
  <c r="AI41" i="10"/>
  <c r="AI42" i="10"/>
  <c r="Q42" i="10"/>
  <c r="Q41" i="10"/>
  <c r="K8" i="32" l="1"/>
  <c r="K7" i="32"/>
  <c r="K6" i="32"/>
  <c r="K5" i="32"/>
  <c r="K4" i="32"/>
  <c r="K3" i="32"/>
  <c r="C9" i="32"/>
  <c r="D9" i="32"/>
  <c r="E9" i="32"/>
  <c r="F9" i="32"/>
  <c r="G9" i="32"/>
  <c r="B9" i="32"/>
  <c r="C8" i="32"/>
  <c r="D8" i="32"/>
  <c r="E8" i="32"/>
  <c r="F8" i="32"/>
  <c r="G8" i="32"/>
  <c r="B8" i="32"/>
  <c r="F7" i="32"/>
  <c r="G7" i="32"/>
  <c r="E7" i="32"/>
  <c r="C7" i="32"/>
  <c r="F6" i="32"/>
  <c r="G6" i="32"/>
  <c r="E6" i="32"/>
  <c r="C6" i="32"/>
  <c r="F5" i="32"/>
  <c r="G5" i="32"/>
  <c r="E5" i="32"/>
  <c r="C5" i="32"/>
  <c r="C4" i="32"/>
  <c r="D4" i="32"/>
  <c r="E4" i="32"/>
  <c r="F4" i="32"/>
  <c r="G4" i="32"/>
  <c r="B4" i="32"/>
  <c r="I4" i="32"/>
  <c r="I5" i="32"/>
  <c r="I6" i="32"/>
  <c r="I7" i="32"/>
  <c r="I8" i="32"/>
  <c r="I9" i="32"/>
  <c r="I3" i="32"/>
  <c r="BW23" i="18"/>
  <c r="BX23" i="18"/>
  <c r="BY23" i="18"/>
  <c r="BZ23" i="18"/>
  <c r="CA23" i="18"/>
  <c r="CB23" i="18"/>
  <c r="BV23" i="18"/>
  <c r="CB22" i="18"/>
  <c r="CA22" i="18"/>
  <c r="BW22" i="18"/>
  <c r="BX22" i="18"/>
  <c r="BY22" i="18"/>
  <c r="BZ22" i="18"/>
  <c r="BV22" i="18"/>
  <c r="BW21" i="18"/>
  <c r="BX21" i="18"/>
  <c r="BY21" i="18"/>
  <c r="BZ21" i="18"/>
  <c r="CA21" i="18"/>
  <c r="CB21" i="18"/>
  <c r="BV21" i="18"/>
  <c r="CB20" i="18"/>
  <c r="BW20" i="18"/>
  <c r="BX20" i="18"/>
  <c r="BY20" i="18"/>
  <c r="BZ20" i="18"/>
  <c r="BV20" i="18"/>
  <c r="CA20" i="18"/>
  <c r="AG72" i="17"/>
  <c r="AF72" i="17"/>
  <c r="AD72" i="17"/>
  <c r="AD70" i="17"/>
  <c r="AE70" i="17"/>
  <c r="AF70" i="17"/>
  <c r="AG70" i="17"/>
  <c r="AC70" i="17"/>
  <c r="AD66" i="17"/>
  <c r="AE66" i="17"/>
  <c r="AF66" i="17"/>
  <c r="AG66" i="17"/>
  <c r="AC66" i="17"/>
  <c r="AI70" i="17"/>
  <c r="AI72" i="17"/>
  <c r="AI67" i="17"/>
  <c r="AI66" i="17"/>
  <c r="BS40" i="10"/>
  <c r="Q40" i="10"/>
  <c r="Q39" i="10"/>
  <c r="K8" i="31" l="1"/>
  <c r="K7" i="31"/>
  <c r="K6" i="31"/>
  <c r="K5" i="31"/>
  <c r="K4" i="31"/>
  <c r="K3" i="31"/>
  <c r="C9" i="31"/>
  <c r="D9" i="31"/>
  <c r="E9" i="31"/>
  <c r="F9" i="31"/>
  <c r="G9" i="31"/>
  <c r="B9" i="31"/>
  <c r="C8" i="31"/>
  <c r="D8" i="31"/>
  <c r="E8" i="31"/>
  <c r="F8" i="31"/>
  <c r="G8" i="31"/>
  <c r="B8" i="31"/>
  <c r="F7" i="31"/>
  <c r="G7" i="31"/>
  <c r="E7" i="31"/>
  <c r="C7" i="31"/>
  <c r="F6" i="31"/>
  <c r="G6" i="31"/>
  <c r="E6" i="31"/>
  <c r="C6" i="31"/>
  <c r="F5" i="31"/>
  <c r="G5" i="31"/>
  <c r="E5" i="31"/>
  <c r="C5" i="31"/>
  <c r="C4" i="31"/>
  <c r="D4" i="31"/>
  <c r="E4" i="31"/>
  <c r="F4" i="31"/>
  <c r="G4" i="31"/>
  <c r="B4" i="31"/>
  <c r="I4" i="31"/>
  <c r="I5" i="31"/>
  <c r="I6" i="31"/>
  <c r="I7" i="31"/>
  <c r="I8" i="31"/>
  <c r="I9" i="31"/>
  <c r="I3" i="31"/>
  <c r="BW17" i="18"/>
  <c r="BX17" i="18"/>
  <c r="BY17" i="18"/>
  <c r="BZ17" i="18"/>
  <c r="BV17" i="18"/>
  <c r="BW16" i="18"/>
  <c r="BX16" i="18"/>
  <c r="BY16" i="18"/>
  <c r="BZ16" i="18"/>
  <c r="BV16" i="18"/>
  <c r="BW14" i="18"/>
  <c r="BX14" i="18"/>
  <c r="BY14" i="18"/>
  <c r="BZ14" i="18"/>
  <c r="BV14" i="18"/>
  <c r="CB17" i="18"/>
  <c r="CB16" i="18"/>
  <c r="CB15" i="18"/>
  <c r="CB14" i="18"/>
  <c r="CA17" i="18"/>
  <c r="CA16" i="18"/>
  <c r="CA15" i="18"/>
  <c r="CA14" i="18"/>
  <c r="AG62" i="17"/>
  <c r="AF62" i="17"/>
  <c r="AD62" i="17"/>
  <c r="AD60" i="17"/>
  <c r="AE60" i="17"/>
  <c r="AF60" i="17"/>
  <c r="AG60" i="17"/>
  <c r="AC60" i="17"/>
  <c r="AC57" i="17"/>
  <c r="BV15" i="18" s="1"/>
  <c r="AD57" i="17"/>
  <c r="BW15" i="18" s="1"/>
  <c r="AE57" i="17"/>
  <c r="BX15" i="18" s="1"/>
  <c r="AF57" i="17"/>
  <c r="BY15" i="18" s="1"/>
  <c r="AG57" i="17"/>
  <c r="BZ15" i="18" s="1"/>
  <c r="AD56" i="17"/>
  <c r="AE56" i="17"/>
  <c r="AF56" i="17"/>
  <c r="AG56" i="17"/>
  <c r="AC56" i="17"/>
  <c r="AI62" i="17"/>
  <c r="AI60" i="17"/>
  <c r="AI57" i="17"/>
  <c r="AI56" i="17"/>
  <c r="BS39" i="10"/>
  <c r="AI39" i="10"/>
  <c r="K8" i="30"/>
  <c r="K7" i="30"/>
  <c r="K6" i="30"/>
  <c r="K5" i="30"/>
  <c r="K4" i="30"/>
  <c r="K3" i="30"/>
  <c r="C9" i="30"/>
  <c r="D9" i="30"/>
  <c r="E9" i="30"/>
  <c r="F9" i="30"/>
  <c r="G9" i="30"/>
  <c r="B9" i="30"/>
  <c r="C8" i="30"/>
  <c r="D8" i="30"/>
  <c r="E8" i="30"/>
  <c r="F8" i="30"/>
  <c r="G8" i="30"/>
  <c r="B8" i="30"/>
  <c r="F7" i="30"/>
  <c r="G7" i="30"/>
  <c r="E7" i="30"/>
  <c r="C7" i="30"/>
  <c r="F6" i="30"/>
  <c r="G6" i="30"/>
  <c r="E6" i="30"/>
  <c r="C6" i="30"/>
  <c r="F5" i="30"/>
  <c r="G5" i="30"/>
  <c r="E5" i="30"/>
  <c r="C5" i="30"/>
  <c r="C4" i="30"/>
  <c r="D4" i="30"/>
  <c r="E4" i="30"/>
  <c r="F4" i="30"/>
  <c r="G4" i="30"/>
  <c r="B4" i="30"/>
  <c r="I4" i="30"/>
  <c r="I5" i="30"/>
  <c r="I6" i="30"/>
  <c r="I7" i="30"/>
  <c r="I8" i="30"/>
  <c r="I9" i="30"/>
  <c r="I3" i="30"/>
  <c r="K8" i="29"/>
  <c r="K7" i="29"/>
  <c r="K6" i="29"/>
  <c r="K5" i="29"/>
  <c r="K4" i="29"/>
  <c r="K3" i="29"/>
  <c r="C9" i="29"/>
  <c r="D9" i="29"/>
  <c r="E9" i="29"/>
  <c r="F9" i="29"/>
  <c r="G9" i="29"/>
  <c r="B9" i="29"/>
  <c r="C8" i="29"/>
  <c r="D8" i="29"/>
  <c r="E8" i="29"/>
  <c r="F8" i="29"/>
  <c r="G8" i="29"/>
  <c r="B8" i="29"/>
  <c r="F7" i="29"/>
  <c r="G7" i="29"/>
  <c r="E7" i="29"/>
  <c r="C7" i="29"/>
  <c r="F6" i="29"/>
  <c r="G6" i="29"/>
  <c r="E6" i="29"/>
  <c r="C6" i="29"/>
  <c r="F5" i="29"/>
  <c r="G5" i="29"/>
  <c r="E5" i="29"/>
  <c r="C5" i="29"/>
  <c r="C4" i="29"/>
  <c r="D4" i="29"/>
  <c r="E4" i="29"/>
  <c r="F4" i="29"/>
  <c r="G4" i="29"/>
  <c r="B4" i="29"/>
  <c r="I9" i="29"/>
  <c r="I8" i="29"/>
  <c r="I7" i="29"/>
  <c r="I6" i="29"/>
  <c r="I5" i="29"/>
  <c r="I4" i="29"/>
  <c r="I3" i="29"/>
  <c r="CB11" i="18"/>
  <c r="CB10" i="18"/>
  <c r="CB9" i="18"/>
  <c r="CB8" i="18"/>
  <c r="BW11" i="18"/>
  <c r="BX11" i="18"/>
  <c r="BY11" i="18"/>
  <c r="BZ11" i="18"/>
  <c r="BV11" i="18"/>
  <c r="BW10" i="18"/>
  <c r="BX10" i="18"/>
  <c r="BY10" i="18"/>
  <c r="BZ10" i="18"/>
  <c r="BV10" i="18"/>
  <c r="BW9" i="18"/>
  <c r="BX9" i="18"/>
  <c r="BY9" i="18"/>
  <c r="BZ9" i="18"/>
  <c r="BV9" i="18"/>
  <c r="BW8" i="18"/>
  <c r="BX8" i="18"/>
  <c r="BY8" i="18"/>
  <c r="BZ8" i="18"/>
  <c r="BV8" i="18"/>
  <c r="CA11" i="18"/>
  <c r="CA10" i="18"/>
  <c r="CA9" i="18"/>
  <c r="CA8" i="18"/>
  <c r="BW5" i="18"/>
  <c r="BX5" i="18"/>
  <c r="BY5" i="18"/>
  <c r="BZ5" i="18"/>
  <c r="BV5" i="18"/>
  <c r="CB5" i="18"/>
  <c r="CA5" i="18"/>
  <c r="BW4" i="18"/>
  <c r="BX4" i="18"/>
  <c r="BY4" i="18"/>
  <c r="BZ4" i="18"/>
  <c r="BV4" i="18"/>
  <c r="CB4" i="18"/>
  <c r="CA4" i="18"/>
  <c r="BW3" i="18"/>
  <c r="BX3" i="18"/>
  <c r="BY3" i="18"/>
  <c r="BZ3" i="18"/>
  <c r="CA3" i="18"/>
  <c r="CB3" i="18"/>
  <c r="BV3" i="18"/>
  <c r="CB2" i="18"/>
  <c r="BW2" i="18"/>
  <c r="BX2" i="18"/>
  <c r="BY2" i="18"/>
  <c r="BZ2" i="18"/>
  <c r="BV2" i="18"/>
  <c r="CA2" i="18"/>
  <c r="AG51" i="17"/>
  <c r="AF51" i="17"/>
  <c r="AD51" i="17"/>
  <c r="AD49" i="17"/>
  <c r="AE49" i="17"/>
  <c r="AF49" i="17"/>
  <c r="AG49" i="17"/>
  <c r="AC49" i="17"/>
  <c r="AC46" i="17"/>
  <c r="AD46" i="17"/>
  <c r="AE46" i="17"/>
  <c r="AF46" i="17"/>
  <c r="AG46" i="17"/>
  <c r="AD44" i="17"/>
  <c r="AE44" i="17"/>
  <c r="AF44" i="17"/>
  <c r="AG44" i="17"/>
  <c r="AC44" i="17"/>
  <c r="AI46" i="17"/>
  <c r="AI49" i="17"/>
  <c r="AI51" i="17"/>
  <c r="AI44" i="17"/>
  <c r="AG40" i="17"/>
  <c r="AF40" i="17"/>
  <c r="AD40" i="17"/>
  <c r="AD38" i="17"/>
  <c r="AE38" i="17"/>
  <c r="AF38" i="17"/>
  <c r="AG38" i="17"/>
  <c r="AC38" i="17"/>
  <c r="AD34" i="17"/>
  <c r="AE34" i="17"/>
  <c r="AF34" i="17"/>
  <c r="AG34" i="17"/>
  <c r="AC34" i="17"/>
  <c r="AI36" i="17"/>
  <c r="AI38" i="17"/>
  <c r="AI40" i="17"/>
  <c r="AI34" i="17"/>
  <c r="K8" i="28"/>
  <c r="K7" i="28"/>
  <c r="K6" i="28"/>
  <c r="K5" i="28"/>
  <c r="K4" i="28"/>
  <c r="K3" i="28"/>
  <c r="C9" i="28"/>
  <c r="D9" i="28"/>
  <c r="E9" i="28"/>
  <c r="F9" i="28"/>
  <c r="G9" i="28"/>
  <c r="B9" i="28"/>
  <c r="C8" i="28"/>
  <c r="D8" i="28"/>
  <c r="E8" i="28"/>
  <c r="F8" i="28"/>
  <c r="G8" i="28"/>
  <c r="B8" i="28"/>
  <c r="F7" i="28"/>
  <c r="G7" i="28"/>
  <c r="E7" i="28"/>
  <c r="C7" i="28"/>
  <c r="F6" i="28"/>
  <c r="G6" i="28"/>
  <c r="E6" i="28"/>
  <c r="C6" i="28"/>
  <c r="F5" i="28"/>
  <c r="G5" i="28"/>
  <c r="E5" i="28"/>
  <c r="C5" i="28"/>
  <c r="C4" i="28"/>
  <c r="D4" i="28"/>
  <c r="E4" i="28"/>
  <c r="F4" i="28"/>
  <c r="G4" i="28"/>
  <c r="B4" i="28"/>
  <c r="I4" i="28"/>
  <c r="I5" i="28"/>
  <c r="I6" i="28"/>
  <c r="I7" i="28"/>
  <c r="I8" i="28"/>
  <c r="I9" i="28"/>
  <c r="I3" i="28"/>
  <c r="BN23" i="18"/>
  <c r="BO23" i="18"/>
  <c r="BP23" i="18"/>
  <c r="BQ23" i="18"/>
  <c r="BM23" i="18"/>
  <c r="BS23" i="18"/>
  <c r="BS22" i="18"/>
  <c r="BS21" i="18"/>
  <c r="BN22" i="18"/>
  <c r="BO22" i="18"/>
  <c r="BP22" i="18"/>
  <c r="BQ22" i="18"/>
  <c r="BM22" i="18"/>
  <c r="BN21" i="18"/>
  <c r="BO21" i="18"/>
  <c r="BP21" i="18"/>
  <c r="BQ21" i="18"/>
  <c r="BM21" i="18"/>
  <c r="BR23" i="18"/>
  <c r="BR22" i="18"/>
  <c r="BR21" i="18"/>
  <c r="BS20" i="18"/>
  <c r="BN20" i="18"/>
  <c r="BO20" i="18"/>
  <c r="BP20" i="18"/>
  <c r="BQ20" i="18"/>
  <c r="BM20" i="18"/>
  <c r="BR20" i="18"/>
  <c r="AG30" i="17"/>
  <c r="AF30" i="17"/>
  <c r="AD30" i="17"/>
  <c r="AD28" i="17"/>
  <c r="AE28" i="17"/>
  <c r="AF28" i="17"/>
  <c r="AG28" i="17"/>
  <c r="AC28" i="17"/>
  <c r="AC26" i="17"/>
  <c r="AD26" i="17"/>
  <c r="AE26" i="17"/>
  <c r="AF26" i="17"/>
  <c r="AG26" i="17"/>
  <c r="AD24" i="17"/>
  <c r="AE24" i="17"/>
  <c r="AF24" i="17"/>
  <c r="AG24" i="17"/>
  <c r="AC24" i="17"/>
  <c r="AI26" i="17"/>
  <c r="AI28" i="17"/>
  <c r="AI30" i="17"/>
  <c r="AI24" i="17"/>
  <c r="K8" i="26"/>
  <c r="K7" i="26"/>
  <c r="K6" i="26"/>
  <c r="K5" i="26"/>
  <c r="K4" i="26"/>
  <c r="K3" i="26"/>
  <c r="C9" i="26"/>
  <c r="D9" i="26"/>
  <c r="E9" i="26"/>
  <c r="F9" i="26"/>
  <c r="G9" i="26"/>
  <c r="B9" i="26"/>
  <c r="E7" i="26"/>
  <c r="C7" i="26"/>
  <c r="F6" i="26"/>
  <c r="G6" i="26"/>
  <c r="E6" i="26"/>
  <c r="C6" i="26"/>
  <c r="F5" i="26"/>
  <c r="G5" i="26"/>
  <c r="D4" i="26"/>
  <c r="E4" i="26"/>
  <c r="F4" i="26"/>
  <c r="B4" i="26"/>
  <c r="B4" i="25"/>
  <c r="J5" i="25"/>
  <c r="I4" i="26"/>
  <c r="C4" i="26" s="1"/>
  <c r="I5" i="26"/>
  <c r="E5" i="26" s="1"/>
  <c r="I6" i="26"/>
  <c r="I7" i="26"/>
  <c r="G7" i="26" s="1"/>
  <c r="I8" i="26"/>
  <c r="C8" i="26" s="1"/>
  <c r="I9" i="26"/>
  <c r="I3" i="26"/>
  <c r="I3" i="25"/>
  <c r="BN17" i="18"/>
  <c r="BO17" i="18"/>
  <c r="BP17" i="18"/>
  <c r="BQ17" i="18"/>
  <c r="BM17" i="18"/>
  <c r="BN16" i="18"/>
  <c r="BO16" i="18"/>
  <c r="BP16" i="18"/>
  <c r="BQ16" i="18"/>
  <c r="BM16" i="18"/>
  <c r="BN14" i="18"/>
  <c r="BO14" i="18"/>
  <c r="BP14" i="18"/>
  <c r="BQ14" i="18"/>
  <c r="BM14" i="18"/>
  <c r="BS17" i="18"/>
  <c r="BS16" i="18"/>
  <c r="BS15" i="18"/>
  <c r="BS14" i="18"/>
  <c r="BR17" i="18"/>
  <c r="BR16" i="18"/>
  <c r="BR15" i="18"/>
  <c r="BR14" i="18"/>
  <c r="AG20" i="17"/>
  <c r="AF20" i="17"/>
  <c r="AD20" i="17"/>
  <c r="AI20" i="17"/>
  <c r="AD18" i="17"/>
  <c r="AE18" i="17"/>
  <c r="AF18" i="17"/>
  <c r="AG18" i="17"/>
  <c r="AC18" i="17"/>
  <c r="AI18" i="17"/>
  <c r="AC16" i="17"/>
  <c r="BM15" i="18" s="1"/>
  <c r="AD16" i="17"/>
  <c r="BN15" i="18" s="1"/>
  <c r="AE16" i="17"/>
  <c r="BO15" i="18" s="1"/>
  <c r="AF16" i="17"/>
  <c r="BP15" i="18" s="1"/>
  <c r="AG16" i="17"/>
  <c r="BQ15" i="18" s="1"/>
  <c r="AI16" i="17"/>
  <c r="AD14" i="17"/>
  <c r="AE14" i="17"/>
  <c r="AF14" i="17"/>
  <c r="AG14" i="17"/>
  <c r="AC14" i="17"/>
  <c r="AC4" i="17"/>
  <c r="AI14" i="17"/>
  <c r="G8" i="26" l="1"/>
  <c r="F7" i="26"/>
  <c r="B8" i="26"/>
  <c r="F8" i="26"/>
  <c r="E8" i="26"/>
  <c r="D8" i="26"/>
  <c r="G4" i="26"/>
  <c r="C5" i="26"/>
  <c r="K8" i="25" l="1"/>
  <c r="K7" i="25"/>
  <c r="K6" i="25"/>
  <c r="K5" i="25"/>
  <c r="K4" i="25"/>
  <c r="K3" i="25"/>
  <c r="C9" i="25"/>
  <c r="D9" i="25"/>
  <c r="E9" i="25"/>
  <c r="F9" i="25"/>
  <c r="G9" i="25"/>
  <c r="I9" i="25"/>
  <c r="B9" i="25" s="1"/>
  <c r="J9" i="25" s="1"/>
  <c r="C8" i="25"/>
  <c r="D8" i="25"/>
  <c r="E8" i="25"/>
  <c r="F8" i="25"/>
  <c r="G8" i="25"/>
  <c r="B8" i="25"/>
  <c r="F7" i="25"/>
  <c r="G7" i="25"/>
  <c r="E7" i="25"/>
  <c r="C7" i="25"/>
  <c r="I7" i="25"/>
  <c r="F6" i="25"/>
  <c r="G6" i="25"/>
  <c r="E6" i="25"/>
  <c r="C6" i="25"/>
  <c r="I6" i="25"/>
  <c r="C5" i="25"/>
  <c r="E5" i="25"/>
  <c r="F5" i="25"/>
  <c r="G5" i="25"/>
  <c r="I8" i="25"/>
  <c r="I5" i="25"/>
  <c r="C4" i="25"/>
  <c r="D4" i="25"/>
  <c r="E4" i="25"/>
  <c r="F4" i="25"/>
  <c r="G4" i="25"/>
  <c r="I4" i="25"/>
  <c r="B4" i="23"/>
  <c r="AD10" i="17"/>
  <c r="BN11" i="18" s="1"/>
  <c r="BO11" i="18"/>
  <c r="BP11" i="18"/>
  <c r="BQ11" i="18"/>
  <c r="BR11" i="18"/>
  <c r="BS11" i="18"/>
  <c r="BM11" i="18"/>
  <c r="BS10" i="18"/>
  <c r="BS9" i="18"/>
  <c r="BR10" i="18"/>
  <c r="BN10" i="18"/>
  <c r="BO10" i="18"/>
  <c r="BP10" i="18"/>
  <c r="BQ10" i="18"/>
  <c r="BM10" i="18"/>
  <c r="BR9" i="18"/>
  <c r="BS8" i="18"/>
  <c r="BR8" i="18"/>
  <c r="BN8" i="18"/>
  <c r="BO8" i="18"/>
  <c r="BP8" i="18"/>
  <c r="BQ8" i="18"/>
  <c r="BM8" i="18"/>
  <c r="AG10" i="17"/>
  <c r="AF10" i="17"/>
  <c r="AD8" i="17"/>
  <c r="AE8" i="17"/>
  <c r="AF8" i="17"/>
  <c r="AG8" i="17"/>
  <c r="AC8" i="17"/>
  <c r="AI8" i="17"/>
  <c r="AC5" i="17"/>
  <c r="BM9" i="18" s="1"/>
  <c r="AD5" i="17"/>
  <c r="BN9" i="18" s="1"/>
  <c r="AE5" i="17"/>
  <c r="BO9" i="18" s="1"/>
  <c r="AF5" i="17"/>
  <c r="BP9" i="18" s="1"/>
  <c r="AG5" i="17"/>
  <c r="BQ9" i="18" s="1"/>
  <c r="AD4" i="17"/>
  <c r="AE4" i="17"/>
  <c r="AF4" i="17"/>
  <c r="AG4" i="17"/>
  <c r="AI10" i="17"/>
  <c r="AI5" i="17"/>
  <c r="AI4" i="17"/>
  <c r="J8" i="25"/>
  <c r="K6" i="23"/>
  <c r="BS5" i="18"/>
  <c r="BN5" i="18"/>
  <c r="BO5" i="18"/>
  <c r="BP5" i="18"/>
  <c r="BQ5" i="18"/>
  <c r="BM5" i="18"/>
  <c r="BS4" i="18"/>
  <c r="BN4" i="18"/>
  <c r="BO4" i="18"/>
  <c r="BP4" i="18"/>
  <c r="BQ4" i="18"/>
  <c r="BM4" i="18"/>
  <c r="BS3" i="18"/>
  <c r="BS2" i="18"/>
  <c r="BN2" i="18"/>
  <c r="BO2" i="18"/>
  <c r="BP2" i="18"/>
  <c r="BQ2" i="18"/>
  <c r="BM2" i="18"/>
  <c r="BR5" i="18"/>
  <c r="BR4" i="18"/>
  <c r="BR3" i="18"/>
  <c r="BR2" i="18"/>
  <c r="BJ23" i="18"/>
  <c r="BE23" i="18"/>
  <c r="BF23" i="18"/>
  <c r="BG23" i="18"/>
  <c r="BH23" i="18"/>
  <c r="BD23" i="18"/>
  <c r="BJ22" i="18"/>
  <c r="BE22" i="18"/>
  <c r="BF22" i="18"/>
  <c r="BG22" i="18"/>
  <c r="BH22" i="18"/>
  <c r="BD22" i="18"/>
  <c r="BJ21" i="18"/>
  <c r="BJ20" i="18"/>
  <c r="BE20" i="18"/>
  <c r="BF20" i="18"/>
  <c r="BG20" i="18"/>
  <c r="BH20" i="18"/>
  <c r="BD20" i="18"/>
  <c r="BI23" i="18"/>
  <c r="BI22" i="18"/>
  <c r="BI21" i="18"/>
  <c r="BI20" i="18"/>
  <c r="BJ17" i="18"/>
  <c r="BJ16" i="18"/>
  <c r="BJ15" i="18"/>
  <c r="BJ14" i="18"/>
  <c r="BE17" i="18"/>
  <c r="BF17" i="18"/>
  <c r="BG17" i="18"/>
  <c r="BH17" i="18"/>
  <c r="BD17" i="18"/>
  <c r="BE16" i="18"/>
  <c r="BF16" i="18"/>
  <c r="BG16" i="18"/>
  <c r="BH16" i="18"/>
  <c r="BD16" i="18"/>
  <c r="BE14" i="18"/>
  <c r="BF14" i="18"/>
  <c r="BG14" i="18"/>
  <c r="BH14" i="18"/>
  <c r="BD14" i="18"/>
  <c r="BI17" i="18"/>
  <c r="BI16" i="18"/>
  <c r="BI15" i="18"/>
  <c r="BI14" i="18"/>
  <c r="BJ11" i="18"/>
  <c r="BJ10" i="18"/>
  <c r="BJ9" i="18"/>
  <c r="BJ8" i="18"/>
  <c r="BE11" i="18"/>
  <c r="BF11" i="18"/>
  <c r="BG11" i="18"/>
  <c r="BH11" i="18"/>
  <c r="BD11" i="18"/>
  <c r="BE10" i="18"/>
  <c r="BF10" i="18"/>
  <c r="BG10" i="18"/>
  <c r="BH10" i="18"/>
  <c r="BD10" i="18"/>
  <c r="BE8" i="18"/>
  <c r="BF8" i="18"/>
  <c r="BG8" i="18"/>
  <c r="BH8" i="18"/>
  <c r="BD8" i="18"/>
  <c r="BI11" i="18"/>
  <c r="BI10" i="18"/>
  <c r="BI9" i="18"/>
  <c r="BI8" i="18"/>
  <c r="BJ5" i="18"/>
  <c r="BJ4" i="18"/>
  <c r="BJ2" i="18"/>
  <c r="BE5" i="18"/>
  <c r="BF5" i="18"/>
  <c r="BG5" i="18"/>
  <c r="BH5" i="18"/>
  <c r="BD5" i="18"/>
  <c r="BE4" i="18"/>
  <c r="BF4" i="18"/>
  <c r="BG4" i="18"/>
  <c r="BH4" i="18"/>
  <c r="BD4" i="18"/>
  <c r="BE2" i="18"/>
  <c r="BF2" i="18"/>
  <c r="BG2" i="18"/>
  <c r="BH2" i="18"/>
  <c r="BD2" i="18"/>
  <c r="BI5" i="18"/>
  <c r="BI4" i="18"/>
  <c r="BI2" i="18"/>
  <c r="BA23" i="18"/>
  <c r="BA22" i="18"/>
  <c r="BA21" i="18"/>
  <c r="BA20" i="18"/>
  <c r="BA17" i="18"/>
  <c r="BA16" i="18"/>
  <c r="BA15" i="18"/>
  <c r="BA14" i="18"/>
  <c r="AZ23" i="18"/>
  <c r="AV23" i="18"/>
  <c r="AW23" i="18"/>
  <c r="AX23" i="18"/>
  <c r="AY23" i="18"/>
  <c r="AU23" i="18"/>
  <c r="AV22" i="18"/>
  <c r="AW22" i="18"/>
  <c r="AX22" i="18"/>
  <c r="AY22" i="18"/>
  <c r="AU22" i="18"/>
  <c r="U49" i="17"/>
  <c r="V49" i="17"/>
  <c r="W49" i="17"/>
  <c r="X49" i="17"/>
  <c r="T49" i="17"/>
  <c r="AZ22" i="18"/>
  <c r="AZ21" i="18"/>
  <c r="AV20" i="18"/>
  <c r="AW20" i="18"/>
  <c r="AX20" i="18"/>
  <c r="AY20" i="18"/>
  <c r="AU20" i="18"/>
  <c r="AZ20" i="18"/>
  <c r="AY17" i="18"/>
  <c r="AX17" i="18"/>
  <c r="AW17" i="18"/>
  <c r="AV17" i="18"/>
  <c r="AU17" i="18"/>
  <c r="AZ17" i="18"/>
  <c r="AV16" i="18"/>
  <c r="AW16" i="18"/>
  <c r="AX16" i="18"/>
  <c r="AY16" i="18"/>
  <c r="AU16" i="18"/>
  <c r="AZ15" i="18"/>
  <c r="AZ16" i="18"/>
  <c r="AV14" i="18"/>
  <c r="AW14" i="18"/>
  <c r="AX14" i="18"/>
  <c r="AY14" i="18"/>
  <c r="AU14" i="18"/>
  <c r="AZ14" i="18"/>
  <c r="X104" i="17"/>
  <c r="W104" i="17"/>
  <c r="U104" i="17"/>
  <c r="U102" i="17"/>
  <c r="V102" i="17"/>
  <c r="W102" i="17"/>
  <c r="X102" i="17"/>
  <c r="T102" i="17"/>
  <c r="T93" i="17"/>
  <c r="U99" i="17"/>
  <c r="V99" i="17"/>
  <c r="W99" i="17"/>
  <c r="X99" i="17"/>
  <c r="T99" i="17"/>
  <c r="T100" i="17"/>
  <c r="BM3" i="18" s="1"/>
  <c r="U100" i="17"/>
  <c r="BN3" i="18" s="1"/>
  <c r="V100" i="17"/>
  <c r="BO3" i="18" s="1"/>
  <c r="W100" i="17"/>
  <c r="BP3" i="18" s="1"/>
  <c r="X100" i="17"/>
  <c r="BQ3" i="18" s="1"/>
  <c r="Z100" i="17"/>
  <c r="Z102" i="17"/>
  <c r="Z104" i="17"/>
  <c r="Z99" i="17"/>
  <c r="X95" i="17"/>
  <c r="W95" i="17"/>
  <c r="U95" i="17"/>
  <c r="U88" i="17"/>
  <c r="V88" i="17"/>
  <c r="W88" i="17"/>
  <c r="X88" i="17"/>
  <c r="T88" i="17"/>
  <c r="T77" i="17"/>
  <c r="U93" i="17"/>
  <c r="V93" i="17"/>
  <c r="W93" i="17"/>
  <c r="X93" i="17"/>
  <c r="T82" i="17"/>
  <c r="T90" i="17"/>
  <c r="BD21" i="18" s="1"/>
  <c r="U90" i="17"/>
  <c r="BE21" i="18" s="1"/>
  <c r="V90" i="17"/>
  <c r="BF21" i="18" s="1"/>
  <c r="W90" i="17"/>
  <c r="BG21" i="18" s="1"/>
  <c r="X90" i="17"/>
  <c r="BH21" i="18" s="1"/>
  <c r="Z95" i="17"/>
  <c r="Z93" i="17"/>
  <c r="Z90" i="17"/>
  <c r="Z88" i="17"/>
  <c r="Z77" i="17"/>
  <c r="X84" i="17"/>
  <c r="W84" i="17"/>
  <c r="U84" i="17"/>
  <c r="U82" i="17"/>
  <c r="V82" i="17"/>
  <c r="W82" i="17"/>
  <c r="X82" i="17"/>
  <c r="Z82" i="17"/>
  <c r="T79" i="17"/>
  <c r="U79" i="17"/>
  <c r="V79" i="17"/>
  <c r="W79" i="17"/>
  <c r="X79" i="17"/>
  <c r="U77" i="17"/>
  <c r="V77" i="17"/>
  <c r="W77" i="17"/>
  <c r="X77" i="17"/>
  <c r="T66" i="17"/>
  <c r="Z84" i="17"/>
  <c r="Z79" i="17"/>
  <c r="Z66" i="17"/>
  <c r="C9" i="23"/>
  <c r="D9" i="23"/>
  <c r="E9" i="23"/>
  <c r="F9" i="23"/>
  <c r="G9" i="23"/>
  <c r="K6" i="21"/>
  <c r="K6" i="20"/>
  <c r="B9" i="23"/>
  <c r="B9" i="20"/>
  <c r="C8" i="23"/>
  <c r="D8" i="23"/>
  <c r="E8" i="23"/>
  <c r="F8" i="23"/>
  <c r="G8" i="23"/>
  <c r="B8" i="23"/>
  <c r="J8" i="23" s="1"/>
  <c r="F7" i="23"/>
  <c r="G7" i="23"/>
  <c r="E7" i="23"/>
  <c r="C7" i="23"/>
  <c r="J7" i="23" s="1"/>
  <c r="F6" i="23"/>
  <c r="G6" i="23"/>
  <c r="E6" i="23"/>
  <c r="C6" i="23"/>
  <c r="G4" i="23"/>
  <c r="G4" i="20"/>
  <c r="G5" i="23"/>
  <c r="F5" i="23"/>
  <c r="E5" i="23"/>
  <c r="C5" i="23"/>
  <c r="J5" i="23" s="1"/>
  <c r="C4" i="23"/>
  <c r="D4" i="23"/>
  <c r="E4" i="23"/>
  <c r="F4" i="23"/>
  <c r="J6" i="23"/>
  <c r="J9" i="23"/>
  <c r="I4" i="23"/>
  <c r="I5" i="23"/>
  <c r="I6" i="23"/>
  <c r="I7" i="23"/>
  <c r="I8" i="23"/>
  <c r="I9" i="23"/>
  <c r="I3" i="23"/>
  <c r="I3" i="20"/>
  <c r="I4" i="20"/>
  <c r="B4" i="20"/>
  <c r="K7" i="23"/>
  <c r="X72" i="17"/>
  <c r="W72" i="17"/>
  <c r="U72" i="17"/>
  <c r="U70" i="17"/>
  <c r="V70" i="17"/>
  <c r="W70" i="17"/>
  <c r="X70" i="17"/>
  <c r="T70" i="17"/>
  <c r="T67" i="17"/>
  <c r="BD15" i="18" s="1"/>
  <c r="U67" i="17"/>
  <c r="BE15" i="18" s="1"/>
  <c r="V67" i="17"/>
  <c r="BF15" i="18" s="1"/>
  <c r="W67" i="17"/>
  <c r="BG15" i="18" s="1"/>
  <c r="X67" i="17"/>
  <c r="BH15" i="18" s="1"/>
  <c r="U66" i="17"/>
  <c r="V66" i="17"/>
  <c r="W66" i="17"/>
  <c r="X66" i="17"/>
  <c r="Z72" i="17"/>
  <c r="Z70" i="17"/>
  <c r="Z67" i="17"/>
  <c r="X62" i="17"/>
  <c r="W62" i="17"/>
  <c r="U62" i="17"/>
  <c r="Z62" i="17"/>
  <c r="U60" i="17"/>
  <c r="V60" i="17"/>
  <c r="W60" i="17"/>
  <c r="X60" i="17"/>
  <c r="T60" i="17"/>
  <c r="Z60" i="17"/>
  <c r="Z57" i="17"/>
  <c r="T57" i="17"/>
  <c r="BD9" i="18" s="1"/>
  <c r="U57" i="17"/>
  <c r="BE9" i="18" s="1"/>
  <c r="V57" i="17"/>
  <c r="BF9" i="18" s="1"/>
  <c r="W57" i="17"/>
  <c r="BG9" i="18" s="1"/>
  <c r="X57" i="17"/>
  <c r="BH9" i="18" s="1"/>
  <c r="U55" i="17"/>
  <c r="V55" i="17"/>
  <c r="W55" i="17"/>
  <c r="X55" i="17"/>
  <c r="T55" i="17"/>
  <c r="Z55" i="17"/>
  <c r="X51" i="17"/>
  <c r="W51" i="17"/>
  <c r="U51" i="17"/>
  <c r="Z51" i="17"/>
  <c r="Z49" i="17"/>
  <c r="Y46" i="17"/>
  <c r="BI3" i="18" s="1"/>
  <c r="T46" i="17"/>
  <c r="BD3" i="18" s="1"/>
  <c r="U46" i="17"/>
  <c r="BE3" i="18" s="1"/>
  <c r="V46" i="17"/>
  <c r="BF3" i="18" s="1"/>
  <c r="W46" i="17"/>
  <c r="BG3" i="18" s="1"/>
  <c r="X46" i="17"/>
  <c r="BH3" i="18" s="1"/>
  <c r="U44" i="17"/>
  <c r="V44" i="17"/>
  <c r="W44" i="17"/>
  <c r="X44" i="17"/>
  <c r="T44" i="17"/>
  <c r="Z44" i="17"/>
  <c r="X40" i="17"/>
  <c r="W40" i="17"/>
  <c r="U40" i="17"/>
  <c r="U38" i="17"/>
  <c r="V38" i="17"/>
  <c r="W38" i="17"/>
  <c r="X38" i="17"/>
  <c r="T38" i="17"/>
  <c r="T36" i="17"/>
  <c r="AU21" i="18" s="1"/>
  <c r="U36" i="17"/>
  <c r="AV21" i="18" s="1"/>
  <c r="V36" i="17"/>
  <c r="AW21" i="18" s="1"/>
  <c r="W36" i="17"/>
  <c r="AX21" i="18" s="1"/>
  <c r="X36" i="17"/>
  <c r="AY21" i="18" s="1"/>
  <c r="U33" i="17"/>
  <c r="V33" i="17"/>
  <c r="W33" i="17"/>
  <c r="X33" i="17"/>
  <c r="T33" i="17"/>
  <c r="U34" i="17"/>
  <c r="V34" i="17"/>
  <c r="W34" i="17"/>
  <c r="X34" i="17"/>
  <c r="T34" i="17"/>
  <c r="Z40" i="17"/>
  <c r="Z38" i="17"/>
  <c r="Z36" i="17"/>
  <c r="Z34" i="17"/>
  <c r="X29" i="17"/>
  <c r="W29" i="17"/>
  <c r="X30" i="17"/>
  <c r="W30" i="17"/>
  <c r="U29" i="17"/>
  <c r="U30" i="17"/>
  <c r="U27" i="17"/>
  <c r="V27" i="17"/>
  <c r="W27" i="17"/>
  <c r="X27" i="17"/>
  <c r="T27" i="17"/>
  <c r="U28" i="17"/>
  <c r="V28" i="17"/>
  <c r="W28" i="17"/>
  <c r="X28" i="17"/>
  <c r="T28" i="17"/>
  <c r="T26" i="17"/>
  <c r="AU15" i="18" s="1"/>
  <c r="U26" i="17"/>
  <c r="AV15" i="18" s="1"/>
  <c r="V26" i="17"/>
  <c r="AW15" i="18" s="1"/>
  <c r="W26" i="17"/>
  <c r="AX15" i="18" s="1"/>
  <c r="X26" i="17"/>
  <c r="AY15" i="18" s="1"/>
  <c r="Z30" i="17"/>
  <c r="Z28" i="17"/>
  <c r="Z26" i="17"/>
  <c r="Z24" i="17"/>
  <c r="W24" i="17" s="1"/>
  <c r="W23" i="17" s="1"/>
  <c r="K7" i="20"/>
  <c r="J7" i="21"/>
  <c r="J6" i="21"/>
  <c r="J5" i="21"/>
  <c r="J8" i="21"/>
  <c r="J9" i="21"/>
  <c r="J4" i="21"/>
  <c r="J4" i="20"/>
  <c r="K7" i="21"/>
  <c r="I8" i="20"/>
  <c r="B8" i="20" s="1"/>
  <c r="J8" i="20" s="1"/>
  <c r="BS5" i="10"/>
  <c r="BS6" i="10"/>
  <c r="BS7" i="10"/>
  <c r="BS8" i="10"/>
  <c r="BS9" i="10"/>
  <c r="BS10" i="10"/>
  <c r="BS11" i="10"/>
  <c r="BS12" i="10"/>
  <c r="BS13" i="10"/>
  <c r="BS14" i="10"/>
  <c r="BS15" i="10"/>
  <c r="BS16" i="10"/>
  <c r="BS17" i="10"/>
  <c r="BS18" i="10"/>
  <c r="BS19" i="10"/>
  <c r="BS20" i="10"/>
  <c r="BS21" i="10"/>
  <c r="BS22" i="10"/>
  <c r="BS23" i="10"/>
  <c r="BS24" i="10"/>
  <c r="BS25" i="10"/>
  <c r="BS26" i="10"/>
  <c r="BS27" i="10"/>
  <c r="BS28" i="10"/>
  <c r="BS29" i="10"/>
  <c r="BS30" i="10"/>
  <c r="BS31" i="10"/>
  <c r="K5" i="21" s="1"/>
  <c r="BS32" i="10"/>
  <c r="K5" i="20" s="1"/>
  <c r="BS33" i="10"/>
  <c r="BS34" i="10"/>
  <c r="BS35" i="10"/>
  <c r="BS36" i="10"/>
  <c r="BS37" i="10"/>
  <c r="BS38" i="10"/>
  <c r="BS4" i="10"/>
  <c r="BA5" i="10"/>
  <c r="BA6" i="10"/>
  <c r="BA7" i="10"/>
  <c r="BA8" i="10"/>
  <c r="BA9" i="10"/>
  <c r="BA10" i="10"/>
  <c r="BA11" i="10"/>
  <c r="BA12" i="10"/>
  <c r="BA13" i="10"/>
  <c r="BA14" i="10"/>
  <c r="BA15" i="10"/>
  <c r="BA16" i="10"/>
  <c r="BA17" i="10"/>
  <c r="BA18" i="10"/>
  <c r="BA19" i="10"/>
  <c r="BA20" i="10"/>
  <c r="BA21" i="10"/>
  <c r="BA22" i="10"/>
  <c r="BA23" i="10"/>
  <c r="BA24" i="10"/>
  <c r="BA25" i="10"/>
  <c r="BA26" i="10"/>
  <c r="BA27" i="10"/>
  <c r="BA28" i="10"/>
  <c r="BA29" i="10"/>
  <c r="BA30" i="10"/>
  <c r="BA31" i="10"/>
  <c r="K3" i="21" s="1"/>
  <c r="BA32" i="10"/>
  <c r="K3" i="20" s="1"/>
  <c r="BA33" i="10"/>
  <c r="BA34" i="10"/>
  <c r="BA35" i="10"/>
  <c r="BA36" i="10"/>
  <c r="BA37" i="10"/>
  <c r="BA38" i="10"/>
  <c r="BA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K4" i="21" s="1"/>
  <c r="AI32" i="10"/>
  <c r="K4" i="23" s="1"/>
  <c r="AI33" i="10"/>
  <c r="AI34" i="10"/>
  <c r="AI35" i="10"/>
  <c r="AI36" i="10"/>
  <c r="AI37" i="10"/>
  <c r="AI38" i="10"/>
  <c r="AI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K8" i="21" s="1"/>
  <c r="Q32" i="10"/>
  <c r="K8" i="20" s="1"/>
  <c r="Q33" i="10"/>
  <c r="Q34" i="10"/>
  <c r="Q35" i="10"/>
  <c r="Q36" i="10"/>
  <c r="Q37" i="10"/>
  <c r="Q38" i="10"/>
  <c r="Q4" i="10"/>
  <c r="AW11" i="18"/>
  <c r="AU11" i="18"/>
  <c r="AR17" i="18"/>
  <c r="Q57" i="17"/>
  <c r="AI21" i="18" s="1"/>
  <c r="AI11" i="18"/>
  <c r="AD10" i="18"/>
  <c r="AI8" i="18"/>
  <c r="Z20" i="17"/>
  <c r="BA11" i="18" s="1"/>
  <c r="Z18" i="17"/>
  <c r="Z16" i="17"/>
  <c r="BA9" i="18" s="1"/>
  <c r="Z14" i="17"/>
  <c r="U14" i="17" s="1"/>
  <c r="U13" i="17" s="1"/>
  <c r="AV8" i="18" s="1"/>
  <c r="Z10" i="17"/>
  <c r="BA5" i="18" s="1"/>
  <c r="Z8" i="17"/>
  <c r="V8" i="17" s="1"/>
  <c r="V7" i="17" s="1"/>
  <c r="AW4" i="18" s="1"/>
  <c r="Z5" i="17"/>
  <c r="BA3" i="18" s="1"/>
  <c r="Z4" i="17"/>
  <c r="U4" i="17" s="1"/>
  <c r="U3" i="17" s="1"/>
  <c r="AV2" i="18" s="1"/>
  <c r="Q104" i="17"/>
  <c r="O104" i="17" s="1"/>
  <c r="O103" i="17" s="1"/>
  <c r="AP23" i="18" s="1"/>
  <c r="Q102" i="17"/>
  <c r="O102" i="17" s="1"/>
  <c r="O101" i="17" s="1"/>
  <c r="AP22" i="18" s="1"/>
  <c r="Q100" i="17"/>
  <c r="AR21" i="18" s="1"/>
  <c r="Q99" i="17"/>
  <c r="L99" i="17" s="1"/>
  <c r="L98" i="17" s="1"/>
  <c r="AM20" i="18" s="1"/>
  <c r="Q95" i="17"/>
  <c r="O95" i="17" s="1"/>
  <c r="O94" i="17" s="1"/>
  <c r="AP17" i="18" s="1"/>
  <c r="Q93" i="17"/>
  <c r="L93" i="17" s="1"/>
  <c r="L92" i="17" s="1"/>
  <c r="AM16" i="18" s="1"/>
  <c r="Q90" i="17"/>
  <c r="AR15" i="18" s="1"/>
  <c r="Q88" i="17"/>
  <c r="Q84" i="17"/>
  <c r="Q82" i="17"/>
  <c r="N82" i="17" s="1"/>
  <c r="N81" i="17" s="1"/>
  <c r="AO10" i="18" s="1"/>
  <c r="Q79" i="17"/>
  <c r="AR9" i="18" s="1"/>
  <c r="Q77" i="17"/>
  <c r="Q72" i="17"/>
  <c r="O72" i="17" s="1"/>
  <c r="O71" i="17" s="1"/>
  <c r="Q70" i="17"/>
  <c r="L70" i="17" s="1"/>
  <c r="L69" i="17" s="1"/>
  <c r="AM4" i="18" s="1"/>
  <c r="Q67" i="17"/>
  <c r="AR3" i="18" s="1"/>
  <c r="Q66" i="17"/>
  <c r="O66" i="17" s="1"/>
  <c r="O65" i="17" s="1"/>
  <c r="AP2" i="18" s="1"/>
  <c r="Q62" i="17"/>
  <c r="N62" i="17" s="1"/>
  <c r="N61" i="17" s="1"/>
  <c r="AO5" i="18" s="1"/>
  <c r="Q60" i="17"/>
  <c r="N60" i="17" s="1"/>
  <c r="N59" i="17" s="1"/>
  <c r="AF22" i="18" s="1"/>
  <c r="Q56" i="17"/>
  <c r="K56" i="17" s="1"/>
  <c r="K55" i="17" s="1"/>
  <c r="AC20" i="18" s="1"/>
  <c r="Q51" i="17"/>
  <c r="O51" i="17" s="1"/>
  <c r="O50" i="17" s="1"/>
  <c r="AG17" i="18" s="1"/>
  <c r="Q49" i="17"/>
  <c r="M49" i="17" s="1"/>
  <c r="M48" i="17" s="1"/>
  <c r="AE16" i="18" s="1"/>
  <c r="Q46" i="17"/>
  <c r="AI15" i="18" s="1"/>
  <c r="Q44" i="17"/>
  <c r="Q40" i="17"/>
  <c r="L40" i="17" s="1"/>
  <c r="L39" i="17" s="1"/>
  <c r="AD11" i="18" s="1"/>
  <c r="Q38" i="17"/>
  <c r="L38" i="17" s="1"/>
  <c r="L37" i="17" s="1"/>
  <c r="Q36" i="17"/>
  <c r="AI9" i="18" s="1"/>
  <c r="N34" i="17"/>
  <c r="N33" i="17" s="1"/>
  <c r="AF8" i="18" s="1"/>
  <c r="Q34" i="17"/>
  <c r="K34" i="17" s="1"/>
  <c r="K33" i="17" s="1"/>
  <c r="AC8" i="18" s="1"/>
  <c r="D4" i="20"/>
  <c r="I9" i="20"/>
  <c r="C9" i="20" s="1"/>
  <c r="I5" i="20"/>
  <c r="E5" i="20" s="1"/>
  <c r="I6" i="20"/>
  <c r="G6" i="20" s="1"/>
  <c r="I7" i="20"/>
  <c r="F7" i="20" s="1"/>
  <c r="I8" i="21"/>
  <c r="F8" i="21" s="1"/>
  <c r="I3" i="21"/>
  <c r="I4" i="21"/>
  <c r="B4" i="21" s="1"/>
  <c r="I9" i="21"/>
  <c r="C9" i="21" s="1"/>
  <c r="I5" i="21"/>
  <c r="E5" i="21" s="1"/>
  <c r="I6" i="21"/>
  <c r="E6" i="21" s="1"/>
  <c r="I7" i="21"/>
  <c r="F7" i="21" s="1"/>
  <c r="G109" i="17"/>
  <c r="K5" i="23" l="1"/>
  <c r="K4" i="20"/>
  <c r="K3" i="23"/>
  <c r="K8" i="23"/>
  <c r="Z46" i="17"/>
  <c r="BJ3" i="18" s="1"/>
  <c r="J6" i="25"/>
  <c r="J7" i="25"/>
  <c r="L34" i="17"/>
  <c r="L33" i="17" s="1"/>
  <c r="AD8" i="18" s="1"/>
  <c r="M34" i="17"/>
  <c r="M33" i="17" s="1"/>
  <c r="AE8" i="18" s="1"/>
  <c r="AI20" i="18"/>
  <c r="AR5" i="18"/>
  <c r="M66" i="17"/>
  <c r="M65" i="17" s="1"/>
  <c r="AN2" i="18" s="1"/>
  <c r="U10" i="17"/>
  <c r="U9" i="17" s="1"/>
  <c r="AV5" i="18" s="1"/>
  <c r="W10" i="17"/>
  <c r="W9" i="17" s="1"/>
  <c r="AX5" i="18" s="1"/>
  <c r="N40" i="17"/>
  <c r="N39" i="17" s="1"/>
  <c r="AF11" i="18" s="1"/>
  <c r="K93" i="17"/>
  <c r="K92" i="17" s="1"/>
  <c r="AL16" i="18" s="1"/>
  <c r="O40" i="17"/>
  <c r="O39" i="17" s="1"/>
  <c r="AG11" i="18" s="1"/>
  <c r="W14" i="17"/>
  <c r="W13" i="17" s="1"/>
  <c r="AX8" i="18" s="1"/>
  <c r="V14" i="17"/>
  <c r="V13" i="17" s="1"/>
  <c r="AW8" i="18" s="1"/>
  <c r="L72" i="17"/>
  <c r="L71" i="17" s="1"/>
  <c r="AM5" i="18" s="1"/>
  <c r="N66" i="17"/>
  <c r="N65" i="17" s="1"/>
  <c r="AO2" i="18" s="1"/>
  <c r="AR2" i="18"/>
  <c r="L66" i="17"/>
  <c r="L65" i="17" s="1"/>
  <c r="AM2" i="18" s="1"/>
  <c r="M38" i="17"/>
  <c r="M37" i="17" s="1"/>
  <c r="AE10" i="18" s="1"/>
  <c r="AR10" i="18"/>
  <c r="X10" i="17"/>
  <c r="X9" i="17" s="1"/>
  <c r="AY5" i="18" s="1"/>
  <c r="AR16" i="18"/>
  <c r="O93" i="17"/>
  <c r="O92" i="17" s="1"/>
  <c r="AP16" i="18" s="1"/>
  <c r="N93" i="17"/>
  <c r="N92" i="17" s="1"/>
  <c r="AO16" i="18" s="1"/>
  <c r="AR23" i="18"/>
  <c r="M93" i="17"/>
  <c r="M92" i="17" s="1"/>
  <c r="AN16" i="18" s="1"/>
  <c r="N70" i="17"/>
  <c r="N69" i="17" s="1"/>
  <c r="AO4" i="18" s="1"/>
  <c r="BA8" i="18"/>
  <c r="M70" i="17"/>
  <c r="M69" i="17" s="1"/>
  <c r="AN4" i="18" s="1"/>
  <c r="L49" i="17"/>
  <c r="L48" i="17" s="1"/>
  <c r="AD16" i="18" s="1"/>
  <c r="W20" i="17"/>
  <c r="W19" i="17" s="1"/>
  <c r="AX11" i="18" s="1"/>
  <c r="X20" i="17"/>
  <c r="X19" i="17" s="1"/>
  <c r="AY11" i="18" s="1"/>
  <c r="N72" i="17"/>
  <c r="N71" i="17" s="1"/>
  <c r="O34" i="17"/>
  <c r="O33" i="17" s="1"/>
  <c r="AG8" i="18" s="1"/>
  <c r="L104" i="17"/>
  <c r="L103" i="17" s="1"/>
  <c r="AM17" i="18" s="1"/>
  <c r="K66" i="17"/>
  <c r="K65" i="17" s="1"/>
  <c r="AL2" i="18" s="1"/>
  <c r="M82" i="17"/>
  <c r="M81" i="17" s="1"/>
  <c r="AN10" i="18" s="1"/>
  <c r="L82" i="17"/>
  <c r="L81" i="17" s="1"/>
  <c r="AM10" i="18" s="1"/>
  <c r="AI23" i="18"/>
  <c r="N84" i="17"/>
  <c r="N83" i="17" s="1"/>
  <c r="AO11" i="18" s="1"/>
  <c r="L84" i="17"/>
  <c r="L83" i="17" s="1"/>
  <c r="AM11" i="18" s="1"/>
  <c r="O84" i="17"/>
  <c r="O83" i="17" s="1"/>
  <c r="AP11" i="18" s="1"/>
  <c r="AR11" i="18"/>
  <c r="L88" i="17"/>
  <c r="L87" i="17" s="1"/>
  <c r="AM14" i="18" s="1"/>
  <c r="M88" i="17"/>
  <c r="M87" i="17" s="1"/>
  <c r="AN14" i="18" s="1"/>
  <c r="N88" i="17"/>
  <c r="N87" i="17" s="1"/>
  <c r="AO14" i="18" s="1"/>
  <c r="O88" i="17"/>
  <c r="O87" i="17" s="1"/>
  <c r="AP14" i="18" s="1"/>
  <c r="K88" i="17"/>
  <c r="K87" i="17" s="1"/>
  <c r="AL14" i="18" s="1"/>
  <c r="L102" i="17"/>
  <c r="L101" i="17" s="1"/>
  <c r="AM22" i="18" s="1"/>
  <c r="M102" i="17"/>
  <c r="M101" i="17" s="1"/>
  <c r="AN22" i="18" s="1"/>
  <c r="N102" i="17"/>
  <c r="N101" i="17" s="1"/>
  <c r="AO22" i="18" s="1"/>
  <c r="L51" i="17"/>
  <c r="L50" i="17" s="1"/>
  <c r="AD17" i="18" s="1"/>
  <c r="O60" i="17"/>
  <c r="O59" i="17" s="1"/>
  <c r="AG22" i="18" s="1"/>
  <c r="BA10" i="18"/>
  <c r="W18" i="17"/>
  <c r="W17" i="17" s="1"/>
  <c r="AX10" i="18" s="1"/>
  <c r="AI17" i="18"/>
  <c r="AI14" i="18"/>
  <c r="L44" i="17"/>
  <c r="L43" i="17" s="1"/>
  <c r="AD14" i="18" s="1"/>
  <c r="M44" i="17"/>
  <c r="M43" i="17" s="1"/>
  <c r="AE14" i="18" s="1"/>
  <c r="V4" i="17"/>
  <c r="V3" i="17" s="1"/>
  <c r="AW2" i="18" s="1"/>
  <c r="O44" i="17"/>
  <c r="O43" i="17" s="1"/>
  <c r="AG14" i="18" s="1"/>
  <c r="AR8" i="18"/>
  <c r="L77" i="17"/>
  <c r="L76" i="17" s="1"/>
  <c r="AM8" i="18" s="1"/>
  <c r="M77" i="17"/>
  <c r="M76" i="17" s="1"/>
  <c r="AN8" i="18" s="1"/>
  <c r="N77" i="17"/>
  <c r="N76" i="17" s="1"/>
  <c r="AO8" i="18" s="1"/>
  <c r="N44" i="17"/>
  <c r="N43" i="17" s="1"/>
  <c r="AF14" i="18" s="1"/>
  <c r="K77" i="17"/>
  <c r="K76" i="17" s="1"/>
  <c r="AL8" i="18" s="1"/>
  <c r="N51" i="17"/>
  <c r="N50" i="17" s="1"/>
  <c r="AF17" i="18" s="1"/>
  <c r="AI22" i="18"/>
  <c r="K60" i="17"/>
  <c r="K59" i="17" s="1"/>
  <c r="AC22" i="18" s="1"/>
  <c r="T18" i="17"/>
  <c r="T17" i="17" s="1"/>
  <c r="AU10" i="18" s="1"/>
  <c r="AR14" i="18"/>
  <c r="BA2" i="18"/>
  <c r="T4" i="17"/>
  <c r="T3" i="17" s="1"/>
  <c r="AU2" i="18" s="1"/>
  <c r="X18" i="17"/>
  <c r="X17" i="17" s="1"/>
  <c r="AY10" i="18" s="1"/>
  <c r="M60" i="17"/>
  <c r="M59" i="17" s="1"/>
  <c r="AE22" i="18" s="1"/>
  <c r="X4" i="17"/>
  <c r="X3" i="17" s="1"/>
  <c r="AY2" i="18" s="1"/>
  <c r="V18" i="17"/>
  <c r="V17" i="17" s="1"/>
  <c r="AW10" i="18" s="1"/>
  <c r="L60" i="17"/>
  <c r="L59" i="17" s="1"/>
  <c r="AD22" i="18" s="1"/>
  <c r="W4" i="17"/>
  <c r="W3" i="17" s="1"/>
  <c r="AX2" i="18" s="1"/>
  <c r="U18" i="17"/>
  <c r="U17" i="17" s="1"/>
  <c r="AV10" i="18" s="1"/>
  <c r="K44" i="17"/>
  <c r="K43" i="17" s="1"/>
  <c r="AC14" i="18" s="1"/>
  <c r="O77" i="17"/>
  <c r="O76" i="17" s="1"/>
  <c r="AP8" i="18" s="1"/>
  <c r="AF23" i="18"/>
  <c r="K102" i="17"/>
  <c r="K101" i="17" s="1"/>
  <c r="AL22" i="18" s="1"/>
  <c r="AR22" i="18"/>
  <c r="AI10" i="18"/>
  <c r="K38" i="17"/>
  <c r="K37" i="17" s="1"/>
  <c r="AC10" i="18" s="1"/>
  <c r="L95" i="17"/>
  <c r="L94" i="17" s="1"/>
  <c r="O38" i="17"/>
  <c r="O37" i="17" s="1"/>
  <c r="AG10" i="18" s="1"/>
  <c r="K70" i="17"/>
  <c r="K69" i="17" s="1"/>
  <c r="AL4" i="18" s="1"/>
  <c r="N95" i="17"/>
  <c r="N94" i="17" s="1"/>
  <c r="AO17" i="18" s="1"/>
  <c r="T14" i="17"/>
  <c r="T13" i="17" s="1"/>
  <c r="AU8" i="18" s="1"/>
  <c r="AR4" i="18"/>
  <c r="N38" i="17"/>
  <c r="N37" i="17" s="1"/>
  <c r="AF10" i="18" s="1"/>
  <c r="O70" i="17"/>
  <c r="O69" i="17" s="1"/>
  <c r="AP4" i="18" s="1"/>
  <c r="X14" i="17"/>
  <c r="X13" i="17" s="1"/>
  <c r="AY8" i="18" s="1"/>
  <c r="U20" i="17"/>
  <c r="U19" i="17" s="1"/>
  <c r="AV11" i="18" s="1"/>
  <c r="L62" i="17"/>
  <c r="L61" i="17" s="1"/>
  <c r="AD23" i="18" s="1"/>
  <c r="N56" i="17"/>
  <c r="N55" i="17" s="1"/>
  <c r="AF20" i="18" s="1"/>
  <c r="X8" i="17"/>
  <c r="X7" i="17" s="1"/>
  <c r="AY4" i="18" s="1"/>
  <c r="M56" i="17"/>
  <c r="M55" i="17" s="1"/>
  <c r="AE20" i="18" s="1"/>
  <c r="K99" i="17"/>
  <c r="K98" i="17" s="1"/>
  <c r="AL20" i="18" s="1"/>
  <c r="W8" i="17"/>
  <c r="W7" i="17" s="1"/>
  <c r="AX4" i="18" s="1"/>
  <c r="AR20" i="18"/>
  <c r="U24" i="17"/>
  <c r="U23" i="17" s="1"/>
  <c r="O56" i="17"/>
  <c r="O55" i="17" s="1"/>
  <c r="AG20" i="18" s="1"/>
  <c r="T8" i="17"/>
  <c r="T7" i="17" s="1"/>
  <c r="AU4" i="18" s="1"/>
  <c r="V24" i="17"/>
  <c r="V23" i="17" s="1"/>
  <c r="L56" i="17"/>
  <c r="L55" i="17" s="1"/>
  <c r="AD20" i="18" s="1"/>
  <c r="O99" i="17"/>
  <c r="O98" i="17" s="1"/>
  <c r="AP20" i="18" s="1"/>
  <c r="O49" i="17"/>
  <c r="O48" i="17" s="1"/>
  <c r="AG16" i="18" s="1"/>
  <c r="K82" i="17"/>
  <c r="K81" i="17" s="1"/>
  <c r="AL10" i="18" s="1"/>
  <c r="N99" i="17"/>
  <c r="N98" i="17" s="1"/>
  <c r="AO20" i="18" s="1"/>
  <c r="N104" i="17"/>
  <c r="N103" i="17" s="1"/>
  <c r="AO23" i="18" s="1"/>
  <c r="U8" i="17"/>
  <c r="U7" i="17" s="1"/>
  <c r="AV4" i="18" s="1"/>
  <c r="BA4" i="18"/>
  <c r="T24" i="17"/>
  <c r="T23" i="17" s="1"/>
  <c r="X24" i="17"/>
  <c r="X23" i="17" s="1"/>
  <c r="O62" i="17"/>
  <c r="O61" i="17" s="1"/>
  <c r="K49" i="17"/>
  <c r="K48" i="17" s="1"/>
  <c r="AC16" i="18" s="1"/>
  <c r="N49" i="17"/>
  <c r="N48" i="17" s="1"/>
  <c r="AF16" i="18" s="1"/>
  <c r="O82" i="17"/>
  <c r="O81" i="17" s="1"/>
  <c r="AP10" i="18" s="1"/>
  <c r="M99" i="17"/>
  <c r="M98" i="17" s="1"/>
  <c r="AN20" i="18" s="1"/>
  <c r="AI16" i="18"/>
  <c r="E8" i="20"/>
  <c r="G8" i="20"/>
  <c r="F8" i="20"/>
  <c r="D8" i="20"/>
  <c r="C8" i="20"/>
  <c r="F5" i="20"/>
  <c r="G5" i="20"/>
  <c r="C6" i="20"/>
  <c r="J6" i="20" s="1"/>
  <c r="E6" i="20"/>
  <c r="F6" i="20"/>
  <c r="C5" i="20"/>
  <c r="J5" i="20" s="1"/>
  <c r="C7" i="20"/>
  <c r="J7" i="20" s="1"/>
  <c r="E7" i="20"/>
  <c r="G7" i="20"/>
  <c r="C4" i="20"/>
  <c r="J9" i="20"/>
  <c r="G9" i="20"/>
  <c r="F9" i="20"/>
  <c r="E9" i="20"/>
  <c r="D9" i="20"/>
  <c r="G4" i="21"/>
  <c r="C5" i="21"/>
  <c r="G6" i="21"/>
  <c r="G5" i="21"/>
  <c r="F6" i="21"/>
  <c r="F5" i="21"/>
  <c r="C6" i="21"/>
  <c r="E8" i="21"/>
  <c r="C7" i="21"/>
  <c r="D8" i="21"/>
  <c r="C8" i="21"/>
  <c r="F4" i="21"/>
  <c r="E4" i="21"/>
  <c r="D4" i="21"/>
  <c r="C4" i="21"/>
  <c r="D9" i="21"/>
  <c r="B8" i="21"/>
  <c r="B9" i="21"/>
  <c r="E7" i="21"/>
  <c r="G8" i="21"/>
  <c r="G7" i="21"/>
  <c r="F4" i="20"/>
  <c r="E4" i="20"/>
  <c r="G9" i="21"/>
  <c r="F9" i="21"/>
  <c r="E9" i="21"/>
  <c r="AM23" i="18" l="1"/>
  <c r="AP5" i="18"/>
  <c r="AG23" i="18"/>
  <c r="Q30" i="17"/>
  <c r="AI5" i="18" s="1"/>
  <c r="Q28" i="17"/>
  <c r="AI4" i="18" s="1"/>
  <c r="Q26" i="17"/>
  <c r="AI3" i="18" s="1"/>
  <c r="Q20" i="17"/>
  <c r="Z23" i="18" s="1"/>
  <c r="Q18" i="17"/>
  <c r="Z22" i="18" s="1"/>
  <c r="Q16" i="17"/>
  <c r="Z21" i="18" s="1"/>
  <c r="Q14" i="17"/>
  <c r="Z20" i="18" s="1"/>
  <c r="Q24" i="17"/>
  <c r="AI2" i="18" s="1"/>
  <c r="H95" i="17"/>
  <c r="C95" i="17" s="1"/>
  <c r="C94" i="17" s="1"/>
  <c r="U5" i="18" s="1"/>
  <c r="H51" i="17"/>
  <c r="Q5" i="18" s="1"/>
  <c r="H40" i="17"/>
  <c r="H23" i="18" s="1"/>
  <c r="Q10" i="17"/>
  <c r="O10" i="17" s="1"/>
  <c r="O9" i="17" s="1"/>
  <c r="AG5" i="18" s="1"/>
  <c r="Q8" i="17"/>
  <c r="L8" i="17" s="1"/>
  <c r="L7" i="17" s="1"/>
  <c r="U16" i="18" s="1"/>
  <c r="Q5" i="17"/>
  <c r="Z15" i="18" s="1"/>
  <c r="Q4" i="17"/>
  <c r="O4" i="17" s="1"/>
  <c r="H104" i="17"/>
  <c r="Z11" i="18" s="1"/>
  <c r="H102" i="17"/>
  <c r="C102" i="17" s="1"/>
  <c r="C101" i="17" s="1"/>
  <c r="U10" i="18" s="1"/>
  <c r="H100" i="17"/>
  <c r="Z9" i="18" s="1"/>
  <c r="H99" i="17"/>
  <c r="C99" i="17" s="1"/>
  <c r="C98" i="17" s="1"/>
  <c r="U8" i="18" s="1"/>
  <c r="H93" i="17"/>
  <c r="C93" i="17" s="1"/>
  <c r="C92" i="17" s="1"/>
  <c r="U4" i="18" s="1"/>
  <c r="H90" i="17"/>
  <c r="Z3" i="18" s="1"/>
  <c r="H88" i="17"/>
  <c r="C88" i="17" s="1"/>
  <c r="C87" i="17" s="1"/>
  <c r="U2" i="18" s="1"/>
  <c r="H84" i="17"/>
  <c r="F84" i="17" s="1"/>
  <c r="F83" i="17" s="1"/>
  <c r="O23" i="18" s="1"/>
  <c r="H82" i="17"/>
  <c r="C82" i="17" s="1"/>
  <c r="C81" i="17" s="1"/>
  <c r="L22" i="18" s="1"/>
  <c r="H79" i="17"/>
  <c r="Q21" i="18" s="1"/>
  <c r="H77" i="17"/>
  <c r="C77" i="17" s="1"/>
  <c r="C76" i="17" s="1"/>
  <c r="L20" i="18" s="1"/>
  <c r="H72" i="17"/>
  <c r="C72" i="17" s="1"/>
  <c r="C71" i="17" s="1"/>
  <c r="L17" i="18" s="1"/>
  <c r="H67" i="17"/>
  <c r="Q15" i="18" s="1"/>
  <c r="H66" i="17"/>
  <c r="B66" i="17" s="1"/>
  <c r="B65" i="17" s="1"/>
  <c r="K14" i="18" s="1"/>
  <c r="H62" i="17"/>
  <c r="F62" i="17" s="1"/>
  <c r="F61" i="17" s="1"/>
  <c r="O11" i="18" s="1"/>
  <c r="H60" i="17"/>
  <c r="D60" i="17" s="1"/>
  <c r="D59" i="17" s="1"/>
  <c r="M10" i="18" s="1"/>
  <c r="H57" i="17"/>
  <c r="Q9" i="18" s="1"/>
  <c r="H56" i="17"/>
  <c r="C56" i="17" s="1"/>
  <c r="C55" i="17" s="1"/>
  <c r="L8" i="18" s="1"/>
  <c r="H49" i="17"/>
  <c r="C49" i="17" s="1"/>
  <c r="C48" i="17" s="1"/>
  <c r="C22" i="18" s="1"/>
  <c r="H46" i="17"/>
  <c r="Q3" i="18" s="1"/>
  <c r="H44" i="17"/>
  <c r="C44" i="17" s="1"/>
  <c r="C43" i="17" s="1"/>
  <c r="L2" i="18" s="1"/>
  <c r="H38" i="17"/>
  <c r="C38" i="17" s="1"/>
  <c r="C37" i="17" s="1"/>
  <c r="H36" i="17"/>
  <c r="H21" i="18" s="1"/>
  <c r="H34" i="17"/>
  <c r="C34" i="17" s="1"/>
  <c r="C33" i="17" s="1"/>
  <c r="C20" i="18" s="1"/>
  <c r="H30" i="17"/>
  <c r="F30" i="17" s="1"/>
  <c r="F29" i="17" s="1"/>
  <c r="F17" i="18" s="1"/>
  <c r="H28" i="17"/>
  <c r="C28" i="17" s="1"/>
  <c r="C27" i="17" s="1"/>
  <c r="C16" i="18" s="1"/>
  <c r="H26" i="17"/>
  <c r="H15" i="18" s="1"/>
  <c r="H24" i="17"/>
  <c r="D24" i="17" s="1"/>
  <c r="D23" i="17" s="1"/>
  <c r="D14" i="18" s="1"/>
  <c r="H20" i="17"/>
  <c r="E20" i="17" s="1"/>
  <c r="E19" i="17" s="1"/>
  <c r="E11" i="18" s="1"/>
  <c r="H18" i="17"/>
  <c r="F18" i="17" s="1"/>
  <c r="H16" i="17"/>
  <c r="H9" i="18" s="1"/>
  <c r="H14" i="17"/>
  <c r="B14" i="17" s="1"/>
  <c r="G10" i="17"/>
  <c r="H10" i="17" s="1"/>
  <c r="G8" i="17"/>
  <c r="H8" i="17" s="1"/>
  <c r="E8" i="17" s="1"/>
  <c r="G5" i="17"/>
  <c r="G4" i="17"/>
  <c r="H4" i="17" s="1"/>
  <c r="H2" i="18" s="1"/>
  <c r="O3" i="17" l="1"/>
  <c r="X14" i="18" s="1"/>
  <c r="Z17" i="18"/>
  <c r="X17" i="18"/>
  <c r="L18" i="17"/>
  <c r="L17" i="17" s="1"/>
  <c r="U22" i="18" s="1"/>
  <c r="O18" i="17"/>
  <c r="O17" i="17" s="1"/>
  <c r="X22" i="18" s="1"/>
  <c r="K18" i="17"/>
  <c r="K17" i="17" s="1"/>
  <c r="T22" i="18" s="1"/>
  <c r="N18" i="17"/>
  <c r="N17" i="17" s="1"/>
  <c r="W22" i="18" s="1"/>
  <c r="L20" i="17"/>
  <c r="L19" i="17" s="1"/>
  <c r="U23" i="18" s="1"/>
  <c r="Q20" i="18"/>
  <c r="O24" i="17"/>
  <c r="O23" i="17" s="1"/>
  <c r="AG2" i="18" s="1"/>
  <c r="N24" i="17"/>
  <c r="N23" i="17" s="1"/>
  <c r="AF2" i="18" s="1"/>
  <c r="AD5" i="18"/>
  <c r="O28" i="17"/>
  <c r="O27" i="17" s="1"/>
  <c r="AG4" i="18" s="1"/>
  <c r="K24" i="17"/>
  <c r="K23" i="17" s="1"/>
  <c r="AC2" i="18" s="1"/>
  <c r="N28" i="17"/>
  <c r="N27" i="17" s="1"/>
  <c r="AF4" i="18" s="1"/>
  <c r="Q23" i="18"/>
  <c r="E95" i="17"/>
  <c r="E94" i="17" s="1"/>
  <c r="W5" i="18" s="1"/>
  <c r="L28" i="17"/>
  <c r="L27" i="17" s="1"/>
  <c r="AD4" i="18" s="1"/>
  <c r="F104" i="17"/>
  <c r="F103" i="17" s="1"/>
  <c r="X11" i="18" s="1"/>
  <c r="G106" i="17"/>
  <c r="G107" i="17" s="1"/>
  <c r="F95" i="17"/>
  <c r="F94" i="17" s="1"/>
  <c r="X5" i="18" s="1"/>
  <c r="M24" i="17"/>
  <c r="M23" i="17" s="1"/>
  <c r="AE2" i="18" s="1"/>
  <c r="Z14" i="18"/>
  <c r="L24" i="17"/>
  <c r="L23" i="17" s="1"/>
  <c r="AD2" i="18" s="1"/>
  <c r="M18" i="17"/>
  <c r="M17" i="17" s="1"/>
  <c r="V22" i="18" s="1"/>
  <c r="H17" i="18"/>
  <c r="Z8" i="18"/>
  <c r="K14" i="17"/>
  <c r="K13" i="17" s="1"/>
  <c r="T20" i="18" s="1"/>
  <c r="N30" i="17"/>
  <c r="N29" i="17" s="1"/>
  <c r="K28" i="17"/>
  <c r="K27" i="17" s="1"/>
  <c r="AC4" i="18" s="1"/>
  <c r="Q17" i="18"/>
  <c r="L14" i="17"/>
  <c r="L13" i="17" s="1"/>
  <c r="U20" i="18" s="1"/>
  <c r="M28" i="17"/>
  <c r="M27" i="17" s="1"/>
  <c r="AE4" i="18" s="1"/>
  <c r="Z5" i="18"/>
  <c r="E30" i="17"/>
  <c r="E29" i="17" s="1"/>
  <c r="E17" i="18" s="1"/>
  <c r="L30" i="17"/>
  <c r="L29" i="17" s="1"/>
  <c r="Z16" i="18"/>
  <c r="Q2" i="18"/>
  <c r="O14" i="17"/>
  <c r="O13" i="17" s="1"/>
  <c r="X20" i="18" s="1"/>
  <c r="O30" i="17"/>
  <c r="O29" i="17" s="1"/>
  <c r="X23" i="18" s="1"/>
  <c r="H5" i="17"/>
  <c r="H3" i="18" s="1"/>
  <c r="N14" i="17"/>
  <c r="N13" i="17" s="1"/>
  <c r="W20" i="18" s="1"/>
  <c r="N20" i="17"/>
  <c r="N19" i="17" s="1"/>
  <c r="W23" i="18" s="1"/>
  <c r="M14" i="17"/>
  <c r="M13" i="17" s="1"/>
  <c r="V20" i="18" s="1"/>
  <c r="O20" i="17"/>
  <c r="O19" i="17" s="1"/>
  <c r="Z10" i="18"/>
  <c r="Z2" i="18"/>
  <c r="Q8" i="18"/>
  <c r="C51" i="17"/>
  <c r="C50" i="17" s="1"/>
  <c r="L5" i="18" s="1"/>
  <c r="Q10" i="18"/>
  <c r="E51" i="17"/>
  <c r="E50" i="17" s="1"/>
  <c r="N5" i="18" s="1"/>
  <c r="F51" i="17"/>
  <c r="F50" i="17" s="1"/>
  <c r="O5" i="18" s="1"/>
  <c r="Z4" i="18"/>
  <c r="Q11" i="18"/>
  <c r="L4" i="18"/>
  <c r="Q14" i="18"/>
  <c r="Q22" i="18"/>
  <c r="C40" i="17"/>
  <c r="C39" i="17" s="1"/>
  <c r="C23" i="18" s="1"/>
  <c r="F40" i="17"/>
  <c r="F39" i="17" s="1"/>
  <c r="F23" i="18" s="1"/>
  <c r="E40" i="17"/>
  <c r="E39" i="17" s="1"/>
  <c r="E23" i="18" s="1"/>
  <c r="B4" i="17"/>
  <c r="B3" i="17" s="1"/>
  <c r="B2" i="18" s="1"/>
  <c r="Q4" i="18"/>
  <c r="L10" i="17"/>
  <c r="L9" i="17" s="1"/>
  <c r="U17" i="18" s="1"/>
  <c r="N10" i="17"/>
  <c r="N9" i="17" s="1"/>
  <c r="H20" i="18"/>
  <c r="H22" i="18"/>
  <c r="H14" i="18"/>
  <c r="H16" i="18"/>
  <c r="K4" i="17"/>
  <c r="K3" i="17" s="1"/>
  <c r="T14" i="18" s="1"/>
  <c r="N4" i="17"/>
  <c r="M4" i="17"/>
  <c r="L4" i="17"/>
  <c r="K8" i="17"/>
  <c r="K7" i="17" s="1"/>
  <c r="T16" i="18" s="1"/>
  <c r="M8" i="17"/>
  <c r="M7" i="17" s="1"/>
  <c r="V16" i="18" s="1"/>
  <c r="O8" i="17"/>
  <c r="O7" i="17" s="1"/>
  <c r="X16" i="18" s="1"/>
  <c r="N8" i="17"/>
  <c r="N7" i="17" s="1"/>
  <c r="W16" i="18" s="1"/>
  <c r="C104" i="17"/>
  <c r="C103" i="17" s="1"/>
  <c r="U11" i="18" s="1"/>
  <c r="E104" i="17"/>
  <c r="E103" i="17" s="1"/>
  <c r="W11" i="18" s="1"/>
  <c r="B102" i="17"/>
  <c r="B101" i="17" s="1"/>
  <c r="T10" i="18" s="1"/>
  <c r="F102" i="17"/>
  <c r="F101" i="17" s="1"/>
  <c r="X10" i="18" s="1"/>
  <c r="E102" i="17"/>
  <c r="E101" i="17" s="1"/>
  <c r="W10" i="18" s="1"/>
  <c r="D102" i="17"/>
  <c r="D101" i="17" s="1"/>
  <c r="V10" i="18" s="1"/>
  <c r="B93" i="17"/>
  <c r="B92" i="17" s="1"/>
  <c r="T4" i="18" s="1"/>
  <c r="F93" i="17"/>
  <c r="F92" i="17" s="1"/>
  <c r="X4" i="18" s="1"/>
  <c r="E93" i="17"/>
  <c r="E92" i="17" s="1"/>
  <c r="W4" i="18" s="1"/>
  <c r="D93" i="17"/>
  <c r="D92" i="17" s="1"/>
  <c r="V4" i="18" s="1"/>
  <c r="B99" i="17"/>
  <c r="B98" i="17" s="1"/>
  <c r="T8" i="18" s="1"/>
  <c r="F99" i="17"/>
  <c r="F98" i="17" s="1"/>
  <c r="X8" i="18" s="1"/>
  <c r="E99" i="17"/>
  <c r="E98" i="17" s="1"/>
  <c r="W8" i="18" s="1"/>
  <c r="D99" i="17"/>
  <c r="D98" i="17" s="1"/>
  <c r="V8" i="18" s="1"/>
  <c r="E84" i="17"/>
  <c r="E83" i="17" s="1"/>
  <c r="N23" i="18" s="1"/>
  <c r="E88" i="17"/>
  <c r="E87" i="17" s="1"/>
  <c r="W2" i="18" s="1"/>
  <c r="B88" i="17"/>
  <c r="B87" i="17" s="1"/>
  <c r="T2" i="18" s="1"/>
  <c r="F88" i="17"/>
  <c r="F87" i="17" s="1"/>
  <c r="X2" i="18" s="1"/>
  <c r="D88" i="17"/>
  <c r="D87" i="17" s="1"/>
  <c r="V2" i="18" s="1"/>
  <c r="C84" i="17"/>
  <c r="C83" i="17" s="1"/>
  <c r="L23" i="18" s="1"/>
  <c r="E82" i="17"/>
  <c r="E81" i="17" s="1"/>
  <c r="N22" i="18" s="1"/>
  <c r="F82" i="17"/>
  <c r="F81" i="17" s="1"/>
  <c r="O22" i="18" s="1"/>
  <c r="B82" i="17"/>
  <c r="B81" i="17" s="1"/>
  <c r="K22" i="18" s="1"/>
  <c r="D82" i="17"/>
  <c r="D81" i="17" s="1"/>
  <c r="M22" i="18" s="1"/>
  <c r="B77" i="17"/>
  <c r="B76" i="17" s="1"/>
  <c r="K20" i="18" s="1"/>
  <c r="F77" i="17"/>
  <c r="F76" i="17" s="1"/>
  <c r="O20" i="18" s="1"/>
  <c r="E77" i="17"/>
  <c r="E76" i="17" s="1"/>
  <c r="N20" i="18" s="1"/>
  <c r="D77" i="17"/>
  <c r="D76" i="17" s="1"/>
  <c r="M20" i="18" s="1"/>
  <c r="E72" i="17"/>
  <c r="E71" i="17" s="1"/>
  <c r="N17" i="18" s="1"/>
  <c r="F72" i="17"/>
  <c r="F71" i="17" s="1"/>
  <c r="O17" i="18" s="1"/>
  <c r="F66" i="17"/>
  <c r="F65" i="17" s="1"/>
  <c r="O14" i="18" s="1"/>
  <c r="E66" i="17"/>
  <c r="E65" i="17" s="1"/>
  <c r="N14" i="18" s="1"/>
  <c r="D66" i="17"/>
  <c r="D65" i="17" s="1"/>
  <c r="M14" i="18" s="1"/>
  <c r="C66" i="17"/>
  <c r="C65" i="17" s="1"/>
  <c r="L14" i="18" s="1"/>
  <c r="B60" i="17"/>
  <c r="B59" i="17" s="1"/>
  <c r="K10" i="18" s="1"/>
  <c r="F60" i="17"/>
  <c r="F59" i="17" s="1"/>
  <c r="O10" i="18" s="1"/>
  <c r="C60" i="17"/>
  <c r="C59" i="17" s="1"/>
  <c r="L10" i="18" s="1"/>
  <c r="C62" i="17"/>
  <c r="C61" i="17" s="1"/>
  <c r="L11" i="18" s="1"/>
  <c r="E62" i="17"/>
  <c r="E61" i="17" s="1"/>
  <c r="N11" i="18" s="1"/>
  <c r="E60" i="17"/>
  <c r="E59" i="17" s="1"/>
  <c r="N10" i="18" s="1"/>
  <c r="B49" i="17"/>
  <c r="B48" i="17" s="1"/>
  <c r="F49" i="17"/>
  <c r="F48" i="17" s="1"/>
  <c r="E49" i="17"/>
  <c r="E48" i="17" s="1"/>
  <c r="D49" i="17"/>
  <c r="D48" i="17" s="1"/>
  <c r="B56" i="17"/>
  <c r="B55" i="17" s="1"/>
  <c r="K8" i="18" s="1"/>
  <c r="F56" i="17"/>
  <c r="F55" i="17" s="1"/>
  <c r="O8" i="18" s="1"/>
  <c r="E56" i="17"/>
  <c r="E55" i="17" s="1"/>
  <c r="N8" i="18" s="1"/>
  <c r="D56" i="17"/>
  <c r="D55" i="17" s="1"/>
  <c r="M8" i="18" s="1"/>
  <c r="B44" i="17"/>
  <c r="B43" i="17" s="1"/>
  <c r="K2" i="18" s="1"/>
  <c r="F44" i="17"/>
  <c r="F43" i="17" s="1"/>
  <c r="O2" i="18" s="1"/>
  <c r="E44" i="17"/>
  <c r="E43" i="17" s="1"/>
  <c r="N2" i="18" s="1"/>
  <c r="D44" i="17"/>
  <c r="D43" i="17" s="1"/>
  <c r="M2" i="18" s="1"/>
  <c r="B38" i="17"/>
  <c r="B37" i="17" s="1"/>
  <c r="F38" i="17"/>
  <c r="F37" i="17" s="1"/>
  <c r="E38" i="17"/>
  <c r="E37" i="17" s="1"/>
  <c r="D38" i="17"/>
  <c r="D37" i="17" s="1"/>
  <c r="C30" i="17"/>
  <c r="C29" i="17" s="1"/>
  <c r="C17" i="18" s="1"/>
  <c r="B34" i="17"/>
  <c r="B33" i="17" s="1"/>
  <c r="B20" i="18" s="1"/>
  <c r="F34" i="17"/>
  <c r="F33" i="17" s="1"/>
  <c r="F20" i="18" s="1"/>
  <c r="E34" i="17"/>
  <c r="E33" i="17" s="1"/>
  <c r="E20" i="18" s="1"/>
  <c r="D34" i="17"/>
  <c r="D33" i="17" s="1"/>
  <c r="D20" i="18" s="1"/>
  <c r="H8" i="18"/>
  <c r="H10" i="18"/>
  <c r="C24" i="17"/>
  <c r="C23" i="17" s="1"/>
  <c r="C14" i="18" s="1"/>
  <c r="B24" i="17"/>
  <c r="B23" i="17" s="1"/>
  <c r="B14" i="18" s="1"/>
  <c r="F24" i="17"/>
  <c r="F23" i="17" s="1"/>
  <c r="F14" i="18" s="1"/>
  <c r="E24" i="17"/>
  <c r="E23" i="17" s="1"/>
  <c r="E14" i="18" s="1"/>
  <c r="D18" i="17"/>
  <c r="D17" i="17" s="1"/>
  <c r="D10" i="18" s="1"/>
  <c r="H4" i="18"/>
  <c r="B28" i="17"/>
  <c r="B27" i="17" s="1"/>
  <c r="B16" i="18" s="1"/>
  <c r="C18" i="17"/>
  <c r="C17" i="17" s="1"/>
  <c r="C10" i="18" s="1"/>
  <c r="F28" i="17"/>
  <c r="F27" i="17" s="1"/>
  <c r="F16" i="18" s="1"/>
  <c r="E18" i="17"/>
  <c r="E17" i="17" s="1"/>
  <c r="E10" i="18" s="1"/>
  <c r="E28" i="17"/>
  <c r="E27" i="17" s="1"/>
  <c r="E16" i="18" s="1"/>
  <c r="D28" i="17"/>
  <c r="D27" i="17" s="1"/>
  <c r="D16" i="18" s="1"/>
  <c r="F20" i="17"/>
  <c r="F19" i="17" s="1"/>
  <c r="F11" i="18" s="1"/>
  <c r="H11" i="18"/>
  <c r="C20" i="17"/>
  <c r="C19" i="17" s="1"/>
  <c r="C11" i="18" s="1"/>
  <c r="B18" i="17"/>
  <c r="B17" i="17" s="1"/>
  <c r="B10" i="18" s="1"/>
  <c r="F17" i="17"/>
  <c r="F10" i="18" s="1"/>
  <c r="F10" i="17"/>
  <c r="E10" i="17"/>
  <c r="C10" i="17"/>
  <c r="H5" i="18"/>
  <c r="B8" i="17"/>
  <c r="B6" i="17" s="1"/>
  <c r="F8" i="17"/>
  <c r="F14" i="17"/>
  <c r="F13" i="17" s="1"/>
  <c r="F8" i="18" s="1"/>
  <c r="E14" i="17"/>
  <c r="E13" i="17" s="1"/>
  <c r="E8" i="18" s="1"/>
  <c r="B13" i="17"/>
  <c r="B8" i="18" s="1"/>
  <c r="E4" i="17"/>
  <c r="E2" i="17" s="1"/>
  <c r="E7" i="17"/>
  <c r="E4" i="18" s="1"/>
  <c r="E6" i="17"/>
  <c r="D14" i="17"/>
  <c r="D13" i="17" s="1"/>
  <c r="D8" i="18" s="1"/>
  <c r="C14" i="17"/>
  <c r="C13" i="17" s="1"/>
  <c r="C8" i="18" s="1"/>
  <c r="C8" i="17"/>
  <c r="D8" i="17"/>
  <c r="D7" i="17" s="1"/>
  <c r="D4" i="18" s="1"/>
  <c r="F4" i="17"/>
  <c r="F2" i="17" s="1"/>
  <c r="C4" i="17"/>
  <c r="C2" i="17" s="1"/>
  <c r="D4" i="17"/>
  <c r="D2" i="17" s="1"/>
  <c r="N3" i="17" l="1"/>
  <c r="W14" i="18" s="1"/>
  <c r="L3" i="17"/>
  <c r="U14" i="18" s="1"/>
  <c r="M3" i="17"/>
  <c r="V14" i="18" s="1"/>
  <c r="AF5" i="18"/>
  <c r="W17" i="18"/>
  <c r="D22" i="18"/>
  <c r="M4" i="18"/>
  <c r="E22" i="18"/>
  <c r="N4" i="18"/>
  <c r="F22" i="18"/>
  <c r="O4" i="18"/>
  <c r="B22" i="18"/>
  <c r="K4" i="18"/>
  <c r="F9" i="17"/>
  <c r="F5" i="18" s="1"/>
  <c r="C9" i="17"/>
  <c r="C5" i="18" s="1"/>
  <c r="E9" i="17"/>
  <c r="E5" i="18" s="1"/>
  <c r="D6" i="17"/>
  <c r="B2" i="17"/>
  <c r="F7" i="17"/>
  <c r="F4" i="18" s="1"/>
  <c r="F6" i="17"/>
  <c r="B7" i="17"/>
  <c r="B4" i="18" s="1"/>
  <c r="C6" i="17"/>
  <c r="C7" i="17"/>
  <c r="C4" i="18" s="1"/>
  <c r="D3" i="17" l="1"/>
  <c r="D2" i="18" s="1"/>
  <c r="F3" i="17"/>
  <c r="F2" i="18" s="1"/>
  <c r="C3" i="17"/>
  <c r="C2" i="18" s="1"/>
  <c r="E3" i="17"/>
  <c r="E2" i="18" s="1"/>
  <c r="H70" i="17"/>
  <c r="Q16" i="18" s="1"/>
  <c r="B70" i="17" l="1"/>
  <c r="B69" i="17" s="1"/>
  <c r="K16" i="18" s="1"/>
  <c r="D70" i="17"/>
  <c r="D69" i="17" s="1"/>
  <c r="M16" i="18" s="1"/>
  <c r="E70" i="17"/>
  <c r="E69" i="17" s="1"/>
  <c r="N16" i="18" s="1"/>
  <c r="F70" i="17"/>
  <c r="F69" i="17" s="1"/>
  <c r="O16" i="18" s="1"/>
  <c r="C70" i="17"/>
  <c r="C69" i="17" s="1"/>
  <c r="L16" i="18" s="1"/>
  <c r="AI82" i="17" l="1"/>
  <c r="AC82" i="17" s="1"/>
  <c r="AI93" i="17"/>
  <c r="AC93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AQ4" authorId="0" shapeId="0" xr:uid="{6D3CF85F-A0DD-4DB6-8E92-96694960DDD5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VIP Only
180 Days 2.70%
120 Days 2.50%
</t>
        </r>
      </text>
    </comment>
    <comment ref="AR4" authorId="0" shapeId="0" xr:uid="{2B3E5C83-A4FB-4B56-9E54-5348C45859E7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≤ 200 USDT 5.61%</t>
        </r>
      </text>
    </comment>
    <comment ref="BR4" authorId="0" shapeId="0" xr:uid="{00FA3A47-9185-4422-945B-136AEEE94EE0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hourly interest rate %0,000351
APR
</t>
        </r>
      </text>
    </comment>
    <comment ref="AQ5" authorId="0" shapeId="0" xr:uid="{AACEA2E0-AD77-402C-8CF1-6FCB8F7DE8CD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VIP Only
</t>
        </r>
      </text>
    </comment>
    <comment ref="Z6" authorId="0" shapeId="0" xr:uid="{A6BE4A03-FD6F-4606-9843-FA875128FAF4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&lt;500 USDT 10%
&gt;500 USDT 1.13%</t>
        </r>
      </text>
    </comment>
    <comment ref="AQ6" authorId="0" shapeId="0" xr:uid="{3B983E24-60BE-4882-BF21-A432F9E63A22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VIP Only
</t>
        </r>
      </text>
    </comment>
    <comment ref="Z7" authorId="0" shapeId="0" xr:uid="{FE4AADA9-D605-4009-8787-1B40722FE7A0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&lt;500 USDT 10%
&gt;500 USDT 1.13%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8AAEB10F-2B22-4F77-BFE1-D37ED09B6ECE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70DEC24D-99E0-4094-AAC8-40C91A2A2BA4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069C68FE-65D3-431F-A764-9F7A535772C9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FD113D3C-C9FD-4FEC-9899-C2944144B19D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45C0A957-29C3-40B8-89A2-6C7253E6208E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16266662-255E-4650-9378-14AA30C962F6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967493E5-FD40-4A84-8C0F-639FF600EE2B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CBA56218-9480-4797-AEE9-A36106D211C3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D8934033-18C3-47C4-92E1-F5C9257AF5AD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77D78087-4781-4389-B464-9D8398BF75C0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FC5E5464-077B-48F6-A00E-1282EDFF7C44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789F64FF-AAEC-4ADC-8EB9-45F38DDB454F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6DBC3402-81BC-4E4E-AEBF-F1343A4E4284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C91F2BF7-79FD-4E47-A897-BA34C813C33D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66F47148-FFD0-42BF-8983-643FA28C0559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B436A6F7-7EAB-4534-854B-89FF9FA8EDDF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D1FE3F97-634F-4B8E-BCE2-C3D58734B591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151F9CAA-53C4-4F84-91CD-18691570F32F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4984A9F5-150A-418D-BDFE-8B0143D231B8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2DB39055-333F-4FDC-8FA4-DD2FB4274E6B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C433C487-95AE-483B-AB6B-D0390A7687C1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BC082DE4-E89A-49AA-B04F-BE6B1E88C667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4BED6EB6-D869-4246-A982-B7B33148EB1C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FF3360AF-CAD6-48B0-95BE-DD503EBC742F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04D58333-62FC-4627-A2DD-DE4145F871CC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8DBB71FF-570A-43F5-A7E2-F00173C80023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5C391A5D-4962-4978-9589-1739097B62FA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566F298B-D4B6-4A5D-BA8F-0DEF9171ED1E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D539A7F4-75E4-4AF4-A969-6EC18F13ABEC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FF35EDB8-9BD3-4133-B21E-26FBB0842709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12349472-B774-4B1C-934C-BD1926FA1137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D583A5AD-7B82-430A-BEB7-21E1BFE7D9F9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F93C9B86-FCB1-49C5-B91A-C7AFB7ECF84D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818ED0A6-8E74-4AE5-81A0-6CC1140C1E13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BF8E6734-C4BD-4CB0-82AD-C543C992D13C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32E69E51-05CC-439B-876E-4DFDD7446B14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B2E415A0-23C0-44A4-A584-9815AAD9FDF8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8B41CB9C-C305-4A0E-BF0F-AC6479A1027A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F9FF5C6F-9A93-46BC-8B56-BF6B49EDD17C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83D41F6F-9298-46EC-9FD6-BC10F70FF32C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606C2CA7-187E-4D73-876D-3420A1776794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0A75DC11-6F7F-4893-9F3A-4080C8C3F4AD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DE312728-AB1D-409E-8FD7-C83D40FD7831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A44D2B25-B8D7-46A8-BB09-259EBF75EAA9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FEAB58A6-783E-41E2-8009-C7CA6DFA7B1A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05EB89FC-ADF4-40BC-A954-A51A6D5CF66E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47DDAE83-F1B0-4EEA-A046-FF4868BC909C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9B9F1AF3-6F14-4770-B62B-7C2DE04E6EA1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AAA1CA66-FE3D-4611-A02B-D87804B67358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1CBA9BA3-8516-4B5A-942B-BC95057F0A1E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17A5D5ED-927A-440C-A0FA-B87EAAFC197C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EF361E1B-7D51-41B7-9ACF-EE2F1B913DAD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C4D953EA-87B4-484F-BE58-398561D13019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9F575ED3-68DE-4FB9-A322-9E3415C71C12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C09DBBD8-CFA6-4F17-85AD-B8F2D4058A33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24F4450E-8C7E-45C8-AB0C-B01489138898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DC750809-EDD2-4482-9AC4-EA27D1F0C457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CDEBCE68-5772-450C-8AE9-1457A22298EF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96403D67-1E08-4ED8-9DCA-7ABF5D8139F5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B1D74FCD-0782-4E0D-8138-0FA57C3065B9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E97ECFA0-F68A-4087-8131-8E8101AD01E1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C2EB9C2D-CCC8-42D2-A39A-981E83F63D4C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975CEF52-044F-40E2-B269-D40A9F10A65D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DC0E4A19-B037-492D-B427-ACE8174A2E3B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E027B512-8445-4ABB-8940-7D742A1ECE33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14A5AFB6-7A60-4069-8F1E-81795FD774AE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5BE5D6C4-A43B-4CDD-BEB5-5A2392E34F85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0EB3BDFC-865B-4D5C-AB61-67550A5024AA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7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9F2D48B7-3557-48A6-8E01-09BBB7070A21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7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B4B4053A-6D81-4F87-9E1A-D9AAC5B78E06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7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F214FF3E-E3F8-4F33-B095-DA5A38A7BC2F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7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C2C54052-3090-4B8B-8007-262D8901D621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7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8CCC9706-FC32-48A1-8669-65DB093E7A65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7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FEB91884-879D-49E5-BF6A-63FC882D9E5D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7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7EC125C5-B50A-451B-B76C-80983FC70EA7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7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298129DF-0202-4166-9919-C5376728132B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7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A909F44B-9D91-45CC-BCB6-C00E794FEE52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7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162F99BF-B2CF-4760-B56C-F27B9467FC75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8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42A17E2B-951C-45D0-90CB-0C9E4D075BE2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8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E5B63D5C-717D-4E98-A7CC-F6634DD1D8FD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8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391BF26A-9CC1-470F-8837-8AC320AD4FA4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8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4F964C0D-F11B-4D35-BED2-36B88C3A8A01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8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BF647C7E-52B5-4B24-A6DE-EFD85DDEE19E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8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D83070DE-6B0C-403E-B83B-7D383FC92F54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8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9A0C5995-0149-4F52-B193-DFE3D2FFA5B0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8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7FBF364B-6B63-4F17-A95F-9C331F62988A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8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D0E83BCF-E3E8-4A19-96DA-1ECC19E96880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8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29FF8B11-9AB7-4096-B8B5-07F6C139EF92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9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742BD232-3673-484B-8FE1-511A0C367E10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9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8DA9B1F1-487D-432E-955E-D9E850583A9A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9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28103D1B-2BF2-404D-953D-7FD6976928F2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9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CF68E984-85B3-461B-93B5-D4AA8DAF3A5B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9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79659E6B-CC75-4C57-8B53-BB4DC045175B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9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9716BED0-4EE7-4C53-8D05-AF003A9D8314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9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53DF1DA9-7C80-4178-8A49-35AFED46220D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9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0E88B1EC-D131-42C9-AA54-FF9B96E97CA2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9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AFE558A1-5899-4FC8-AA1D-994DAF36890A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9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D4111FFC-4DDE-4887-A322-A30CF544ACE2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0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913E5EEC-1FF3-4646-A781-F65E28F6C336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0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A2FBE297-5864-4491-B6E3-1AE1BC3D3F50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0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C09D4145-176A-4624-B3E0-A24453F2E214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0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AD92A950-037C-4D0C-BA32-C47E7A801933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0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8E4E95D2-C81B-45E8-9A37-A22952A6D1A0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0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630BB378-0FE9-440A-985C-CBD2463CCEF1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0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E3A19BBF-5E41-486E-9943-E648F1CD57D7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0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E03B797D-3CFC-40E3-BE09-BB0D43513567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0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39D44CF6-78BA-48C3-9DEC-A68F10A1DD1C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0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939F366F-3074-4879-B03E-6383840D63EB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FE182FB3-A668-4443-83CC-8297EE5A9398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63EDE93D-C839-4113-B169-9A4323C61127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981BD1CA-15AE-426B-8FC0-17B9DD06C66E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BCC26A86-7330-45A1-95D5-81CCC2E49768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A59FA5F8-73E2-4191-985A-A900E9BEB049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67873134-7DF9-490A-AC3F-4441D28D7532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439B667D-317D-49D8-B73F-23D0F6C62808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09305F93-5F7C-4156-8885-C5325BC1AB2C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D8364BAC-6A08-4CA0-BADD-C866201DE09E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200E9A4F-B9C4-4B3C-B409-55CA64A74A7A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C6A0A691-FF58-4AEB-BC08-F5B041BFEE22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EAEAB1BA-8B97-4F63-ABFE-D3C9D25B6A35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24F548FC-C96E-4D75-8B07-E378790E7F6C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FBA48909-1074-4D3E-B5D4-735DC2403696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01C605A3-D492-4939-B5F6-5106675503F3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3F20A322-CCFB-4B43-88CC-BF15B8AE58D8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ADBF1217-CFBD-43D0-B6F5-8F62FC518195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AA07BB2C-8C80-4467-9FA8-F3BC564473DC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73519FA8-ED94-482B-ACC6-30BF0126C97D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E61156DF-F899-4D67-A331-D84FD1C9BE96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E3ADBCF1-73DF-4E5F-9495-42F21CD1D66E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E3C8AFFD-09E1-4E6C-86D6-4C5787EF2D85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379EB40F-9030-4B25-BFC4-23669F3664AD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6F8BFD4B-4839-44A1-8C6F-BB1E91FB679C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BDAB7098-D314-4E2A-B2B7-B2CE0205C789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809B330D-B61F-4CF4-9414-B5A40C3EA21C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3B8721A7-8C09-4062-9E68-26139ED6CD51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0E895682-E48D-4F13-8353-CFBCCA4973DB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DD4864FD-29D1-40B1-A5F8-28C6D3DACB1B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EA28A6E2-6C1B-4800-96AB-89FF873C13C6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514B68AC-2221-473C-93B2-10F080408F0B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FC038267-E956-42EA-A01E-5EAC0FDA6E65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A559CF37-67B1-49BE-B0FF-DEF4703BAE5F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248D5087-D210-4272-8614-38072392BB71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EF9F581C-FFD7-4301-B5A9-C8B6FDD13210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sharedStrings.xml><?xml version="1.0" encoding="utf-8"?>
<sst xmlns="http://schemas.openxmlformats.org/spreadsheetml/2006/main" count="7099" uniqueCount="68">
  <si>
    <t>3.46%</t>
  </si>
  <si>
    <t>4.99%</t>
  </si>
  <si>
    <t>4.00%</t>
  </si>
  <si>
    <t>4.50%</t>
  </si>
  <si>
    <t>4.08%</t>
  </si>
  <si>
    <t>7D</t>
  </si>
  <si>
    <t>14D</t>
  </si>
  <si>
    <t>30D</t>
  </si>
  <si>
    <t>60D</t>
  </si>
  <si>
    <t>90D</t>
  </si>
  <si>
    <t>180D</t>
  </si>
  <si>
    <t>Flexible</t>
  </si>
  <si>
    <t>Binance</t>
  </si>
  <si>
    <t>Earn</t>
  </si>
  <si>
    <t>Borrow</t>
  </si>
  <si>
    <t>OKX</t>
  </si>
  <si>
    <t>ByBit</t>
  </si>
  <si>
    <t>Gate I.O</t>
  </si>
  <si>
    <t>3.20%</t>
  </si>
  <si>
    <t>5.10%</t>
  </si>
  <si>
    <t>5.88%</t>
  </si>
  <si>
    <t>3.00%</t>
  </si>
  <si>
    <t>3.40%</t>
  </si>
  <si>
    <t>3.04%</t>
  </si>
  <si>
    <t>3.15%</t>
  </si>
  <si>
    <t>4.39%</t>
  </si>
  <si>
    <t>5.85%</t>
  </si>
  <si>
    <t>5.48%</t>
  </si>
  <si>
    <t>3.11%</t>
  </si>
  <si>
    <t>3.28%</t>
  </si>
  <si>
    <t>2.50%</t>
  </si>
  <si>
    <t>3.98%</t>
  </si>
  <si>
    <t>P2P</t>
  </si>
  <si>
    <t>N/A</t>
  </si>
  <si>
    <t>3.22%</t>
  </si>
  <si>
    <t>VIP</t>
  </si>
  <si>
    <t>3.32%</t>
  </si>
  <si>
    <t>3.86%</t>
  </si>
  <si>
    <t>4.60%</t>
  </si>
  <si>
    <t>4.20%</t>
  </si>
  <si>
    <t>5.75%</t>
  </si>
  <si>
    <t>5.80%</t>
  </si>
  <si>
    <t>3.21%</t>
  </si>
  <si>
    <t>3.90%</t>
  </si>
  <si>
    <t>3.45%</t>
  </si>
  <si>
    <t>5.33%</t>
  </si>
  <si>
    <t>Sınırlı</t>
  </si>
  <si>
    <t>Bitget</t>
  </si>
  <si>
    <t>2.99%</t>
  </si>
  <si>
    <t>4.40%</t>
  </si>
  <si>
    <t>3.95%</t>
  </si>
  <si>
    <t>3.99%</t>
  </si>
  <si>
    <t>4.47%</t>
  </si>
  <si>
    <t>Annual</t>
  </si>
  <si>
    <t>Bybit</t>
  </si>
  <si>
    <t>XT</t>
  </si>
  <si>
    <t>KuCoin**</t>
  </si>
  <si>
    <t>Binance*</t>
  </si>
  <si>
    <t>Spread</t>
  </si>
  <si>
    <t>Flexible Spread (%)</t>
  </si>
  <si>
    <t>Date</t>
  </si>
  <si>
    <t>KuCoin</t>
  </si>
  <si>
    <t>Average</t>
  </si>
  <si>
    <t>BTC Price $</t>
  </si>
  <si>
    <t>3,,89%</t>
  </si>
  <si>
    <t>BtcTurk</t>
  </si>
  <si>
    <t>5i95%</t>
  </si>
  <si>
    <t>3i98%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</si>
</sst>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0%"/>
    <numFmt numFmtId="165" formatCode="0.000%"/>
    <numFmt numFmtId="166" formatCode="0.00000%"/>
    <numFmt numFmtId="167" formatCode="0.00000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  <font>
      <b/>
      <sz val="11"/>
      <color theme="1"/>
      <name val="Calibri"/>
      <family val="2"/>
      <charset val="16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  <font>
      <b/>
      <sz val="15"/>
      <color theme="1"/>
      <name val="Calibri"/>
      <family val="2"/>
      <charset val="162"/>
      <scheme val="minor"/>
    </font>
    <font>
      <b/>
      <sz val="13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95">
    <xf numFmtId="0" fontId="0" fillId="0" borderId="0" xfId="0"/>
    <xf numFmtId="0" fontId="0" fillId="3" borderId="1" xfId="0" applyFill="1" applyBorder="1"/>
    <xf numFmtId="14" fontId="0" fillId="3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10" fontId="0" fillId="4" borderId="1" xfId="0" applyNumberFormat="1" applyFill="1" applyBorder="1"/>
    <xf numFmtId="9" fontId="0" fillId="4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0" fontId="0" fillId="4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0" fontId="0" fillId="0" borderId="1" xfId="0" applyNumberFormat="1" applyBorder="1"/>
    <xf numFmtId="10" fontId="0" fillId="3" borderId="1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7" fontId="0" fillId="0" borderId="1" xfId="0" applyNumberFormat="1" applyBorder="1" applyAlignment="1">
      <alignment horizontal="center"/>
    </xf>
    <xf numFmtId="10" fontId="4" fillId="0" borderId="1" xfId="0" applyNumberFormat="1" applyFont="1" applyBorder="1" applyAlignment="1">
      <alignment horizontal="center" vertical="center"/>
    </xf>
    <xf numFmtId="10" fontId="0" fillId="0" borderId="0" xfId="0" applyNumberFormat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167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0" fontId="4" fillId="0" borderId="1" xfId="0" applyNumberFormat="1" applyFont="1" applyBorder="1" applyAlignment="1">
      <alignment horizontal="center"/>
    </xf>
    <xf numFmtId="10" fontId="0" fillId="0" borderId="0" xfId="0" applyNumberFormat="1"/>
    <xf numFmtId="164" fontId="0" fillId="0" borderId="0" xfId="0" applyNumberFormat="1"/>
    <xf numFmtId="0" fontId="8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vertical="center"/>
    </xf>
    <xf numFmtId="10" fontId="7" fillId="2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/>
    </xf>
    <xf numFmtId="10" fontId="7" fillId="2" borderId="1" xfId="0" applyNumberFormat="1" applyFont="1" applyFill="1" applyBorder="1" applyAlignment="1">
      <alignment horizontal="center"/>
    </xf>
    <xf numFmtId="10" fontId="0" fillId="3" borderId="1" xfId="0" applyNumberFormat="1" applyFill="1" applyBorder="1"/>
    <xf numFmtId="10" fontId="0" fillId="3" borderId="1" xfId="0" applyNumberFormat="1" applyFill="1" applyBorder="1" applyAlignment="1">
      <alignment horizontal="center" vertical="center"/>
    </xf>
    <xf numFmtId="10" fontId="0" fillId="2" borderId="1" xfId="0" applyNumberFormat="1" applyFill="1" applyBorder="1"/>
    <xf numFmtId="0" fontId="10" fillId="0" borderId="1" xfId="0" applyFont="1" applyBorder="1" applyAlignment="1">
      <alignment horizontal="center" vertical="center"/>
    </xf>
    <xf numFmtId="10" fontId="9" fillId="0" borderId="1" xfId="0" applyNumberFormat="1" applyFont="1" applyBorder="1"/>
    <xf numFmtId="0" fontId="9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vertical="center"/>
    </xf>
    <xf numFmtId="10" fontId="0" fillId="2" borderId="0" xfId="0" applyNumberFormat="1" applyFill="1" applyAlignment="1">
      <alignment horizontal="center"/>
    </xf>
    <xf numFmtId="10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4" fontId="5" fillId="2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164" fontId="0" fillId="3" borderId="0" xfId="0" applyNumberFormat="1" applyFill="1" applyAlignment="1">
      <alignment horizontal="center"/>
    </xf>
    <xf numFmtId="164" fontId="0" fillId="0" borderId="4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10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4" fillId="0" borderId="0" xfId="0" applyNumberFormat="1" applyFont="1" applyAlignment="1">
      <alignment horizontal="center"/>
    </xf>
    <xf numFmtId="0" fontId="7" fillId="0" borderId="5" xfId="0" applyFont="1" applyBorder="1" applyAlignment="1">
      <alignment horizontal="center" vertical="center"/>
    </xf>
    <xf numFmtId="10" fontId="0" fillId="0" borderId="1" xfId="1" applyNumberFormat="1" applyFont="1" applyBorder="1"/>
    <xf numFmtId="1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/>
    </xf>
    <xf numFmtId="1" fontId="0" fillId="0" borderId="1" xfId="0" applyNumberFormat="1" applyBorder="1"/>
    <xf numFmtId="1" fontId="4" fillId="0" borderId="1" xfId="0" applyNumberFormat="1" applyFont="1" applyBorder="1" applyAlignment="1">
      <alignment horizontal="center"/>
    </xf>
    <xf numFmtId="1" fontId="0" fillId="0" borderId="1" xfId="2" applyNumberFormat="1" applyFont="1" applyBorder="1"/>
    <xf numFmtId="1" fontId="0" fillId="0" borderId="0" xfId="0" applyNumberFormat="1"/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22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styles" Target="styles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sharedStrings" Target="sharedStrings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calcChain" Target="calcChain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552685</xdr:colOff>
      <xdr:row>186</xdr:row>
      <xdr:rowOff>40745</xdr:rowOff>
    </xdr:from>
    <xdr:to>
      <xdr:col>33</xdr:col>
      <xdr:colOff>302771</xdr:colOff>
      <xdr:row>220</xdr:row>
      <xdr:rowOff>57228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AECCDE-2BA0-BF51-C77B-F2EED8536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10710" y="33702095"/>
          <a:ext cx="6512836" cy="61696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2.xml"/><Relationship Id="rId1" Type="http://schemas.openxmlformats.org/officeDocument/2006/relationships/vmlDrawing" Target="../drawings/vmlDrawing52.v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3.xml"/><Relationship Id="rId1" Type="http://schemas.openxmlformats.org/officeDocument/2006/relationships/vmlDrawing" Target="../drawings/vmlDrawing53.v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4.xml"/><Relationship Id="rId1" Type="http://schemas.openxmlformats.org/officeDocument/2006/relationships/vmlDrawing" Target="../drawings/vmlDrawing54.v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5.xml"/><Relationship Id="rId1" Type="http://schemas.openxmlformats.org/officeDocument/2006/relationships/vmlDrawing" Target="../drawings/vmlDrawing55.v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6.xml"/><Relationship Id="rId1" Type="http://schemas.openxmlformats.org/officeDocument/2006/relationships/vmlDrawing" Target="../drawings/vmlDrawing56.v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7.xml"/><Relationship Id="rId1" Type="http://schemas.openxmlformats.org/officeDocument/2006/relationships/vmlDrawing" Target="../drawings/vmlDrawing57.v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8.xml"/><Relationship Id="rId1" Type="http://schemas.openxmlformats.org/officeDocument/2006/relationships/vmlDrawing" Target="../drawings/vmlDrawing58.v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9.xml"/><Relationship Id="rId1" Type="http://schemas.openxmlformats.org/officeDocument/2006/relationships/vmlDrawing" Target="../drawings/vmlDrawing59.v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0.xml"/><Relationship Id="rId1" Type="http://schemas.openxmlformats.org/officeDocument/2006/relationships/vmlDrawing" Target="../drawings/vmlDrawing60.v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61.xml"/><Relationship Id="rId1" Type="http://schemas.openxmlformats.org/officeDocument/2006/relationships/vmlDrawing" Target="../drawings/vmlDrawing61.vml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comments" Target="../comments62.xml"/><Relationship Id="rId1" Type="http://schemas.openxmlformats.org/officeDocument/2006/relationships/vmlDrawing" Target="../drawings/vmlDrawing62.v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3.xml"/><Relationship Id="rId1" Type="http://schemas.openxmlformats.org/officeDocument/2006/relationships/vmlDrawing" Target="../drawings/vmlDrawing63.vm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4.xml"/><Relationship Id="rId1" Type="http://schemas.openxmlformats.org/officeDocument/2006/relationships/vmlDrawing" Target="../drawings/vmlDrawing64.vml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5.xml"/><Relationship Id="rId1" Type="http://schemas.openxmlformats.org/officeDocument/2006/relationships/vmlDrawing" Target="../drawings/vmlDrawing65.vml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6.xml"/><Relationship Id="rId1" Type="http://schemas.openxmlformats.org/officeDocument/2006/relationships/vmlDrawing" Target="../drawings/vmlDrawing66.vm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7.xml"/><Relationship Id="rId1" Type="http://schemas.openxmlformats.org/officeDocument/2006/relationships/vmlDrawing" Target="../drawings/vmlDrawing67.vml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8.xml"/><Relationship Id="rId1" Type="http://schemas.openxmlformats.org/officeDocument/2006/relationships/vmlDrawing" Target="../drawings/vmlDrawing68.vml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9.xml"/><Relationship Id="rId1" Type="http://schemas.openxmlformats.org/officeDocument/2006/relationships/vmlDrawing" Target="../drawings/vmlDrawing69.vml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comments" Target="../comments70.xml"/><Relationship Id="rId1" Type="http://schemas.openxmlformats.org/officeDocument/2006/relationships/vmlDrawing" Target="../drawings/vmlDrawing70.vml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comments" Target="../comments71.xml"/><Relationship Id="rId1" Type="http://schemas.openxmlformats.org/officeDocument/2006/relationships/vmlDrawing" Target="../drawings/vmlDrawing71.vml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comments" Target="../comments72.xml"/><Relationship Id="rId1" Type="http://schemas.openxmlformats.org/officeDocument/2006/relationships/vmlDrawing" Target="../drawings/vmlDrawing72.v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comments" Target="../comments73.xml"/><Relationship Id="rId1" Type="http://schemas.openxmlformats.org/officeDocument/2006/relationships/vmlDrawing" Target="../drawings/vmlDrawing73.v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4.xml"/><Relationship Id="rId1" Type="http://schemas.openxmlformats.org/officeDocument/2006/relationships/vmlDrawing" Target="../drawings/vmlDrawing74.vml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5.xml"/><Relationship Id="rId1" Type="http://schemas.openxmlformats.org/officeDocument/2006/relationships/vmlDrawing" Target="../drawings/vmlDrawing75.vml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6.xml"/><Relationship Id="rId1" Type="http://schemas.openxmlformats.org/officeDocument/2006/relationships/vmlDrawing" Target="../drawings/vmlDrawing76.vml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7.xml"/><Relationship Id="rId1" Type="http://schemas.openxmlformats.org/officeDocument/2006/relationships/vmlDrawing" Target="../drawings/vmlDrawing77.vml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8.xml"/><Relationship Id="rId2" Type="http://schemas.openxmlformats.org/officeDocument/2006/relationships/vmlDrawing" Target="../drawings/vmlDrawing78.vml"/><Relationship Id="rId1" Type="http://schemas.openxmlformats.org/officeDocument/2006/relationships/printerSettings" Target="../printerSettings/printerSettings4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9.xml"/><Relationship Id="rId1" Type="http://schemas.openxmlformats.org/officeDocument/2006/relationships/vmlDrawing" Target="../drawings/vmlDrawing79.vml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0.xml"/><Relationship Id="rId1" Type="http://schemas.openxmlformats.org/officeDocument/2006/relationships/vmlDrawing" Target="../drawings/vmlDrawing80.vml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comments" Target="../comments81.xml"/><Relationship Id="rId1" Type="http://schemas.openxmlformats.org/officeDocument/2006/relationships/vmlDrawing" Target="../drawings/vmlDrawing81.vml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comments" Target="../comments82.xml"/><Relationship Id="rId1" Type="http://schemas.openxmlformats.org/officeDocument/2006/relationships/vmlDrawing" Target="../drawings/vmlDrawing82.vml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3.xml"/><Relationship Id="rId1" Type="http://schemas.openxmlformats.org/officeDocument/2006/relationships/vmlDrawing" Target="../drawings/vmlDrawing83.vml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comments" Target="../comments84.xml"/><Relationship Id="rId1" Type="http://schemas.openxmlformats.org/officeDocument/2006/relationships/vmlDrawing" Target="../drawings/vmlDrawing84.vml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5.xml"/><Relationship Id="rId1" Type="http://schemas.openxmlformats.org/officeDocument/2006/relationships/vmlDrawing" Target="../drawings/vmlDrawing85.vml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6.xml"/><Relationship Id="rId1" Type="http://schemas.openxmlformats.org/officeDocument/2006/relationships/vmlDrawing" Target="../drawings/vmlDrawing86.v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7.xml"/><Relationship Id="rId1" Type="http://schemas.openxmlformats.org/officeDocument/2006/relationships/vmlDrawing" Target="../drawings/vmlDrawing87.v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8.xml"/><Relationship Id="rId1" Type="http://schemas.openxmlformats.org/officeDocument/2006/relationships/vmlDrawing" Target="../drawings/vmlDrawing88.v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9.xml"/><Relationship Id="rId1" Type="http://schemas.openxmlformats.org/officeDocument/2006/relationships/vmlDrawing" Target="../drawings/vmlDrawing89.v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0.xml"/><Relationship Id="rId1" Type="http://schemas.openxmlformats.org/officeDocument/2006/relationships/vmlDrawing" Target="../drawings/vmlDrawing90.v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1.xml"/><Relationship Id="rId1" Type="http://schemas.openxmlformats.org/officeDocument/2006/relationships/vmlDrawing" Target="../drawings/vmlDrawing91.v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comments" Target="../comments92.xml"/><Relationship Id="rId1" Type="http://schemas.openxmlformats.org/officeDocument/2006/relationships/vmlDrawing" Target="../drawings/vmlDrawing92.v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comments" Target="../comments93.xml"/><Relationship Id="rId1" Type="http://schemas.openxmlformats.org/officeDocument/2006/relationships/vmlDrawing" Target="../drawings/vmlDrawing93.vm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comments" Target="../comments94.xml"/><Relationship Id="rId1" Type="http://schemas.openxmlformats.org/officeDocument/2006/relationships/vmlDrawing" Target="../drawings/vmlDrawing94.v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comments" Target="../comments95.xml"/><Relationship Id="rId1" Type="http://schemas.openxmlformats.org/officeDocument/2006/relationships/vmlDrawing" Target="../drawings/vmlDrawing95.vml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6.xml"/><Relationship Id="rId1" Type="http://schemas.openxmlformats.org/officeDocument/2006/relationships/vmlDrawing" Target="../drawings/vmlDrawing96.vm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7.xml"/><Relationship Id="rId1" Type="http://schemas.openxmlformats.org/officeDocument/2006/relationships/vmlDrawing" Target="../drawings/vmlDrawing97.vml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8.xml"/><Relationship Id="rId2" Type="http://schemas.openxmlformats.org/officeDocument/2006/relationships/vmlDrawing" Target="../drawings/vmlDrawing98.vml"/><Relationship Id="rId1" Type="http://schemas.openxmlformats.org/officeDocument/2006/relationships/printerSettings" Target="../printerSettings/printerSettings5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9.xml"/><Relationship Id="rId1" Type="http://schemas.openxmlformats.org/officeDocument/2006/relationships/vmlDrawing" Target="../drawings/vmlDrawing99.vml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0.xml"/><Relationship Id="rId1" Type="http://schemas.openxmlformats.org/officeDocument/2006/relationships/vmlDrawing" Target="../drawings/vmlDrawing100.vml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1.xml"/><Relationship Id="rId1" Type="http://schemas.openxmlformats.org/officeDocument/2006/relationships/vmlDrawing" Target="../drawings/vmlDrawing101.vml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2.xml"/><Relationship Id="rId1" Type="http://schemas.openxmlformats.org/officeDocument/2006/relationships/vmlDrawing" Target="../drawings/vmlDrawing102.vml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3.xml"/><Relationship Id="rId1" Type="http://schemas.openxmlformats.org/officeDocument/2006/relationships/vmlDrawing" Target="../drawings/vmlDrawing103.vml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4.xml"/><Relationship Id="rId1" Type="http://schemas.openxmlformats.org/officeDocument/2006/relationships/vmlDrawing" Target="../drawings/vmlDrawing104.vml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5.xml"/><Relationship Id="rId1" Type="http://schemas.openxmlformats.org/officeDocument/2006/relationships/vmlDrawing" Target="../drawings/vmlDrawing105.vml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6.xml"/><Relationship Id="rId1" Type="http://schemas.openxmlformats.org/officeDocument/2006/relationships/vmlDrawing" Target="../drawings/vmlDrawing106.vml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7.xml"/><Relationship Id="rId1" Type="http://schemas.openxmlformats.org/officeDocument/2006/relationships/vmlDrawing" Target="../drawings/vmlDrawing107.vml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8.xml"/><Relationship Id="rId1" Type="http://schemas.openxmlformats.org/officeDocument/2006/relationships/vmlDrawing" Target="../drawings/vmlDrawing108.vml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9.xml"/><Relationship Id="rId1" Type="http://schemas.openxmlformats.org/officeDocument/2006/relationships/vmlDrawing" Target="../drawings/vmlDrawing109.vml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0.xml"/><Relationship Id="rId1" Type="http://schemas.openxmlformats.org/officeDocument/2006/relationships/vmlDrawing" Target="../drawings/vmlDrawing110.vml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1.xml"/><Relationship Id="rId1" Type="http://schemas.openxmlformats.org/officeDocument/2006/relationships/vmlDrawing" Target="../drawings/vmlDrawing111.vml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2.xml"/><Relationship Id="rId1" Type="http://schemas.openxmlformats.org/officeDocument/2006/relationships/vmlDrawing" Target="../drawings/vmlDrawing112.vml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3.xml"/><Relationship Id="rId1" Type="http://schemas.openxmlformats.org/officeDocument/2006/relationships/vmlDrawing" Target="../drawings/vmlDrawing113.vml"/></Relationships>
</file>

<file path=xl/worksheets/_rels/sheet1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4.xml"/><Relationship Id="rId2" Type="http://schemas.openxmlformats.org/officeDocument/2006/relationships/vmlDrawing" Target="../drawings/vmlDrawing114.vml"/><Relationship Id="rId1" Type="http://schemas.openxmlformats.org/officeDocument/2006/relationships/printerSettings" Target="../printerSettings/printerSettings6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5.xml"/><Relationship Id="rId1" Type="http://schemas.openxmlformats.org/officeDocument/2006/relationships/vmlDrawing" Target="../drawings/vmlDrawing115.vml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6.xml"/><Relationship Id="rId1" Type="http://schemas.openxmlformats.org/officeDocument/2006/relationships/vmlDrawing" Target="../drawings/vmlDrawing116.vml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7.xml"/><Relationship Id="rId1" Type="http://schemas.openxmlformats.org/officeDocument/2006/relationships/vmlDrawing" Target="../drawings/vmlDrawing117.vml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8.xml"/><Relationship Id="rId1" Type="http://schemas.openxmlformats.org/officeDocument/2006/relationships/vmlDrawing" Target="../drawings/vmlDrawing118.vml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9.xml"/><Relationship Id="rId1" Type="http://schemas.openxmlformats.org/officeDocument/2006/relationships/vmlDrawing" Target="../drawings/vmlDrawing119.vml"/></Relationships>
</file>

<file path=xl/worksheets/_rels/sheet1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0.xml"/><Relationship Id="rId2" Type="http://schemas.openxmlformats.org/officeDocument/2006/relationships/vmlDrawing" Target="../drawings/vmlDrawing120.vml"/><Relationship Id="rId1" Type="http://schemas.openxmlformats.org/officeDocument/2006/relationships/printerSettings" Target="../printerSettings/printerSettings7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1.xml"/><Relationship Id="rId1" Type="http://schemas.openxmlformats.org/officeDocument/2006/relationships/vmlDrawing" Target="../drawings/vmlDrawing121.vml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2.xml"/><Relationship Id="rId1" Type="http://schemas.openxmlformats.org/officeDocument/2006/relationships/vmlDrawing" Target="../drawings/vmlDrawing122.vml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3.xml"/><Relationship Id="rId1" Type="http://schemas.openxmlformats.org/officeDocument/2006/relationships/vmlDrawing" Target="../drawings/vmlDrawing123.vml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4.xml"/><Relationship Id="rId1" Type="http://schemas.openxmlformats.org/officeDocument/2006/relationships/vmlDrawing" Target="../drawings/vmlDrawing124.vml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5.xml"/><Relationship Id="rId1" Type="http://schemas.openxmlformats.org/officeDocument/2006/relationships/vmlDrawing" Target="../drawings/vmlDrawing125.vml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6.xml"/><Relationship Id="rId1" Type="http://schemas.openxmlformats.org/officeDocument/2006/relationships/vmlDrawing" Target="../drawings/vmlDrawing126.vml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7.xml"/><Relationship Id="rId1" Type="http://schemas.openxmlformats.org/officeDocument/2006/relationships/vmlDrawing" Target="../drawings/vmlDrawing127.vml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8.xml"/><Relationship Id="rId1" Type="http://schemas.openxmlformats.org/officeDocument/2006/relationships/vmlDrawing" Target="../drawings/vmlDrawing128.vml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9.xml"/><Relationship Id="rId1" Type="http://schemas.openxmlformats.org/officeDocument/2006/relationships/vmlDrawing" Target="../drawings/vmlDrawing129.vml"/></Relationships>
</file>

<file path=xl/worksheets/_rels/sheet1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0.xml"/><Relationship Id="rId2" Type="http://schemas.openxmlformats.org/officeDocument/2006/relationships/vmlDrawing" Target="../drawings/vmlDrawing130.vml"/><Relationship Id="rId1" Type="http://schemas.openxmlformats.org/officeDocument/2006/relationships/printerSettings" Target="../printerSettings/printerSettings8.bin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1.xml"/><Relationship Id="rId1" Type="http://schemas.openxmlformats.org/officeDocument/2006/relationships/vmlDrawing" Target="../drawings/vmlDrawing131.vml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2.xml"/><Relationship Id="rId1" Type="http://schemas.openxmlformats.org/officeDocument/2006/relationships/vmlDrawing" Target="../drawings/vmlDrawing132.vml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3.xml"/><Relationship Id="rId1" Type="http://schemas.openxmlformats.org/officeDocument/2006/relationships/vmlDrawing" Target="../drawings/vmlDrawing133.vml"/></Relationships>
</file>

<file path=xl/worksheets/_rels/sheet1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4.xml"/><Relationship Id="rId2" Type="http://schemas.openxmlformats.org/officeDocument/2006/relationships/vmlDrawing" Target="../drawings/vmlDrawing134.vml"/><Relationship Id="rId1" Type="http://schemas.openxmlformats.org/officeDocument/2006/relationships/printerSettings" Target="../printerSettings/printerSettings9.bin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5.xml"/><Relationship Id="rId1" Type="http://schemas.openxmlformats.org/officeDocument/2006/relationships/vmlDrawing" Target="../drawings/vmlDrawing135.vml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6.xml"/><Relationship Id="rId1" Type="http://schemas.openxmlformats.org/officeDocument/2006/relationships/vmlDrawing" Target="../drawings/vmlDrawing136.vml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7.xml"/><Relationship Id="rId1" Type="http://schemas.openxmlformats.org/officeDocument/2006/relationships/vmlDrawing" Target="../drawings/vmlDrawing137.vml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8.xml"/><Relationship Id="rId1" Type="http://schemas.openxmlformats.org/officeDocument/2006/relationships/vmlDrawing" Target="../drawings/vmlDrawing138.vml"/></Relationships>
</file>

<file path=xl/worksheets/_rels/sheet1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9.xml"/><Relationship Id="rId1" Type="http://schemas.openxmlformats.org/officeDocument/2006/relationships/vmlDrawing" Target="../drawings/vmlDrawing139.vml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0.xml"/><Relationship Id="rId1" Type="http://schemas.openxmlformats.org/officeDocument/2006/relationships/vmlDrawing" Target="../drawings/vmlDrawing140.vml"/></Relationships>
</file>

<file path=xl/worksheets/_rels/sheet1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1.xml"/><Relationship Id="rId1" Type="http://schemas.openxmlformats.org/officeDocument/2006/relationships/vmlDrawing" Target="../drawings/vmlDrawing141.vml"/></Relationships>
</file>

<file path=xl/worksheets/_rels/sheet1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2.xml"/><Relationship Id="rId1" Type="http://schemas.openxmlformats.org/officeDocument/2006/relationships/vmlDrawing" Target="../drawings/vmlDrawing142.vml"/></Relationships>
</file>

<file path=xl/worksheets/_rels/sheet1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3.xml"/><Relationship Id="rId1" Type="http://schemas.openxmlformats.org/officeDocument/2006/relationships/vmlDrawing" Target="../drawings/vmlDrawing143.vml"/></Relationships>
</file>

<file path=xl/worksheets/_rels/sheet1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4.xml"/><Relationship Id="rId1" Type="http://schemas.openxmlformats.org/officeDocument/2006/relationships/vmlDrawing" Target="../drawings/vmlDrawing14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7BEF9-61EC-4ABF-BA04-A40270A4BFA4}">
  <dimension ref="A1:H1048576"/>
  <sheetViews>
    <sheetView topLeftCell="A211" zoomScale="115" zoomScaleNormal="115" workbookViewId="0">
      <selection activeCell="G225" sqref="G225"/>
    </sheetView>
  </sheetViews>
  <sheetFormatPr defaultRowHeight="14.5" x14ac:dyDescent="0.35"/>
  <cols>
    <col min="1" max="2" width="15.54296875" style="79" customWidth="1"/>
    <col min="3" max="6" width="15.54296875" style="23" customWidth="1"/>
    <col min="7" max="7" width="11.81640625" style="91" customWidth="1"/>
  </cols>
  <sheetData>
    <row r="1" spans="1:7" x14ac:dyDescent="0.35">
      <c r="A1" s="24" t="s">
        <v>60</v>
      </c>
      <c r="B1" s="24" t="s">
        <v>12</v>
      </c>
      <c r="C1" s="14" t="s">
        <v>15</v>
      </c>
      <c r="D1" s="14" t="s">
        <v>54</v>
      </c>
      <c r="E1" s="14" t="s">
        <v>61</v>
      </c>
      <c r="F1" s="14" t="s">
        <v>17</v>
      </c>
      <c r="G1" s="89" t="s">
        <v>63</v>
      </c>
    </row>
    <row r="2" spans="1:7" x14ac:dyDescent="0.35">
      <c r="A2" s="85">
        <v>46023</v>
      </c>
      <c r="B2" s="86">
        <v>4.36E-2</v>
      </c>
      <c r="C2" s="87">
        <v>3.1600000000000003E-2</v>
      </c>
      <c r="D2" s="87">
        <v>3.85E-2</v>
      </c>
      <c r="E2" s="87">
        <v>4.5400000000000003E-2</v>
      </c>
      <c r="F2" s="87">
        <v>4.4299999999999999E-2</v>
      </c>
      <c r="G2" s="88">
        <v>88728</v>
      </c>
    </row>
    <row r="3" spans="1:7" x14ac:dyDescent="0.35">
      <c r="A3" s="85">
        <v>46024</v>
      </c>
      <c r="B3" s="86">
        <v>4.4600000000000001E-2</v>
      </c>
      <c r="C3" s="87">
        <v>3.1600000000000003E-2</v>
      </c>
      <c r="D3" s="87">
        <v>3.9399999999999998E-2</v>
      </c>
      <c r="E3" s="87">
        <v>4.6199999999999998E-2</v>
      </c>
      <c r="F3" s="87">
        <v>4.36E-2</v>
      </c>
      <c r="G3" s="88">
        <v>89926</v>
      </c>
    </row>
    <row r="4" spans="1:7" x14ac:dyDescent="0.35">
      <c r="A4" s="85">
        <v>46025</v>
      </c>
      <c r="B4" s="86">
        <v>4.5900000000000003E-2</v>
      </c>
      <c r="C4" s="87">
        <v>3.1600000000000003E-2</v>
      </c>
      <c r="D4" s="87">
        <v>3.9699999999999999E-2</v>
      </c>
      <c r="E4" s="87">
        <v>4.7199999999999999E-2</v>
      </c>
      <c r="F4" s="87">
        <v>4.2700000000000002E-2</v>
      </c>
      <c r="G4" s="88">
        <v>90594</v>
      </c>
    </row>
    <row r="5" spans="1:7" x14ac:dyDescent="0.35">
      <c r="A5" s="85">
        <v>46026</v>
      </c>
      <c r="B5" s="86">
        <v>4.5900000000000003E-2</v>
      </c>
      <c r="C5" s="87">
        <v>3.1600000000000003E-2</v>
      </c>
      <c r="D5" s="87">
        <v>3.9600000000000003E-2</v>
      </c>
      <c r="E5" s="87">
        <v>4.7800000000000002E-2</v>
      </c>
      <c r="F5" s="87">
        <v>4.0399999999999998E-2</v>
      </c>
      <c r="G5" s="88">
        <v>91373</v>
      </c>
    </row>
    <row r="6" spans="1:7" x14ac:dyDescent="0.35">
      <c r="A6" s="85">
        <v>46027</v>
      </c>
      <c r="B6" s="86">
        <v>4.6199999999999998E-2</v>
      </c>
      <c r="C6" s="87">
        <v>3.1600000000000003E-2</v>
      </c>
      <c r="D6" s="87">
        <v>3.95E-2</v>
      </c>
      <c r="E6" s="87">
        <v>4.7899999999999998E-2</v>
      </c>
      <c r="F6" s="87">
        <v>4.8899999999999999E-2</v>
      </c>
      <c r="G6" s="88">
        <v>93927</v>
      </c>
    </row>
    <row r="7" spans="1:7" x14ac:dyDescent="0.35">
      <c r="A7" s="85">
        <v>46028</v>
      </c>
      <c r="B7" s="86">
        <v>4.58E-2</v>
      </c>
      <c r="C7" s="87">
        <v>3.1600000000000003E-2</v>
      </c>
      <c r="D7" s="87">
        <v>3.9699999999999999E-2</v>
      </c>
      <c r="E7" s="87">
        <v>4.7E-2</v>
      </c>
      <c r="F7" s="87">
        <v>5.0299999999999997E-2</v>
      </c>
      <c r="G7" s="88">
        <v>93667</v>
      </c>
    </row>
    <row r="8" spans="1:7" x14ac:dyDescent="0.35">
      <c r="A8" s="85">
        <v>46029</v>
      </c>
      <c r="B8" s="86">
        <v>4.5600000000000002E-2</v>
      </c>
      <c r="C8" s="87">
        <v>3.1600000000000003E-2</v>
      </c>
      <c r="D8" s="87">
        <v>3.9800000000000002E-2</v>
      </c>
      <c r="E8" s="87">
        <v>4.7500000000000001E-2</v>
      </c>
      <c r="F8" s="87">
        <v>5.1400000000000001E-2</v>
      </c>
      <c r="G8" s="88">
        <v>91257</v>
      </c>
    </row>
    <row r="9" spans="1:7" x14ac:dyDescent="0.35">
      <c r="A9" s="85">
        <v>46030</v>
      </c>
      <c r="B9" s="86">
        <v>4.6100000000000002E-2</v>
      </c>
      <c r="C9" s="87">
        <v>3.1600000000000003E-2</v>
      </c>
      <c r="D9" s="87">
        <v>3.8399999999999997E-2</v>
      </c>
      <c r="E9" s="87">
        <v>4.8000000000000001E-2</v>
      </c>
      <c r="F9" s="87">
        <v>5.0599999999999999E-2</v>
      </c>
      <c r="G9" s="88">
        <v>90984</v>
      </c>
    </row>
    <row r="10" spans="1:7" x14ac:dyDescent="0.35">
      <c r="A10" s="85">
        <v>46031</v>
      </c>
      <c r="B10" s="86">
        <v>4.6100000000000002E-2</v>
      </c>
      <c r="C10" s="87">
        <v>3.1600000000000003E-2</v>
      </c>
      <c r="D10" s="87">
        <v>3.73E-2</v>
      </c>
      <c r="E10" s="87">
        <v>4.8599999999999997E-2</v>
      </c>
      <c r="F10" s="87">
        <v>5.1700000000000003E-2</v>
      </c>
      <c r="G10" s="88">
        <v>90505</v>
      </c>
    </row>
    <row r="11" spans="1:7" x14ac:dyDescent="0.35">
      <c r="A11" s="85">
        <v>46032</v>
      </c>
      <c r="B11" s="86">
        <v>4.65E-2</v>
      </c>
      <c r="C11" s="87">
        <v>3.1600000000000003E-2</v>
      </c>
      <c r="D11" s="87">
        <v>3.7100000000000001E-2</v>
      </c>
      <c r="E11" s="87">
        <v>4.7500000000000001E-2</v>
      </c>
      <c r="F11" s="87">
        <v>5.1799999999999999E-2</v>
      </c>
      <c r="G11" s="88">
        <v>90442</v>
      </c>
    </row>
    <row r="12" spans="1:7" x14ac:dyDescent="0.35">
      <c r="A12" s="85">
        <v>46033</v>
      </c>
      <c r="B12" s="86">
        <v>4.6600000000000003E-2</v>
      </c>
      <c r="C12" s="87">
        <v>3.1600000000000003E-2</v>
      </c>
      <c r="D12" s="87">
        <v>3.73E-2</v>
      </c>
      <c r="E12" s="87">
        <v>4.8099999999999997E-2</v>
      </c>
      <c r="F12" s="87">
        <v>5.21E-2</v>
      </c>
      <c r="G12" s="88">
        <v>90819</v>
      </c>
    </row>
    <row r="13" spans="1:7" x14ac:dyDescent="0.35">
      <c r="A13" s="85">
        <v>46034</v>
      </c>
      <c r="B13" s="86">
        <v>4.7100000000000003E-2</v>
      </c>
      <c r="C13" s="87">
        <v>3.1600000000000003E-2</v>
      </c>
      <c r="D13" s="87">
        <v>3.8300000000000001E-2</v>
      </c>
      <c r="E13" s="87">
        <v>4.8899999999999999E-2</v>
      </c>
      <c r="F13" s="87">
        <v>5.2200000000000003E-2</v>
      </c>
      <c r="G13" s="88">
        <v>91135</v>
      </c>
    </row>
    <row r="14" spans="1:7" x14ac:dyDescent="0.35">
      <c r="A14" s="85">
        <v>46035</v>
      </c>
      <c r="B14" s="86">
        <v>4.6600000000000003E-2</v>
      </c>
      <c r="C14" s="87">
        <v>3.1600000000000003E-2</v>
      </c>
      <c r="D14" s="87">
        <v>3.8699999999999998E-2</v>
      </c>
      <c r="E14" s="87">
        <v>4.9200000000000001E-2</v>
      </c>
      <c r="F14" s="87">
        <v>5.0799999999999998E-2</v>
      </c>
      <c r="G14" s="88">
        <v>95260</v>
      </c>
    </row>
    <row r="15" spans="1:7" x14ac:dyDescent="0.35">
      <c r="A15" s="85">
        <v>46036</v>
      </c>
      <c r="B15" s="86">
        <v>4.9399999999999999E-2</v>
      </c>
      <c r="C15" s="87">
        <v>3.1600000000000003E-2</v>
      </c>
      <c r="D15" s="87">
        <v>4.2500000000000003E-2</v>
      </c>
      <c r="E15" s="87">
        <v>5.0200000000000002E-2</v>
      </c>
      <c r="F15" s="87">
        <v>4.7399999999999998E-2</v>
      </c>
      <c r="G15" s="88">
        <v>97008</v>
      </c>
    </row>
    <row r="16" spans="1:7" x14ac:dyDescent="0.35">
      <c r="A16" s="85">
        <v>46037</v>
      </c>
      <c r="B16" s="86">
        <v>4.99E-2</v>
      </c>
      <c r="C16" s="87">
        <v>3.1600000000000003E-2</v>
      </c>
      <c r="D16" s="87">
        <v>4.3900000000000002E-2</v>
      </c>
      <c r="E16" s="87">
        <v>5.11E-2</v>
      </c>
      <c r="F16" s="87">
        <v>5.3800000000000001E-2</v>
      </c>
      <c r="G16" s="88">
        <v>95585</v>
      </c>
    </row>
    <row r="17" spans="1:7" x14ac:dyDescent="0.35">
      <c r="A17" s="85">
        <v>46038</v>
      </c>
      <c r="B17" s="86">
        <v>4.9299999999999997E-2</v>
      </c>
      <c r="C17" s="87">
        <v>3.7499999999999999E-2</v>
      </c>
      <c r="D17" s="87">
        <v>5.3699999999999998E-2</v>
      </c>
      <c r="E17" s="87">
        <v>5.0999999999999997E-2</v>
      </c>
      <c r="F17" s="87">
        <v>5.8799999999999998E-2</v>
      </c>
      <c r="G17" s="88">
        <v>95516</v>
      </c>
    </row>
    <row r="18" spans="1:7" x14ac:dyDescent="0.35">
      <c r="A18" s="85">
        <v>46039</v>
      </c>
      <c r="B18" s="86">
        <v>4.7199999999999999E-2</v>
      </c>
      <c r="C18" s="87">
        <v>3.7499999999999999E-2</v>
      </c>
      <c r="D18" s="87">
        <v>5.1999999999999998E-2</v>
      </c>
      <c r="E18" s="87">
        <v>4.8899999999999999E-2</v>
      </c>
      <c r="F18" s="87">
        <v>5.7299999999999997E-2</v>
      </c>
      <c r="G18" s="88">
        <v>95100</v>
      </c>
    </row>
    <row r="19" spans="1:7" x14ac:dyDescent="0.35">
      <c r="A19" s="85">
        <v>46040</v>
      </c>
      <c r="B19" s="86">
        <v>4.5699999999999998E-2</v>
      </c>
      <c r="C19" s="87">
        <v>3.7499999999999999E-2</v>
      </c>
      <c r="D19" s="87">
        <v>5.0799999999999998E-2</v>
      </c>
      <c r="E19" s="87">
        <v>4.8300000000000003E-2</v>
      </c>
      <c r="F19" s="87">
        <v>5.6099999999999997E-2</v>
      </c>
      <c r="G19" s="88">
        <v>93753</v>
      </c>
    </row>
    <row r="20" spans="1:7" x14ac:dyDescent="0.35">
      <c r="A20" s="85">
        <v>46041</v>
      </c>
      <c r="B20" s="86">
        <v>4.53E-2</v>
      </c>
      <c r="C20" s="87">
        <v>3.7499999999999999E-2</v>
      </c>
      <c r="D20" s="87">
        <v>4.9700000000000001E-2</v>
      </c>
      <c r="E20" s="87">
        <v>4.7199999999999999E-2</v>
      </c>
      <c r="F20" s="87">
        <v>5.6000000000000001E-2</v>
      </c>
      <c r="G20" s="88">
        <v>92558</v>
      </c>
    </row>
    <row r="21" spans="1:7" x14ac:dyDescent="0.35">
      <c r="A21" s="85">
        <v>46042</v>
      </c>
      <c r="B21" s="86">
        <v>4.4200000000000003E-2</v>
      </c>
      <c r="C21" s="87">
        <v>3.7499999999999999E-2</v>
      </c>
      <c r="D21" s="87">
        <v>4.8599999999999997E-2</v>
      </c>
      <c r="E21" s="87">
        <v>4.6100000000000002E-2</v>
      </c>
      <c r="F21" s="87">
        <v>5.5899999999999998E-2</v>
      </c>
      <c r="G21" s="88">
        <v>88313</v>
      </c>
    </row>
    <row r="22" spans="1:7" x14ac:dyDescent="0.35">
      <c r="A22" s="85">
        <v>46043</v>
      </c>
      <c r="B22" s="86">
        <v>4.4699999999999997E-2</v>
      </c>
      <c r="C22" s="87">
        <v>3.7499999999999999E-2</v>
      </c>
      <c r="D22" s="87">
        <v>4.9099999999999998E-2</v>
      </c>
      <c r="E22" s="87">
        <v>4.6699999999999998E-2</v>
      </c>
      <c r="F22" s="87">
        <v>5.91E-2</v>
      </c>
      <c r="G22" s="88">
        <v>89354</v>
      </c>
    </row>
    <row r="23" spans="1:7" x14ac:dyDescent="0.35">
      <c r="A23" s="85">
        <v>46044</v>
      </c>
      <c r="B23" s="86">
        <v>4.41E-2</v>
      </c>
      <c r="C23" s="87">
        <v>3.7499999999999999E-2</v>
      </c>
      <c r="D23" s="87">
        <v>4.9000000000000002E-2</v>
      </c>
      <c r="E23" s="87">
        <v>4.6600000000000003E-2</v>
      </c>
      <c r="F23" s="87">
        <v>5.8099999999999999E-2</v>
      </c>
      <c r="G23" s="88">
        <v>89443</v>
      </c>
    </row>
    <row r="24" spans="1:7" x14ac:dyDescent="0.35">
      <c r="A24" s="85">
        <v>46045</v>
      </c>
      <c r="B24" s="86">
        <v>4.4299999999999999E-2</v>
      </c>
      <c r="C24" s="87">
        <v>3.7499999999999999E-2</v>
      </c>
      <c r="D24" s="87">
        <v>4.8399999999999999E-2</v>
      </c>
      <c r="E24" s="87">
        <v>4.6100000000000002E-2</v>
      </c>
      <c r="F24" s="87">
        <v>5.8299999999999998E-2</v>
      </c>
      <c r="G24" s="88">
        <v>89412</v>
      </c>
    </row>
    <row r="25" spans="1:7" x14ac:dyDescent="0.35">
      <c r="A25" s="85">
        <v>46046</v>
      </c>
      <c r="B25" s="86">
        <v>4.5400000000000003E-2</v>
      </c>
      <c r="C25" s="87">
        <v>3.7499999999999999E-2</v>
      </c>
      <c r="D25" s="87">
        <v>4.9000000000000002E-2</v>
      </c>
      <c r="E25" s="87">
        <v>4.7100000000000003E-2</v>
      </c>
      <c r="F25" s="87">
        <v>5.7200000000000001E-2</v>
      </c>
      <c r="G25" s="88">
        <v>89171</v>
      </c>
    </row>
    <row r="26" spans="1:7" x14ac:dyDescent="0.35">
      <c r="A26" s="85">
        <v>46047</v>
      </c>
      <c r="B26" s="86">
        <v>4.5999999999999999E-2</v>
      </c>
      <c r="C26" s="87">
        <v>3.7499999999999999E-2</v>
      </c>
      <c r="D26" s="87">
        <v>5.0500000000000003E-2</v>
      </c>
      <c r="E26" s="87">
        <v>4.8000000000000001E-2</v>
      </c>
      <c r="F26" s="87">
        <v>5.6800000000000003E-2</v>
      </c>
      <c r="G26" s="88">
        <v>86548</v>
      </c>
    </row>
    <row r="27" spans="1:7" x14ac:dyDescent="0.35">
      <c r="A27" s="85">
        <v>46048</v>
      </c>
      <c r="B27" s="86">
        <v>4.58E-2</v>
      </c>
      <c r="C27" s="87">
        <v>3.7499999999999999E-2</v>
      </c>
      <c r="D27" s="87">
        <v>5.0299999999999997E-2</v>
      </c>
      <c r="E27" s="87">
        <v>4.7699999999999999E-2</v>
      </c>
      <c r="F27" s="87">
        <v>5.7700000000000001E-2</v>
      </c>
      <c r="G27" s="88">
        <v>88308</v>
      </c>
    </row>
    <row r="28" spans="1:7" x14ac:dyDescent="0.35">
      <c r="A28" s="85">
        <v>46049</v>
      </c>
      <c r="B28" s="86">
        <v>4.65E-2</v>
      </c>
      <c r="C28" s="87">
        <v>3.7499999999999999E-2</v>
      </c>
      <c r="D28" s="87">
        <v>5.0900000000000001E-2</v>
      </c>
      <c r="E28" s="87">
        <v>4.8399999999999999E-2</v>
      </c>
      <c r="F28" s="87">
        <v>5.0500000000000003E-2</v>
      </c>
      <c r="G28" s="88">
        <v>89204</v>
      </c>
    </row>
    <row r="29" spans="1:7" x14ac:dyDescent="0.35">
      <c r="A29" s="85">
        <v>46050</v>
      </c>
      <c r="B29" s="86">
        <v>4.7E-2</v>
      </c>
      <c r="C29" s="87">
        <v>3.7499999999999999E-2</v>
      </c>
      <c r="D29" s="87">
        <v>5.0900000000000001E-2</v>
      </c>
      <c r="E29" s="87">
        <v>4.8399999999999999E-2</v>
      </c>
      <c r="F29" s="87">
        <v>5.5399999999999998E-2</v>
      </c>
      <c r="G29" s="88">
        <v>89162</v>
      </c>
    </row>
    <row r="30" spans="1:7" x14ac:dyDescent="0.35">
      <c r="A30" s="85">
        <v>46051</v>
      </c>
      <c r="B30" s="86">
        <v>4.8099999999999997E-2</v>
      </c>
      <c r="C30" s="87">
        <v>3.7499999999999999E-2</v>
      </c>
      <c r="D30" s="87">
        <v>5.21E-2</v>
      </c>
      <c r="E30" s="87">
        <v>4.99E-2</v>
      </c>
      <c r="F30" s="87">
        <v>5.5399999999999998E-2</v>
      </c>
      <c r="G30" s="88">
        <v>84570</v>
      </c>
    </row>
    <row r="31" spans="1:7" x14ac:dyDescent="0.35">
      <c r="A31" s="85">
        <v>46052</v>
      </c>
      <c r="B31" s="86">
        <v>4.6699999999999998E-2</v>
      </c>
      <c r="C31" s="87">
        <v>3.7499999999999999E-2</v>
      </c>
      <c r="D31" s="87">
        <v>5.1999999999999998E-2</v>
      </c>
      <c r="E31" s="87">
        <v>4.8800000000000003E-2</v>
      </c>
      <c r="F31" s="87">
        <v>5.3999999999999999E-2</v>
      </c>
      <c r="G31" s="88">
        <v>84142</v>
      </c>
    </row>
    <row r="32" spans="1:7" x14ac:dyDescent="0.35">
      <c r="A32" s="85">
        <v>46053</v>
      </c>
      <c r="B32" s="86">
        <v>4.4699999999999997E-2</v>
      </c>
      <c r="C32" s="87">
        <v>3.7499999999999999E-2</v>
      </c>
      <c r="D32" s="87">
        <v>4.8899999999999999E-2</v>
      </c>
      <c r="E32" s="87">
        <v>4.65E-2</v>
      </c>
      <c r="F32" s="87">
        <v>5.3499999999999999E-2</v>
      </c>
      <c r="G32" s="88">
        <v>78726</v>
      </c>
    </row>
    <row r="33" spans="1:7" x14ac:dyDescent="0.35">
      <c r="A33" s="80">
        <v>46054.125</v>
      </c>
      <c r="B33" s="86">
        <v>4.4400000000000002E-2</v>
      </c>
      <c r="C33" s="22">
        <v>3.7499999999999999E-2</v>
      </c>
      <c r="D33" s="22">
        <v>4.99E-2</v>
      </c>
      <c r="E33" s="22">
        <v>4.6899999999999997E-2</v>
      </c>
      <c r="F33" s="22">
        <v>5.0500000000000003E-2</v>
      </c>
      <c r="G33" s="88">
        <v>76937</v>
      </c>
    </row>
    <row r="34" spans="1:7" x14ac:dyDescent="0.35">
      <c r="A34" s="80">
        <v>46055.125</v>
      </c>
      <c r="B34" s="81">
        <v>4.2599999999999999E-2</v>
      </c>
      <c r="C34" s="22">
        <v>3.7499999999999999E-2</v>
      </c>
      <c r="D34" s="22">
        <v>4.7300000000000002E-2</v>
      </c>
      <c r="E34" s="22">
        <v>4.4900000000000002E-2</v>
      </c>
      <c r="F34" s="22">
        <v>5.0799999999999998E-2</v>
      </c>
      <c r="G34" s="88">
        <v>78768</v>
      </c>
    </row>
    <row r="35" spans="1:7" x14ac:dyDescent="0.35">
      <c r="A35" s="80">
        <v>46056.125</v>
      </c>
      <c r="B35" s="81">
        <v>4.1399999999999999E-2</v>
      </c>
      <c r="C35" s="22">
        <v>3.7499999999999999E-2</v>
      </c>
      <c r="D35" s="22">
        <v>4.5499999999999999E-2</v>
      </c>
      <c r="E35" s="22">
        <v>4.3200000000000002E-2</v>
      </c>
      <c r="F35" s="22">
        <v>4.9799999999999997E-2</v>
      </c>
      <c r="G35" s="88">
        <v>75639</v>
      </c>
    </row>
    <row r="36" spans="1:7" x14ac:dyDescent="0.35">
      <c r="A36" s="80">
        <v>46057.125</v>
      </c>
      <c r="B36" s="81">
        <v>3.7999999999999999E-2</v>
      </c>
      <c r="C36" s="22">
        <v>3.7499999999999999E-2</v>
      </c>
      <c r="D36" s="22">
        <v>4.2299999999999997E-2</v>
      </c>
      <c r="E36" s="22">
        <v>4.0099999999999997E-2</v>
      </c>
      <c r="F36" s="22">
        <v>4.7899999999999998E-2</v>
      </c>
      <c r="G36" s="88">
        <v>73172</v>
      </c>
    </row>
    <row r="37" spans="1:7" x14ac:dyDescent="0.35">
      <c r="A37" s="80">
        <v>46058.125</v>
      </c>
      <c r="B37" s="81">
        <v>3.85E-2</v>
      </c>
      <c r="C37" s="22">
        <v>3.4599999999999999E-2</v>
      </c>
      <c r="D37" s="22">
        <v>4.2099999999999999E-2</v>
      </c>
      <c r="E37" s="22">
        <v>0.04</v>
      </c>
      <c r="F37" s="22">
        <v>4.7500000000000001E-2</v>
      </c>
      <c r="G37" s="88">
        <v>62854</v>
      </c>
    </row>
    <row r="38" spans="1:7" x14ac:dyDescent="0.35">
      <c r="A38" s="80">
        <v>46059.125</v>
      </c>
      <c r="B38" s="81">
        <v>3.8399999999999997E-2</v>
      </c>
      <c r="C38" s="22">
        <v>3.4599999999999999E-2</v>
      </c>
      <c r="D38" s="22">
        <v>4.2700000000000002E-2</v>
      </c>
      <c r="E38" s="22">
        <v>4.0500000000000001E-2</v>
      </c>
      <c r="F38" s="22">
        <v>4.24E-2</v>
      </c>
      <c r="G38" s="88">
        <v>70524</v>
      </c>
    </row>
    <row r="39" spans="1:7" x14ac:dyDescent="0.35">
      <c r="A39" s="80">
        <v>46060.125</v>
      </c>
      <c r="B39" s="81">
        <v>3.7600000000000001E-2</v>
      </c>
      <c r="C39" s="22">
        <v>3.4599999999999999E-2</v>
      </c>
      <c r="D39" s="22">
        <v>4.1700000000000001E-2</v>
      </c>
      <c r="E39" s="22">
        <v>3.9600000000000003E-2</v>
      </c>
      <c r="F39" s="22">
        <v>4.5699999999999998E-2</v>
      </c>
      <c r="G39" s="88">
        <v>69297</v>
      </c>
    </row>
    <row r="40" spans="1:7" x14ac:dyDescent="0.35">
      <c r="A40" s="80">
        <v>46061.125</v>
      </c>
      <c r="B40" s="81">
        <v>3.7600000000000001E-2</v>
      </c>
      <c r="C40" s="22">
        <v>3.4599999999999999E-2</v>
      </c>
      <c r="D40" s="22">
        <v>4.1700000000000001E-2</v>
      </c>
      <c r="E40" s="22">
        <v>3.9600000000000003E-2</v>
      </c>
      <c r="F40" s="22">
        <v>4.4999999999999998E-2</v>
      </c>
      <c r="G40" s="88">
        <v>70542</v>
      </c>
    </row>
    <row r="41" spans="1:7" x14ac:dyDescent="0.35">
      <c r="A41" s="80">
        <v>46062.125</v>
      </c>
      <c r="B41" s="81">
        <v>3.5499999999999997E-2</v>
      </c>
      <c r="C41" s="22">
        <v>3.4599999999999999E-2</v>
      </c>
      <c r="D41" s="22">
        <v>3.8800000000000001E-2</v>
      </c>
      <c r="E41" s="22">
        <v>3.6999999999999998E-2</v>
      </c>
      <c r="F41" s="22">
        <v>4.4200000000000003E-2</v>
      </c>
      <c r="G41" s="88">
        <v>70096</v>
      </c>
    </row>
    <row r="42" spans="1:7" x14ac:dyDescent="0.35">
      <c r="A42" s="80">
        <v>46063.125</v>
      </c>
      <c r="B42" s="81">
        <v>3.5499999999999997E-2</v>
      </c>
      <c r="C42" s="22">
        <v>3.4599999999999999E-2</v>
      </c>
      <c r="D42" s="22">
        <v>3.8800000000000001E-2</v>
      </c>
      <c r="E42" s="22">
        <v>3.6700000000000003E-2</v>
      </c>
      <c r="F42" s="22">
        <v>4.0300000000000002E-2</v>
      </c>
      <c r="G42" s="88">
        <v>68780</v>
      </c>
    </row>
    <row r="43" spans="1:7" x14ac:dyDescent="0.35">
      <c r="A43" s="80">
        <v>46064.125</v>
      </c>
      <c r="B43" s="81">
        <v>3.3300000000000003E-2</v>
      </c>
      <c r="C43" s="22">
        <v>3.4599999999999999E-2</v>
      </c>
      <c r="D43" s="22">
        <v>3.6900000000000002E-2</v>
      </c>
      <c r="E43" s="22">
        <v>3.5200000000000002E-2</v>
      </c>
      <c r="F43" s="22">
        <v>4.0899999999999999E-2</v>
      </c>
      <c r="G43" s="88">
        <v>66938</v>
      </c>
    </row>
    <row r="44" spans="1:7" x14ac:dyDescent="0.35">
      <c r="A44" s="80">
        <v>46065.125</v>
      </c>
      <c r="B44" s="81">
        <v>3.49E-2</v>
      </c>
      <c r="C44" s="22">
        <v>3.4599999999999999E-2</v>
      </c>
      <c r="D44" s="22">
        <v>3.8399999999999997E-2</v>
      </c>
      <c r="E44" s="22">
        <v>3.6499999999999998E-2</v>
      </c>
      <c r="F44" s="22">
        <v>4.07E-2</v>
      </c>
      <c r="G44" s="88">
        <v>66185</v>
      </c>
    </row>
    <row r="45" spans="1:7" x14ac:dyDescent="0.35">
      <c r="A45" s="80">
        <v>46066.125</v>
      </c>
      <c r="B45" s="81">
        <v>3.44E-2</v>
      </c>
      <c r="C45" s="22">
        <v>2.9600000000000001E-2</v>
      </c>
      <c r="D45" s="22">
        <v>3.8300000000000001E-2</v>
      </c>
      <c r="E45" s="22">
        <v>3.6400000000000002E-2</v>
      </c>
      <c r="F45" s="22">
        <v>4.0800000000000003E-2</v>
      </c>
      <c r="G45" s="88">
        <v>68839</v>
      </c>
    </row>
    <row r="46" spans="1:7" x14ac:dyDescent="0.35">
      <c r="A46" s="80">
        <v>46067.125</v>
      </c>
      <c r="B46" s="81">
        <v>3.49E-2</v>
      </c>
      <c r="C46" s="22">
        <v>2.9600000000000001E-2</v>
      </c>
      <c r="D46" s="22">
        <v>3.8800000000000001E-2</v>
      </c>
      <c r="E46" s="22">
        <v>3.6700000000000003E-2</v>
      </c>
      <c r="F46" s="22">
        <v>4.0899999999999999E-2</v>
      </c>
      <c r="G46" s="88">
        <v>69766</v>
      </c>
    </row>
    <row r="47" spans="1:7" x14ac:dyDescent="0.35">
      <c r="A47" s="80">
        <v>46068.125</v>
      </c>
      <c r="B47" s="81">
        <v>3.4799999999999998E-2</v>
      </c>
      <c r="C47" s="22">
        <v>2.9600000000000001E-2</v>
      </c>
      <c r="D47" s="22">
        <v>3.8699999999999998E-2</v>
      </c>
      <c r="E47" s="22">
        <v>3.6600000000000001E-2</v>
      </c>
      <c r="F47" s="22">
        <v>4.07E-2</v>
      </c>
      <c r="G47" s="88">
        <v>68717</v>
      </c>
    </row>
    <row r="48" spans="1:7" x14ac:dyDescent="0.35">
      <c r="A48" s="80">
        <v>46069.125</v>
      </c>
      <c r="B48" s="81">
        <v>3.5700000000000003E-2</v>
      </c>
      <c r="C48" s="22">
        <v>2.9600000000000001E-2</v>
      </c>
      <c r="D48" s="22">
        <v>3.9100000000000003E-2</v>
      </c>
      <c r="E48" s="22">
        <v>3.7199999999999997E-2</v>
      </c>
      <c r="F48" s="22">
        <v>4.0899999999999999E-2</v>
      </c>
      <c r="G48" s="88">
        <v>68908</v>
      </c>
    </row>
    <row r="49" spans="1:8" x14ac:dyDescent="0.35">
      <c r="A49" s="80">
        <v>46070.125</v>
      </c>
      <c r="B49" s="81">
        <v>3.5000000000000003E-2</v>
      </c>
      <c r="C49" s="22">
        <v>2.9600000000000001E-2</v>
      </c>
      <c r="D49" s="22">
        <v>3.8899999999999997E-2</v>
      </c>
      <c r="E49" s="22">
        <v>3.7100000000000001E-2</v>
      </c>
      <c r="F49" s="22">
        <v>4.0500000000000001E-2</v>
      </c>
      <c r="G49" s="88">
        <v>67489</v>
      </c>
    </row>
    <row r="50" spans="1:8" x14ac:dyDescent="0.35">
      <c r="A50" s="80">
        <v>46071.125</v>
      </c>
      <c r="B50" s="81">
        <v>3.44E-2</v>
      </c>
      <c r="C50" s="22">
        <v>2.9600000000000001E-2</v>
      </c>
      <c r="D50" s="22">
        <v>3.8199999999999998E-2</v>
      </c>
      <c r="E50" s="22">
        <v>3.6299999999999999E-2</v>
      </c>
      <c r="F50" s="22">
        <v>4.1200000000000001E-2</v>
      </c>
      <c r="G50" s="88">
        <v>66456</v>
      </c>
    </row>
    <row r="51" spans="1:8" x14ac:dyDescent="0.35">
      <c r="A51" s="80">
        <v>46072.125</v>
      </c>
      <c r="B51" s="81">
        <v>3.4200000000000001E-2</v>
      </c>
      <c r="C51" s="22">
        <v>2.9600000000000001E-2</v>
      </c>
      <c r="D51" s="22">
        <v>3.7999999999999999E-2</v>
      </c>
      <c r="E51" s="22">
        <v>3.5999999999999997E-2</v>
      </c>
      <c r="F51" s="22">
        <v>4.1700000000000001E-2</v>
      </c>
      <c r="G51" s="88">
        <v>66919</v>
      </c>
    </row>
    <row r="52" spans="1:8" x14ac:dyDescent="0.35">
      <c r="A52" s="80">
        <v>46073.125</v>
      </c>
      <c r="B52" s="81">
        <v>3.3799999999999997E-2</v>
      </c>
      <c r="C52" s="22">
        <v>2.9600000000000001E-2</v>
      </c>
      <c r="D52" s="22">
        <v>3.7499999999999999E-2</v>
      </c>
      <c r="E52" s="22">
        <v>3.5700000000000003E-2</v>
      </c>
      <c r="F52" s="22">
        <v>4.2500000000000003E-2</v>
      </c>
      <c r="G52" s="88">
        <v>67970</v>
      </c>
    </row>
    <row r="53" spans="1:8" x14ac:dyDescent="0.35">
      <c r="A53" s="80">
        <v>46074.125</v>
      </c>
      <c r="B53" s="81">
        <v>3.3599999999999998E-2</v>
      </c>
      <c r="C53" s="22">
        <v>2.9600000000000001E-2</v>
      </c>
      <c r="D53" s="22">
        <v>3.6900000000000002E-2</v>
      </c>
      <c r="E53" s="22">
        <v>3.5099999999999999E-2</v>
      </c>
      <c r="F53" s="22">
        <v>4.2700000000000002E-2</v>
      </c>
      <c r="G53" s="88">
        <v>67978</v>
      </c>
    </row>
    <row r="54" spans="1:8" x14ac:dyDescent="0.35">
      <c r="A54" s="80">
        <v>46075.125</v>
      </c>
      <c r="B54" s="81">
        <v>3.1899999999999998E-2</v>
      </c>
      <c r="C54" s="22">
        <v>2.9600000000000001E-2</v>
      </c>
      <c r="D54" s="22">
        <v>3.5400000000000001E-2</v>
      </c>
      <c r="E54" s="22">
        <v>3.3700000000000001E-2</v>
      </c>
      <c r="F54" s="22">
        <v>3.7199999999999997E-2</v>
      </c>
      <c r="G54" s="88">
        <v>67585</v>
      </c>
    </row>
    <row r="55" spans="1:8" x14ac:dyDescent="0.35">
      <c r="A55" s="80">
        <v>46076.125</v>
      </c>
      <c r="B55" s="81">
        <v>3.1199999999999999E-2</v>
      </c>
      <c r="C55" s="22">
        <v>2.9600000000000001E-2</v>
      </c>
      <c r="D55" s="22">
        <v>3.4200000000000001E-2</v>
      </c>
      <c r="E55" s="22">
        <v>3.2399999999999998E-2</v>
      </c>
      <c r="F55" s="22">
        <v>3.6700000000000003E-2</v>
      </c>
      <c r="G55" s="88">
        <v>64578</v>
      </c>
    </row>
    <row r="56" spans="1:8" x14ac:dyDescent="0.35">
      <c r="A56" s="80">
        <v>46077.125</v>
      </c>
      <c r="B56" s="81">
        <v>3.1600000000000003E-2</v>
      </c>
      <c r="C56" s="22">
        <v>2.9600000000000001E-2</v>
      </c>
      <c r="D56" s="22">
        <v>3.5099999999999999E-2</v>
      </c>
      <c r="E56" s="22">
        <v>3.3399999999999999E-2</v>
      </c>
      <c r="F56" s="22">
        <v>3.6900000000000002E-2</v>
      </c>
      <c r="G56" s="88">
        <v>64074</v>
      </c>
    </row>
    <row r="57" spans="1:8" x14ac:dyDescent="0.35">
      <c r="A57" s="80">
        <v>46078.125</v>
      </c>
      <c r="B57" s="81">
        <v>3.0599999999999999E-2</v>
      </c>
      <c r="C57" s="22">
        <v>2.9600000000000001E-2</v>
      </c>
      <c r="D57" s="22">
        <v>3.4000000000000002E-2</v>
      </c>
      <c r="E57" s="22">
        <v>3.2300000000000002E-2</v>
      </c>
      <c r="F57" s="22">
        <v>3.6799999999999999E-2</v>
      </c>
      <c r="G57" s="88">
        <v>67947</v>
      </c>
    </row>
    <row r="58" spans="1:8" x14ac:dyDescent="0.35">
      <c r="A58" s="80">
        <v>46079.125</v>
      </c>
      <c r="B58" s="81">
        <v>3.1099999999999999E-2</v>
      </c>
      <c r="C58" s="22">
        <v>2.47E-2</v>
      </c>
      <c r="D58" s="22">
        <v>3.4599999999999999E-2</v>
      </c>
      <c r="E58" s="22">
        <v>3.2800000000000003E-2</v>
      </c>
      <c r="F58" s="22">
        <v>3.5900000000000001E-2</v>
      </c>
      <c r="G58" s="88">
        <v>67469</v>
      </c>
    </row>
    <row r="59" spans="1:8" x14ac:dyDescent="0.35">
      <c r="A59" s="80">
        <v>46080.125</v>
      </c>
      <c r="B59" s="81">
        <v>3.2000000000000001E-2</v>
      </c>
      <c r="C59" s="22">
        <v>2.47E-2</v>
      </c>
      <c r="D59" s="22">
        <v>3.56E-2</v>
      </c>
      <c r="E59" s="22">
        <v>3.3799999999999997E-2</v>
      </c>
      <c r="F59" s="22">
        <v>3.61E-2</v>
      </c>
      <c r="G59" s="88">
        <v>65884</v>
      </c>
    </row>
    <row r="60" spans="1:8" x14ac:dyDescent="0.35">
      <c r="A60" s="80">
        <v>46081.125</v>
      </c>
      <c r="B60" s="81">
        <v>3.1399999999999997E-2</v>
      </c>
      <c r="C60" s="22">
        <v>2.47E-2</v>
      </c>
      <c r="D60" s="22">
        <v>3.49E-2</v>
      </c>
      <c r="E60" s="22">
        <v>3.32E-2</v>
      </c>
      <c r="F60" s="22">
        <v>3.56E-2</v>
      </c>
      <c r="G60" s="88">
        <v>67008</v>
      </c>
    </row>
    <row r="61" spans="1:8" x14ac:dyDescent="0.35">
      <c r="A61" s="80">
        <v>46082.125</v>
      </c>
      <c r="B61" s="81">
        <v>3.1399999999999997E-2</v>
      </c>
      <c r="C61" s="22">
        <v>2.47E-2</v>
      </c>
      <c r="D61" s="22">
        <v>3.49E-2</v>
      </c>
      <c r="E61" s="22">
        <v>3.32E-2</v>
      </c>
      <c r="F61" s="22">
        <v>3.56E-2</v>
      </c>
      <c r="G61" s="88">
        <v>65713</v>
      </c>
    </row>
    <row r="62" spans="1:8" x14ac:dyDescent="0.35">
      <c r="A62" s="80">
        <v>46083.125</v>
      </c>
      <c r="B62" s="81">
        <v>3.1E-2</v>
      </c>
      <c r="C62" s="22">
        <v>2.47E-2</v>
      </c>
      <c r="D62" s="22">
        <v>3.44E-2</v>
      </c>
      <c r="E62" s="22">
        <v>3.27E-2</v>
      </c>
      <c r="F62" s="22">
        <v>3.5000000000000003E-2</v>
      </c>
      <c r="G62" s="88">
        <v>68864</v>
      </c>
    </row>
    <row r="63" spans="1:8" x14ac:dyDescent="0.35">
      <c r="A63" s="80">
        <v>46084.125</v>
      </c>
      <c r="B63" s="81">
        <v>3.2000000000000001E-2</v>
      </c>
      <c r="C63" s="22">
        <v>2.47E-2</v>
      </c>
      <c r="D63" s="22">
        <v>3.49E-2</v>
      </c>
      <c r="E63" s="22">
        <v>3.2800000000000003E-2</v>
      </c>
      <c r="F63" s="22">
        <v>3.6499999999999998E-2</v>
      </c>
      <c r="G63" s="88">
        <v>68322</v>
      </c>
      <c r="H63" s="46"/>
    </row>
    <row r="64" spans="1:8" x14ac:dyDescent="0.35">
      <c r="A64" s="80">
        <v>46085.125</v>
      </c>
      <c r="B64" s="81">
        <v>3.1600000000000003E-2</v>
      </c>
      <c r="C64" s="22">
        <v>2.47E-2</v>
      </c>
      <c r="D64" s="22">
        <v>3.5099999999999999E-2</v>
      </c>
      <c r="E64" s="22">
        <v>3.3000000000000002E-2</v>
      </c>
      <c r="F64" s="22">
        <v>3.5900000000000001E-2</v>
      </c>
      <c r="G64" s="88">
        <v>72670</v>
      </c>
    </row>
    <row r="65" spans="1:7" x14ac:dyDescent="0.35">
      <c r="A65" s="80">
        <v>46086.125</v>
      </c>
      <c r="B65" s="81">
        <v>3.1600000000000003E-2</v>
      </c>
      <c r="C65" s="22">
        <v>2.47E-2</v>
      </c>
      <c r="D65" s="22">
        <v>3.5000000000000003E-2</v>
      </c>
      <c r="E65" s="22">
        <v>3.2899999999999999E-2</v>
      </c>
      <c r="F65" s="22">
        <v>3.49E-2</v>
      </c>
      <c r="G65" s="88">
        <v>70875</v>
      </c>
    </row>
    <row r="66" spans="1:7" x14ac:dyDescent="0.35">
      <c r="A66" s="80">
        <v>46087.125</v>
      </c>
      <c r="B66" s="81">
        <v>3.2099999999999997E-2</v>
      </c>
      <c r="C66" s="22">
        <v>2.47E-2</v>
      </c>
      <c r="D66" s="22">
        <v>3.5200000000000002E-2</v>
      </c>
      <c r="E66" s="22">
        <v>3.3099999999999997E-2</v>
      </c>
      <c r="F66" s="22">
        <v>3.85E-2</v>
      </c>
      <c r="G66" s="88">
        <v>68148</v>
      </c>
    </row>
    <row r="67" spans="1:7" x14ac:dyDescent="0.35">
      <c r="A67" s="80">
        <v>46088.125</v>
      </c>
      <c r="B67" s="81">
        <v>3.1300000000000001E-2</v>
      </c>
      <c r="C67" s="22">
        <v>2.47E-2</v>
      </c>
      <c r="D67" s="22">
        <v>3.4700000000000002E-2</v>
      </c>
      <c r="E67" s="22">
        <v>3.2899999999999999E-2</v>
      </c>
      <c r="F67" s="22">
        <v>3.85E-2</v>
      </c>
      <c r="G67" s="88">
        <v>67271</v>
      </c>
    </row>
    <row r="68" spans="1:7" x14ac:dyDescent="0.35">
      <c r="A68" s="80">
        <v>46089.125</v>
      </c>
      <c r="B68" s="81">
        <v>3.04E-2</v>
      </c>
      <c r="C68" s="22">
        <v>2.47E-2</v>
      </c>
      <c r="D68" s="22">
        <v>3.3399999999999999E-2</v>
      </c>
      <c r="E68" s="22">
        <v>3.1800000000000002E-2</v>
      </c>
      <c r="F68" s="22">
        <v>3.8199999999999998E-2</v>
      </c>
      <c r="G68" s="88">
        <v>66036</v>
      </c>
    </row>
    <row r="69" spans="1:7" x14ac:dyDescent="0.35">
      <c r="A69" s="80">
        <v>46090.125</v>
      </c>
      <c r="B69" s="81">
        <v>3.0499999999999999E-2</v>
      </c>
      <c r="C69" s="22">
        <v>2.47E-2</v>
      </c>
      <c r="D69" s="22">
        <v>3.3399999999999999E-2</v>
      </c>
      <c r="E69" s="22">
        <v>3.1800000000000002E-2</v>
      </c>
      <c r="F69" s="22">
        <v>3.8199999999999998E-2</v>
      </c>
      <c r="G69" s="88">
        <v>68459</v>
      </c>
    </row>
    <row r="70" spans="1:7" x14ac:dyDescent="0.35">
      <c r="A70" s="80">
        <v>46091.125</v>
      </c>
      <c r="B70" s="81">
        <v>3.0300000000000001E-2</v>
      </c>
      <c r="C70" s="22">
        <v>2.47E-2</v>
      </c>
      <c r="D70" s="22">
        <v>3.32E-2</v>
      </c>
      <c r="E70" s="22">
        <v>3.1600000000000003E-2</v>
      </c>
      <c r="F70" s="22">
        <v>3.8300000000000001E-2</v>
      </c>
      <c r="G70" s="88">
        <v>69883</v>
      </c>
    </row>
    <row r="71" spans="1:7" x14ac:dyDescent="0.35">
      <c r="A71" s="80">
        <v>46092.125</v>
      </c>
      <c r="B71" s="81">
        <v>3.0800000000000001E-2</v>
      </c>
      <c r="C71" s="22">
        <v>2.47E-2</v>
      </c>
      <c r="D71" s="22">
        <v>3.4200000000000001E-2</v>
      </c>
      <c r="E71" s="22">
        <v>3.2399999999999998E-2</v>
      </c>
      <c r="F71" s="22">
        <v>3.7400000000000003E-2</v>
      </c>
      <c r="G71" s="88">
        <v>70227</v>
      </c>
    </row>
    <row r="72" spans="1:7" x14ac:dyDescent="0.35">
      <c r="A72" s="80">
        <v>46093.125</v>
      </c>
      <c r="B72" s="81">
        <v>3.09E-2</v>
      </c>
      <c r="C72" s="22">
        <v>2.47E-2</v>
      </c>
      <c r="D72" s="22">
        <v>3.44E-2</v>
      </c>
      <c r="E72" s="22">
        <v>3.2599999999999997E-2</v>
      </c>
      <c r="F72" s="22">
        <v>3.73E-2</v>
      </c>
      <c r="G72" s="88">
        <v>70544</v>
      </c>
    </row>
    <row r="73" spans="1:7" x14ac:dyDescent="0.35">
      <c r="A73" s="80">
        <v>46094.125</v>
      </c>
      <c r="B73" s="81">
        <v>3.0800000000000001E-2</v>
      </c>
      <c r="C73" s="22">
        <v>2.47E-2</v>
      </c>
      <c r="D73" s="22">
        <v>3.4299999999999997E-2</v>
      </c>
      <c r="E73" s="22">
        <v>3.2500000000000001E-2</v>
      </c>
      <c r="F73" s="22">
        <v>3.73E-2</v>
      </c>
      <c r="G73" s="88">
        <v>70965</v>
      </c>
    </row>
    <row r="74" spans="1:7" x14ac:dyDescent="0.35">
      <c r="A74" s="80">
        <v>46095.125</v>
      </c>
      <c r="B74" s="81">
        <v>3.1099999999999999E-2</v>
      </c>
      <c r="C74" s="22">
        <v>2.47E-2</v>
      </c>
      <c r="D74" s="22">
        <v>3.4500000000000003E-2</v>
      </c>
      <c r="E74" s="22">
        <v>3.27E-2</v>
      </c>
      <c r="F74" s="22">
        <v>3.7600000000000001E-2</v>
      </c>
      <c r="G74" s="88">
        <v>71217</v>
      </c>
    </row>
    <row r="75" spans="1:7" x14ac:dyDescent="0.35">
      <c r="A75" s="80">
        <v>46096.125</v>
      </c>
      <c r="B75" s="81">
        <v>3.0200000000000001E-2</v>
      </c>
      <c r="C75" s="22">
        <v>2.47E-2</v>
      </c>
      <c r="D75" s="22">
        <v>3.3599999999999998E-2</v>
      </c>
      <c r="E75" s="22">
        <v>3.1899999999999998E-2</v>
      </c>
      <c r="F75" s="22">
        <v>3.7900000000000003E-2</v>
      </c>
      <c r="G75" s="88">
        <v>72682</v>
      </c>
    </row>
    <row r="76" spans="1:7" x14ac:dyDescent="0.35">
      <c r="A76" s="80">
        <v>46097.125</v>
      </c>
      <c r="B76" s="81">
        <v>3.0200000000000001E-2</v>
      </c>
      <c r="C76" s="22">
        <v>2.47E-2</v>
      </c>
      <c r="D76" s="22">
        <v>3.32E-2</v>
      </c>
      <c r="E76" s="22">
        <v>3.1600000000000003E-2</v>
      </c>
      <c r="F76" s="22">
        <v>3.8300000000000001E-2</v>
      </c>
      <c r="G76" s="88">
        <v>74858</v>
      </c>
    </row>
    <row r="77" spans="1:7" x14ac:dyDescent="0.35">
      <c r="A77" s="80">
        <v>46098.125</v>
      </c>
      <c r="B77" s="81">
        <v>3.4700000000000002E-2</v>
      </c>
      <c r="C77" s="22">
        <v>2.47E-2</v>
      </c>
      <c r="D77" s="22">
        <v>3.7999999999999999E-2</v>
      </c>
      <c r="E77" s="22">
        <v>3.5999999999999997E-2</v>
      </c>
      <c r="F77" s="22">
        <v>3.6499999999999998E-2</v>
      </c>
      <c r="G77" s="88">
        <v>73926</v>
      </c>
    </row>
    <row r="78" spans="1:7" x14ac:dyDescent="0.35">
      <c r="A78" s="80">
        <v>46099.125</v>
      </c>
      <c r="B78" s="81">
        <v>3.27E-2</v>
      </c>
      <c r="C78" s="22">
        <v>2.47E-2</v>
      </c>
      <c r="D78" s="22">
        <v>3.5499999999999997E-2</v>
      </c>
      <c r="E78" s="22">
        <v>3.3700000000000001E-2</v>
      </c>
      <c r="F78" s="22">
        <v>3.7400000000000003E-2</v>
      </c>
      <c r="G78" s="88">
        <v>71256</v>
      </c>
    </row>
    <row r="79" spans="1:7" x14ac:dyDescent="0.35">
      <c r="A79" s="80">
        <v>46100.125</v>
      </c>
      <c r="B79" s="81">
        <v>3.15E-2</v>
      </c>
      <c r="C79" s="22">
        <v>2.47E-2</v>
      </c>
      <c r="D79" s="22">
        <v>3.49E-2</v>
      </c>
      <c r="E79" s="22">
        <v>3.32E-2</v>
      </c>
      <c r="F79" s="22">
        <v>3.6799999999999999E-2</v>
      </c>
      <c r="G79" s="88">
        <v>69871</v>
      </c>
    </row>
    <row r="80" spans="1:7" x14ac:dyDescent="0.35">
      <c r="A80" s="80">
        <v>46101.125</v>
      </c>
      <c r="B80" s="81">
        <v>3.0099999999999998E-2</v>
      </c>
      <c r="C80" s="22">
        <v>2.47E-2</v>
      </c>
      <c r="D80" s="22">
        <v>3.3500000000000002E-2</v>
      </c>
      <c r="E80" s="22">
        <v>3.1800000000000002E-2</v>
      </c>
      <c r="F80" s="22">
        <v>3.7100000000000001E-2</v>
      </c>
      <c r="G80" s="88">
        <v>70553</v>
      </c>
    </row>
    <row r="81" spans="1:7" x14ac:dyDescent="0.35">
      <c r="A81" s="80">
        <v>46102.125</v>
      </c>
      <c r="B81" s="81">
        <v>2.9600000000000001E-2</v>
      </c>
      <c r="C81" s="22">
        <v>2.47E-2</v>
      </c>
      <c r="D81" s="22">
        <v>3.2899999999999999E-2</v>
      </c>
      <c r="E81" s="22">
        <v>3.1099999999999999E-2</v>
      </c>
      <c r="F81" s="22">
        <v>3.7699999999999997E-2</v>
      </c>
      <c r="G81" s="88">
        <v>68734</v>
      </c>
    </row>
    <row r="82" spans="1:7" x14ac:dyDescent="0.35">
      <c r="A82" s="80">
        <v>46103.125</v>
      </c>
      <c r="B82" s="81">
        <v>2.9600000000000001E-2</v>
      </c>
      <c r="C82" s="22">
        <v>2.47E-2</v>
      </c>
      <c r="D82" s="22">
        <v>3.2899999999999999E-2</v>
      </c>
      <c r="E82" s="22">
        <v>3.1099999999999999E-2</v>
      </c>
      <c r="F82" s="22">
        <v>3.3500000000000002E-2</v>
      </c>
      <c r="G82" s="88">
        <v>67849</v>
      </c>
    </row>
    <row r="83" spans="1:7" x14ac:dyDescent="0.35">
      <c r="A83" s="80">
        <v>46104.125</v>
      </c>
      <c r="B83" s="81">
        <v>2.9600000000000001E-2</v>
      </c>
      <c r="C83" s="22">
        <v>2.47E-2</v>
      </c>
      <c r="D83" s="22">
        <v>3.2899999999999999E-2</v>
      </c>
      <c r="E83" s="22">
        <v>3.1099999999999999E-2</v>
      </c>
      <c r="F83" s="22">
        <v>3.3399999999999999E-2</v>
      </c>
      <c r="G83" s="88">
        <v>70893</v>
      </c>
    </row>
    <row r="84" spans="1:7" x14ac:dyDescent="0.35">
      <c r="A84" s="80">
        <v>46105.125</v>
      </c>
      <c r="B84" s="81">
        <v>2.9600000000000001E-2</v>
      </c>
      <c r="C84" s="22">
        <v>2.47E-2</v>
      </c>
      <c r="D84" s="22">
        <v>3.2899999999999999E-2</v>
      </c>
      <c r="E84" s="22">
        <v>3.1099999999999999E-2</v>
      </c>
      <c r="F84" s="22">
        <v>3.5000000000000003E-2</v>
      </c>
      <c r="G84" s="88">
        <v>70525</v>
      </c>
    </row>
    <row r="85" spans="1:7" x14ac:dyDescent="0.35">
      <c r="A85" s="80">
        <v>46106.125</v>
      </c>
      <c r="B85" s="81">
        <v>2.9600000000000001E-2</v>
      </c>
      <c r="C85" s="22">
        <v>2.47E-2</v>
      </c>
      <c r="D85" s="22">
        <v>3.2899999999999999E-2</v>
      </c>
      <c r="E85" s="22">
        <v>3.1099999999999999E-2</v>
      </c>
      <c r="F85" s="22">
        <v>3.5499999999999997E-2</v>
      </c>
      <c r="G85" s="88">
        <v>71309</v>
      </c>
    </row>
    <row r="86" spans="1:7" x14ac:dyDescent="0.35">
      <c r="A86" s="80">
        <v>46107.125</v>
      </c>
      <c r="B86" s="81">
        <v>2.9600000000000001E-2</v>
      </c>
      <c r="C86" s="22">
        <v>2.47E-2</v>
      </c>
      <c r="D86" s="22">
        <v>3.3399999999999999E-2</v>
      </c>
      <c r="E86" s="22">
        <v>3.49E-2</v>
      </c>
      <c r="F86" s="22">
        <v>3.5499999999999997E-2</v>
      </c>
      <c r="G86" s="88">
        <v>68791</v>
      </c>
    </row>
    <row r="87" spans="1:7" x14ac:dyDescent="0.35">
      <c r="A87" s="80">
        <v>46108.125</v>
      </c>
      <c r="B87" s="81">
        <v>0.03</v>
      </c>
      <c r="C87" s="22">
        <v>2.47E-2</v>
      </c>
      <c r="D87" s="22">
        <v>3.3399999999999999E-2</v>
      </c>
      <c r="E87" s="22">
        <v>3.1699999999999999E-2</v>
      </c>
      <c r="F87" s="22">
        <v>3.5499999999999997E-2</v>
      </c>
      <c r="G87" s="88">
        <v>66321</v>
      </c>
    </row>
    <row r="88" spans="1:7" x14ac:dyDescent="0.35">
      <c r="A88" s="80">
        <v>46109.125</v>
      </c>
      <c r="B88" s="81">
        <v>0.03</v>
      </c>
      <c r="C88" s="22">
        <v>2.47E-2</v>
      </c>
      <c r="D88" s="22">
        <v>3.3399999999999999E-2</v>
      </c>
      <c r="E88" s="22">
        <v>3.1699999999999999E-2</v>
      </c>
      <c r="F88" s="22">
        <v>3.5499999999999997E-2</v>
      </c>
      <c r="G88" s="88">
        <v>66321</v>
      </c>
    </row>
    <row r="89" spans="1:7" x14ac:dyDescent="0.35">
      <c r="A89" s="80">
        <v>46110.125</v>
      </c>
      <c r="B89" s="81">
        <v>3.0200000000000001E-2</v>
      </c>
      <c r="C89" s="22">
        <v>2.47E-2</v>
      </c>
      <c r="D89" s="22">
        <v>3.3500000000000002E-2</v>
      </c>
      <c r="E89" s="22">
        <v>3.1800000000000002E-2</v>
      </c>
      <c r="F89" s="22">
        <v>3.4799999999999998E-2</v>
      </c>
      <c r="G89" s="88">
        <v>65970</v>
      </c>
    </row>
    <row r="90" spans="1:7" x14ac:dyDescent="0.35">
      <c r="A90" s="80">
        <v>46111.125</v>
      </c>
      <c r="B90" s="81">
        <v>2.9499999999999998E-2</v>
      </c>
      <c r="C90" s="22">
        <v>2.47E-2</v>
      </c>
      <c r="D90" s="22">
        <v>3.2800000000000003E-2</v>
      </c>
      <c r="E90" s="22">
        <v>3.1099999999999999E-2</v>
      </c>
      <c r="F90" s="22">
        <v>3.49E-2</v>
      </c>
      <c r="G90" s="88">
        <v>66699</v>
      </c>
    </row>
    <row r="91" spans="1:7" x14ac:dyDescent="0.35">
      <c r="A91" s="80">
        <v>46112.125</v>
      </c>
      <c r="B91" s="81">
        <v>3.1199999999999999E-2</v>
      </c>
      <c r="C91" s="22">
        <v>2.47E-2</v>
      </c>
      <c r="D91" s="22">
        <v>3.3799999999999997E-2</v>
      </c>
      <c r="E91" s="22">
        <v>3.2399999999999998E-2</v>
      </c>
      <c r="F91" s="22">
        <v>3.5000000000000003E-2</v>
      </c>
      <c r="G91" s="88">
        <v>68232</v>
      </c>
    </row>
    <row r="92" spans="1:7" x14ac:dyDescent="0.35">
      <c r="A92" s="80">
        <v>46113.125</v>
      </c>
      <c r="B92" s="81">
        <v>3.0700000000000002E-2</v>
      </c>
      <c r="C92" s="22">
        <v>2.47E-2</v>
      </c>
      <c r="D92" s="22">
        <v>3.3300000000000003E-2</v>
      </c>
      <c r="E92" s="22">
        <v>3.2099999999999997E-2</v>
      </c>
      <c r="F92" s="22">
        <v>3.6799999999999999E-2</v>
      </c>
      <c r="G92" s="88">
        <v>68089</v>
      </c>
    </row>
    <row r="93" spans="1:7" x14ac:dyDescent="0.35">
      <c r="A93" s="80">
        <v>46114.125</v>
      </c>
      <c r="B93" s="81">
        <v>3.1199999999999999E-2</v>
      </c>
      <c r="C93" s="22">
        <v>2.47E-2</v>
      </c>
      <c r="D93" s="22">
        <v>3.44E-2</v>
      </c>
      <c r="E93" s="22">
        <v>3.2899999999999999E-2</v>
      </c>
      <c r="F93" s="22">
        <v>3.56E-2</v>
      </c>
      <c r="G93" s="88">
        <v>66892</v>
      </c>
    </row>
    <row r="94" spans="1:7" x14ac:dyDescent="0.35">
      <c r="A94" s="80">
        <v>46115.125</v>
      </c>
      <c r="B94" s="81">
        <v>3.2099999999999997E-2</v>
      </c>
      <c r="C94" s="22">
        <v>2.47E-2</v>
      </c>
      <c r="D94" s="22">
        <v>3.49E-2</v>
      </c>
      <c r="E94" s="22">
        <v>3.3599999999999998E-2</v>
      </c>
      <c r="F94" s="22">
        <v>3.6799999999999999E-2</v>
      </c>
      <c r="G94" s="88">
        <v>66940</v>
      </c>
    </row>
    <row r="95" spans="1:7" x14ac:dyDescent="0.35">
      <c r="A95" s="80">
        <v>46116.125</v>
      </c>
      <c r="B95" s="81">
        <v>3.09E-2</v>
      </c>
      <c r="C95" s="22">
        <v>2.47E-2</v>
      </c>
      <c r="D95" s="22">
        <v>3.4000000000000002E-2</v>
      </c>
      <c r="E95" s="22">
        <v>3.2599999999999997E-2</v>
      </c>
      <c r="F95" s="22">
        <v>3.7199999999999997E-2</v>
      </c>
      <c r="G95" s="88">
        <v>67304</v>
      </c>
    </row>
    <row r="96" spans="1:7" x14ac:dyDescent="0.35">
      <c r="A96" s="80">
        <v>46117.125</v>
      </c>
      <c r="B96" s="81">
        <v>3.0599999999999999E-2</v>
      </c>
      <c r="C96" s="22">
        <v>2.47E-2</v>
      </c>
      <c r="D96" s="22">
        <v>3.32E-2</v>
      </c>
      <c r="E96" s="22">
        <v>3.1899999999999998E-2</v>
      </c>
      <c r="F96" s="22">
        <v>3.5499999999999997E-2</v>
      </c>
      <c r="G96" s="88">
        <v>68986</v>
      </c>
    </row>
    <row r="97" spans="1:7" x14ac:dyDescent="0.35">
      <c r="A97" s="80">
        <v>46118.125</v>
      </c>
      <c r="B97" s="81">
        <v>3.0599999999999999E-2</v>
      </c>
      <c r="C97" s="22">
        <v>2.47E-2</v>
      </c>
      <c r="D97" s="22">
        <v>3.32E-2</v>
      </c>
      <c r="E97" s="22">
        <v>3.1800000000000002E-2</v>
      </c>
      <c r="F97" s="22">
        <v>3.5799999999999998E-2</v>
      </c>
      <c r="G97" s="88">
        <v>68864</v>
      </c>
    </row>
    <row r="98" spans="1:7" x14ac:dyDescent="0.35">
      <c r="A98" s="80">
        <v>46119.125</v>
      </c>
      <c r="B98" s="81">
        <v>3.1600000000000003E-2</v>
      </c>
      <c r="C98" s="22">
        <v>2.47E-2</v>
      </c>
      <c r="D98" s="22">
        <v>3.4799999999999998E-2</v>
      </c>
      <c r="E98" s="22">
        <v>3.3399999999999999E-2</v>
      </c>
      <c r="F98" s="22">
        <v>3.5700000000000003E-2</v>
      </c>
      <c r="G98" s="88">
        <v>71976</v>
      </c>
    </row>
    <row r="99" spans="1:7" x14ac:dyDescent="0.35">
      <c r="A99" s="80">
        <v>46120.125</v>
      </c>
      <c r="B99" s="81">
        <v>3.2800000000000003E-2</v>
      </c>
      <c r="C99" s="22">
        <v>2.47E-2</v>
      </c>
      <c r="D99" s="22">
        <v>3.4500000000000003E-2</v>
      </c>
      <c r="E99" s="22">
        <v>3.3000000000000002E-2</v>
      </c>
      <c r="F99" s="22">
        <v>3.7400000000000003E-2</v>
      </c>
      <c r="G99" s="88">
        <v>71117</v>
      </c>
    </row>
    <row r="100" spans="1:7" x14ac:dyDescent="0.35">
      <c r="A100" s="80">
        <v>46121.125</v>
      </c>
      <c r="B100" s="81">
        <v>3.3500000000000002E-2</v>
      </c>
      <c r="C100" s="22">
        <v>2.47E-2</v>
      </c>
      <c r="D100" s="22">
        <v>3.6900000000000002E-2</v>
      </c>
      <c r="E100" s="22">
        <v>3.5299999999999998E-2</v>
      </c>
      <c r="F100" s="22">
        <v>3.9E-2</v>
      </c>
      <c r="G100" s="88">
        <v>71771</v>
      </c>
    </row>
    <row r="101" spans="1:7" x14ac:dyDescent="0.35">
      <c r="A101" s="80">
        <v>46122.125</v>
      </c>
      <c r="B101" s="81">
        <v>2.9499999999999998E-2</v>
      </c>
      <c r="C101" s="22">
        <v>2.47E-2</v>
      </c>
      <c r="D101" s="22">
        <v>3.2500000000000001E-2</v>
      </c>
      <c r="E101" s="22">
        <v>3.1099999999999999E-2</v>
      </c>
      <c r="F101" s="22">
        <v>3.2899999999999999E-2</v>
      </c>
      <c r="G101" s="88">
        <v>72973</v>
      </c>
    </row>
    <row r="102" spans="1:7" x14ac:dyDescent="0.35">
      <c r="A102" s="80">
        <v>46123.125</v>
      </c>
      <c r="B102" s="81">
        <v>2.9499999999999998E-2</v>
      </c>
      <c r="C102" s="22">
        <v>2.47E-2</v>
      </c>
      <c r="D102" s="22">
        <v>3.2500000000000001E-2</v>
      </c>
      <c r="E102" s="22">
        <v>3.1099999999999999E-2</v>
      </c>
      <c r="F102" s="22">
        <v>3.27E-2</v>
      </c>
      <c r="G102" s="88">
        <v>73054</v>
      </c>
    </row>
    <row r="103" spans="1:7" x14ac:dyDescent="0.35">
      <c r="A103" s="80">
        <v>46124.125</v>
      </c>
      <c r="B103" s="81">
        <v>2.9499999999999998E-2</v>
      </c>
      <c r="C103" s="22">
        <v>2.47E-2</v>
      </c>
      <c r="D103" s="22">
        <v>3.2500000000000001E-2</v>
      </c>
      <c r="E103" s="22">
        <v>3.1099999999999999E-2</v>
      </c>
      <c r="F103" s="22">
        <v>3.2599999999999997E-2</v>
      </c>
      <c r="G103" s="88">
        <v>70757</v>
      </c>
    </row>
    <row r="104" spans="1:7" x14ac:dyDescent="0.35">
      <c r="A104" s="80">
        <v>46125.125</v>
      </c>
      <c r="B104" s="81">
        <v>2.9499999999999998E-2</v>
      </c>
      <c r="C104" s="22">
        <v>2.47E-2</v>
      </c>
      <c r="D104" s="22">
        <v>3.2500000000000001E-2</v>
      </c>
      <c r="E104" s="22">
        <v>3.1099999999999999E-2</v>
      </c>
      <c r="F104" s="22">
        <v>3.1099999999999999E-2</v>
      </c>
      <c r="G104" s="88">
        <v>74515</v>
      </c>
    </row>
    <row r="105" spans="1:7" x14ac:dyDescent="0.35">
      <c r="A105" s="80">
        <v>46126.125</v>
      </c>
      <c r="B105" s="81">
        <v>2.9499999999999998E-2</v>
      </c>
      <c r="C105" s="22">
        <v>2.47E-2</v>
      </c>
      <c r="D105" s="22">
        <v>3.2500000000000001E-2</v>
      </c>
      <c r="E105" s="22">
        <v>3.1099999999999999E-2</v>
      </c>
      <c r="F105" s="22">
        <v>3.1600000000000003E-2</v>
      </c>
      <c r="G105" s="88">
        <v>74181</v>
      </c>
    </row>
    <row r="106" spans="1:7" x14ac:dyDescent="0.35">
      <c r="A106" s="80">
        <v>46127.125</v>
      </c>
      <c r="B106" s="81">
        <v>2.9499999999999998E-2</v>
      </c>
      <c r="C106" s="22">
        <v>2.47E-2</v>
      </c>
      <c r="D106" s="22">
        <v>3.2500000000000001E-2</v>
      </c>
      <c r="E106" s="22">
        <v>3.1099999999999999E-2</v>
      </c>
      <c r="F106" s="22">
        <v>3.2500000000000001E-2</v>
      </c>
      <c r="G106" s="88">
        <v>74834</v>
      </c>
    </row>
    <row r="107" spans="1:7" x14ac:dyDescent="0.35">
      <c r="A107" s="80">
        <v>46128.125</v>
      </c>
      <c r="B107" s="81">
        <v>2.9499999999999998E-2</v>
      </c>
      <c r="C107" s="22">
        <v>2.47E-2</v>
      </c>
      <c r="D107" s="22">
        <v>3.2500000000000001E-2</v>
      </c>
      <c r="E107" s="22">
        <v>3.1099999999999999E-2</v>
      </c>
      <c r="F107" s="22">
        <v>3.2500000000000001E-2</v>
      </c>
      <c r="G107" s="88">
        <v>74810</v>
      </c>
    </row>
    <row r="108" spans="1:7" x14ac:dyDescent="0.35">
      <c r="A108" s="80">
        <v>46129.125</v>
      </c>
      <c r="B108" s="81">
        <v>2.9499999999999998E-2</v>
      </c>
      <c r="C108" s="22">
        <v>2.47E-2</v>
      </c>
      <c r="D108" s="22">
        <v>3.2500000000000001E-2</v>
      </c>
      <c r="E108" s="22">
        <v>3.1099999999999999E-2</v>
      </c>
      <c r="F108" s="22">
        <v>3.2099999999999997E-2</v>
      </c>
      <c r="G108" s="90">
        <v>77154</v>
      </c>
    </row>
    <row r="109" spans="1:7" x14ac:dyDescent="0.35">
      <c r="A109" s="80">
        <v>46130.125</v>
      </c>
      <c r="B109" s="81">
        <v>2.9499999999999998E-2</v>
      </c>
      <c r="C109" s="22">
        <v>2.47E-2</v>
      </c>
      <c r="D109" s="22">
        <v>3.2500000000000001E-2</v>
      </c>
      <c r="E109" s="22">
        <v>3.1099999999999999E-2</v>
      </c>
      <c r="F109" s="22">
        <v>3.27E-2</v>
      </c>
      <c r="G109" s="90">
        <v>77072</v>
      </c>
    </row>
    <row r="110" spans="1:7" x14ac:dyDescent="0.35">
      <c r="A110" s="80">
        <v>46131.125</v>
      </c>
      <c r="B110" s="81">
        <v>2.9499999999999998E-2</v>
      </c>
      <c r="C110" s="22">
        <v>2.47E-2</v>
      </c>
      <c r="D110" s="22">
        <v>3.2500000000000001E-2</v>
      </c>
      <c r="E110" s="22">
        <v>3.1099999999999999E-2</v>
      </c>
      <c r="F110" s="22">
        <v>3.2199999999999999E-2</v>
      </c>
      <c r="G110" s="90">
        <v>75691</v>
      </c>
    </row>
    <row r="111" spans="1:7" x14ac:dyDescent="0.35">
      <c r="A111" s="80">
        <v>46132.125</v>
      </c>
      <c r="B111" s="81">
        <v>2.9499999999999998E-2</v>
      </c>
      <c r="C111" s="22">
        <v>2.47E-2</v>
      </c>
      <c r="D111" s="22">
        <v>3.2500000000000001E-2</v>
      </c>
      <c r="E111" s="22">
        <v>3.1099999999999999E-2</v>
      </c>
      <c r="F111" s="22">
        <v>3.2199999999999999E-2</v>
      </c>
      <c r="G111" s="88">
        <v>75965.25</v>
      </c>
    </row>
    <row r="112" spans="1:7" x14ac:dyDescent="0.35">
      <c r="A112" s="80">
        <v>46133.125</v>
      </c>
      <c r="B112" s="81">
        <v>2.9499999999999998E-2</v>
      </c>
      <c r="C112" s="22">
        <v>2.47E-2</v>
      </c>
      <c r="D112" s="22">
        <v>3.2500000000000001E-2</v>
      </c>
      <c r="E112" s="22">
        <v>3.1099999999999999E-2</v>
      </c>
      <c r="F112" s="22">
        <v>3.2500000000000001E-2</v>
      </c>
      <c r="G112" s="88">
        <v>75841</v>
      </c>
    </row>
    <row r="113" spans="1:7" x14ac:dyDescent="0.35">
      <c r="A113" s="80">
        <v>46134.125</v>
      </c>
      <c r="B113" s="81">
        <v>2.9499999999999998E-2</v>
      </c>
      <c r="C113" s="22">
        <v>2.47E-2</v>
      </c>
      <c r="D113" s="22">
        <v>3.2500000000000001E-2</v>
      </c>
      <c r="E113" s="22">
        <v>3.1099999999999999E-2</v>
      </c>
      <c r="F113" s="22">
        <v>2.6499999999999999E-2</v>
      </c>
      <c r="G113" s="90">
        <v>76336</v>
      </c>
    </row>
    <row r="114" spans="1:7" x14ac:dyDescent="0.35">
      <c r="A114" s="80">
        <v>46135.125</v>
      </c>
      <c r="B114" s="81">
        <v>2.9499999999999998E-2</v>
      </c>
      <c r="C114" s="22">
        <v>2.47E-2</v>
      </c>
      <c r="D114" s="22">
        <v>3.2500000000000001E-2</v>
      </c>
      <c r="E114" s="22">
        <v>3.1099999999999999E-2</v>
      </c>
      <c r="F114" s="22">
        <v>3.15E-2</v>
      </c>
      <c r="G114" s="88">
        <v>78179</v>
      </c>
    </row>
    <row r="115" spans="1:7" x14ac:dyDescent="0.35">
      <c r="A115" s="80">
        <v>46136.125</v>
      </c>
      <c r="B115" s="81">
        <v>2.9499999999999998E-2</v>
      </c>
      <c r="C115" s="22">
        <v>2.47E-2</v>
      </c>
      <c r="D115" s="22">
        <v>3.2500000000000001E-2</v>
      </c>
      <c r="E115" s="22">
        <v>3.1099999999999999E-2</v>
      </c>
      <c r="F115" s="22">
        <v>3.1600000000000003E-2</v>
      </c>
      <c r="G115" s="88">
        <v>78257</v>
      </c>
    </row>
    <row r="116" spans="1:7" x14ac:dyDescent="0.35">
      <c r="A116" s="80">
        <v>46137.125</v>
      </c>
      <c r="B116" s="81">
        <v>2.9499999999999998E-2</v>
      </c>
      <c r="C116" s="22">
        <v>2.47E-2</v>
      </c>
      <c r="D116" s="22">
        <v>3.2500000000000001E-2</v>
      </c>
      <c r="E116" s="22">
        <v>3.1099999999999999E-2</v>
      </c>
      <c r="F116" s="22">
        <v>3.2099999999999997E-2</v>
      </c>
      <c r="G116" s="88">
        <v>77437</v>
      </c>
    </row>
    <row r="117" spans="1:7" x14ac:dyDescent="0.35">
      <c r="A117" s="80">
        <v>46138.125</v>
      </c>
      <c r="B117" s="81">
        <v>2.9499999999999998E-2</v>
      </c>
      <c r="C117" s="22">
        <v>2.47E-2</v>
      </c>
      <c r="D117" s="22">
        <v>3.2500000000000001E-2</v>
      </c>
      <c r="E117" s="22">
        <v>3.1099999999999999E-2</v>
      </c>
      <c r="F117" s="22">
        <v>3.2399999999999998E-2</v>
      </c>
      <c r="G117" s="88">
        <v>77625</v>
      </c>
    </row>
    <row r="118" spans="1:7" x14ac:dyDescent="0.35">
      <c r="A118" s="80">
        <v>46139.125</v>
      </c>
      <c r="B118" s="81">
        <v>2.9499999999999998E-2</v>
      </c>
      <c r="C118" s="22">
        <v>2.47E-2</v>
      </c>
      <c r="D118" s="22">
        <v>3.2500000000000001E-2</v>
      </c>
      <c r="E118" s="22">
        <v>3.1099999999999999E-2</v>
      </c>
      <c r="F118" s="22">
        <v>3.2899999999999999E-2</v>
      </c>
      <c r="G118" s="88">
        <v>78657</v>
      </c>
    </row>
    <row r="119" spans="1:7" x14ac:dyDescent="0.35">
      <c r="A119" s="80">
        <v>46140.125</v>
      </c>
      <c r="B119" s="81">
        <v>2.9499999999999998E-2</v>
      </c>
      <c r="C119" s="22">
        <v>2.47E-2</v>
      </c>
      <c r="D119" s="22">
        <v>3.2500000000000001E-2</v>
      </c>
      <c r="E119" s="22">
        <v>3.1099999999999999E-2</v>
      </c>
      <c r="F119" s="22">
        <v>3.3399999999999999E-2</v>
      </c>
      <c r="G119" s="88">
        <v>77372</v>
      </c>
    </row>
    <row r="120" spans="1:7" x14ac:dyDescent="0.35">
      <c r="A120" s="80">
        <v>46141.125</v>
      </c>
      <c r="B120" s="81">
        <v>2.9499999999999998E-2</v>
      </c>
      <c r="C120" s="22">
        <v>2.47E-2</v>
      </c>
      <c r="D120" s="22">
        <v>3.2500000000000001E-2</v>
      </c>
      <c r="E120" s="22">
        <v>3.1099999999999999E-2</v>
      </c>
      <c r="F120" s="22">
        <v>3.3300000000000003E-2</v>
      </c>
      <c r="G120" s="88">
        <v>76342</v>
      </c>
    </row>
    <row r="121" spans="1:7" x14ac:dyDescent="0.35">
      <c r="A121" s="80">
        <v>46142.125</v>
      </c>
      <c r="B121" s="81">
        <v>2.9499999999999998E-2</v>
      </c>
      <c r="C121" s="22">
        <v>2.47E-2</v>
      </c>
      <c r="D121" s="22">
        <v>3.2500000000000001E-2</v>
      </c>
      <c r="E121" s="22">
        <v>3.1099999999999999E-2</v>
      </c>
      <c r="F121" s="22">
        <v>3.5200000000000002E-2</v>
      </c>
      <c r="G121" s="88">
        <v>75780</v>
      </c>
    </row>
    <row r="122" spans="1:7" x14ac:dyDescent="0.35">
      <c r="A122" s="80">
        <v>46143</v>
      </c>
      <c r="B122" s="81">
        <v>2.9499999999999998E-2</v>
      </c>
      <c r="C122" s="22">
        <v>2.47E-2</v>
      </c>
      <c r="D122" s="22">
        <v>3.2500000000000001E-2</v>
      </c>
      <c r="E122" s="22">
        <v>3.1099999999999999E-2</v>
      </c>
      <c r="F122" s="22">
        <v>3.4099999999999998E-2</v>
      </c>
      <c r="G122" s="88">
        <v>76347</v>
      </c>
    </row>
    <row r="123" spans="1:7" x14ac:dyDescent="0.35">
      <c r="A123" s="80">
        <v>46144</v>
      </c>
      <c r="B123" s="81">
        <v>2.9499999999999998E-2</v>
      </c>
      <c r="C123" s="22">
        <v>2.47E-2</v>
      </c>
      <c r="D123" s="22">
        <v>3.2500000000000001E-2</v>
      </c>
      <c r="E123" s="22">
        <v>3.1099999999999999E-2</v>
      </c>
      <c r="F123" s="22">
        <v>3.4299999999999997E-2</v>
      </c>
      <c r="G123" s="88">
        <v>78232</v>
      </c>
    </row>
    <row r="124" spans="1:7" x14ac:dyDescent="0.35">
      <c r="A124" s="80">
        <v>46145</v>
      </c>
      <c r="B124" s="81">
        <v>2.9499999999999998E-2</v>
      </c>
      <c r="C124" s="22">
        <v>2.47E-2</v>
      </c>
      <c r="D124" s="22">
        <v>3.2500000000000001E-2</v>
      </c>
      <c r="E124" s="22">
        <v>3.1099999999999999E-2</v>
      </c>
      <c r="F124" s="22">
        <v>0.03</v>
      </c>
      <c r="G124" s="88">
        <v>78687</v>
      </c>
    </row>
    <row r="125" spans="1:7" x14ac:dyDescent="0.35">
      <c r="A125" s="80">
        <v>46146</v>
      </c>
      <c r="B125" s="81">
        <v>2.9499999999999998E-2</v>
      </c>
      <c r="C125" s="22">
        <v>2.47E-2</v>
      </c>
      <c r="D125" s="22">
        <v>3.2500000000000001E-2</v>
      </c>
      <c r="E125" s="22">
        <v>3.1099999999999999E-2</v>
      </c>
      <c r="F125" s="22">
        <v>3.2199999999999999E-2</v>
      </c>
      <c r="G125" s="88">
        <v>78569</v>
      </c>
    </row>
    <row r="126" spans="1:7" x14ac:dyDescent="0.35">
      <c r="A126" s="80">
        <v>46147</v>
      </c>
      <c r="B126" s="81">
        <v>2.9499999999999998E-2</v>
      </c>
      <c r="C126" s="22">
        <v>2.47E-2</v>
      </c>
      <c r="D126" s="22">
        <v>3.2500000000000001E-2</v>
      </c>
      <c r="E126" s="22">
        <v>3.1099999999999999E-2</v>
      </c>
      <c r="F126" s="22">
        <v>3.27E-2</v>
      </c>
      <c r="G126" s="88">
        <v>80905</v>
      </c>
    </row>
    <row r="127" spans="1:7" x14ac:dyDescent="0.35">
      <c r="A127" s="80">
        <v>46148</v>
      </c>
      <c r="B127" s="81">
        <v>2.9499999999999998E-2</v>
      </c>
      <c r="C127" s="22">
        <v>2.47E-2</v>
      </c>
      <c r="D127" s="22">
        <v>3.2500000000000001E-2</v>
      </c>
      <c r="E127" s="22">
        <v>3.1099999999999999E-2</v>
      </c>
      <c r="F127" s="22">
        <v>3.3500000000000002E-2</v>
      </c>
      <c r="G127" s="88">
        <v>81200</v>
      </c>
    </row>
    <row r="128" spans="1:7" x14ac:dyDescent="0.35">
      <c r="A128" s="80">
        <v>46149</v>
      </c>
      <c r="B128" s="81">
        <v>2.9499999999999998E-2</v>
      </c>
      <c r="C128" s="22">
        <v>2.47E-2</v>
      </c>
      <c r="D128" s="22">
        <v>3.2500000000000001E-2</v>
      </c>
      <c r="E128" s="22">
        <v>3.1099999999999999E-2</v>
      </c>
      <c r="F128" s="22">
        <v>3.3599999999999998E-2</v>
      </c>
      <c r="G128" s="88">
        <v>81448</v>
      </c>
    </row>
    <row r="129" spans="1:7" x14ac:dyDescent="0.35">
      <c r="A129" s="80">
        <v>46150</v>
      </c>
      <c r="B129" s="81">
        <v>2.9499999999999998E-2</v>
      </c>
      <c r="C129" s="22">
        <v>2.47E-2</v>
      </c>
      <c r="D129" s="22">
        <v>3.2500000000000001E-2</v>
      </c>
      <c r="E129" s="22">
        <v>3.1099999999999999E-2</v>
      </c>
      <c r="F129" s="22">
        <v>3.5000000000000003E-2</v>
      </c>
      <c r="G129" s="88">
        <v>80007</v>
      </c>
    </row>
    <row r="130" spans="1:7" x14ac:dyDescent="0.35">
      <c r="A130" s="80">
        <v>46151</v>
      </c>
      <c r="B130" s="81">
        <v>3.04E-2</v>
      </c>
      <c r="C130" s="22">
        <v>2.47E-2</v>
      </c>
      <c r="D130" s="22">
        <v>3.3399999999999999E-2</v>
      </c>
      <c r="E130" s="22">
        <v>3.1099999999999999E-2</v>
      </c>
      <c r="F130" s="22">
        <v>3.5099999999999999E-2</v>
      </c>
      <c r="G130" s="88">
        <v>82215</v>
      </c>
    </row>
    <row r="131" spans="1:7" x14ac:dyDescent="0.35">
      <c r="A131" s="80">
        <v>46152</v>
      </c>
      <c r="B131" s="81">
        <v>3.1399999999999997E-2</v>
      </c>
      <c r="C131" s="22">
        <v>2.47E-2</v>
      </c>
      <c r="D131" s="22">
        <v>3.39E-2</v>
      </c>
      <c r="E131" s="22">
        <v>3.1099999999999999E-2</v>
      </c>
      <c r="F131" s="22">
        <v>3.61E-2</v>
      </c>
      <c r="G131" s="88">
        <v>80678</v>
      </c>
    </row>
    <row r="132" spans="1:7" x14ac:dyDescent="0.35">
      <c r="A132" s="80">
        <v>46153</v>
      </c>
      <c r="B132" s="81">
        <v>3.3500000000000002E-2</v>
      </c>
      <c r="C132" s="22">
        <v>2.47E-2</v>
      </c>
      <c r="D132" s="22">
        <v>3.6200000000000003E-2</v>
      </c>
      <c r="E132" s="22">
        <v>3.1099999999999999E-2</v>
      </c>
      <c r="F132" s="22">
        <v>3.6499999999999998E-2</v>
      </c>
      <c r="G132" s="88">
        <v>82210</v>
      </c>
    </row>
    <row r="133" spans="1:7" x14ac:dyDescent="0.35">
      <c r="A133" s="80">
        <v>46154</v>
      </c>
      <c r="B133" s="81">
        <v>3.27E-2</v>
      </c>
      <c r="C133" s="22">
        <v>2.47E-2</v>
      </c>
      <c r="D133" s="22">
        <v>3.5999999999999997E-2</v>
      </c>
      <c r="E133" s="22">
        <v>4.19E-2</v>
      </c>
      <c r="F133" s="22">
        <v>3.9899999999999998E-2</v>
      </c>
      <c r="G133" s="88">
        <v>81745</v>
      </c>
    </row>
    <row r="134" spans="1:7" x14ac:dyDescent="0.35">
      <c r="A134" s="80">
        <v>46155</v>
      </c>
      <c r="B134" s="81">
        <v>3.3500000000000002E-2</v>
      </c>
      <c r="C134" s="22">
        <v>2.47E-2</v>
      </c>
      <c r="D134" s="22">
        <v>3.6799999999999999E-2</v>
      </c>
      <c r="E134" s="22">
        <v>4.3499999999999997E-2</v>
      </c>
      <c r="F134" s="22">
        <v>3.8600000000000002E-2</v>
      </c>
      <c r="G134" s="88">
        <v>80505</v>
      </c>
    </row>
    <row r="135" spans="1:7" x14ac:dyDescent="0.35">
      <c r="A135" s="80">
        <v>46156</v>
      </c>
      <c r="B135" s="81">
        <v>3.3500000000000002E-2</v>
      </c>
      <c r="C135" s="22">
        <v>2.47E-2</v>
      </c>
      <c r="D135" s="22">
        <v>3.6900000000000002E-2</v>
      </c>
      <c r="E135" s="22">
        <v>3.7199999999999997E-2</v>
      </c>
      <c r="F135" s="22">
        <v>4.0300000000000002E-2</v>
      </c>
      <c r="G135" s="88">
        <v>79315</v>
      </c>
    </row>
    <row r="136" spans="1:7" x14ac:dyDescent="0.35">
      <c r="A136" s="80">
        <v>46157</v>
      </c>
      <c r="B136" s="81">
        <v>3.2199999999999999E-2</v>
      </c>
      <c r="C136" s="22">
        <v>2.47E-2</v>
      </c>
      <c r="D136" s="22">
        <v>3.5499999999999997E-2</v>
      </c>
      <c r="E136" s="22">
        <v>3.4500000000000003E-2</v>
      </c>
      <c r="F136" s="22">
        <v>3.9899999999999998E-2</v>
      </c>
      <c r="G136" s="88">
        <v>81090</v>
      </c>
    </row>
    <row r="137" spans="1:7" x14ac:dyDescent="0.35">
      <c r="A137" s="80">
        <v>46158</v>
      </c>
      <c r="B137" s="81">
        <v>3.1600000000000003E-2</v>
      </c>
      <c r="C137" s="22">
        <v>2.47E-2</v>
      </c>
      <c r="D137" s="22">
        <v>3.4799999999999998E-2</v>
      </c>
      <c r="E137" s="22">
        <v>3.3300000000000003E-2</v>
      </c>
      <c r="F137" s="22">
        <v>4.0899999999999999E-2</v>
      </c>
      <c r="G137" s="88">
        <v>79114</v>
      </c>
    </row>
    <row r="138" spans="1:7" x14ac:dyDescent="0.35">
      <c r="A138" s="80">
        <v>46159</v>
      </c>
      <c r="B138" s="81">
        <v>3.0700000000000002E-2</v>
      </c>
      <c r="C138" s="22">
        <v>2.47E-2</v>
      </c>
      <c r="D138" s="22">
        <v>3.3799999999999997E-2</v>
      </c>
      <c r="E138" s="22">
        <v>3.3500000000000002E-2</v>
      </c>
      <c r="F138" s="22">
        <v>3.7600000000000001E-2</v>
      </c>
      <c r="G138" s="88">
        <v>78149</v>
      </c>
    </row>
    <row r="139" spans="1:7" x14ac:dyDescent="0.35">
      <c r="A139" s="80">
        <v>46160</v>
      </c>
      <c r="B139" s="81">
        <v>2.9899999999999999E-2</v>
      </c>
      <c r="C139" s="22">
        <v>2.47E-2</v>
      </c>
      <c r="D139" s="22">
        <v>3.2899999999999999E-2</v>
      </c>
      <c r="E139" s="22">
        <v>3.5200000000000002E-2</v>
      </c>
      <c r="F139" s="22">
        <v>3.6900000000000002E-2</v>
      </c>
      <c r="G139" s="88">
        <v>76751</v>
      </c>
    </row>
    <row r="140" spans="1:7" x14ac:dyDescent="0.35">
      <c r="A140" s="80">
        <v>46161</v>
      </c>
      <c r="B140" s="81">
        <v>3.2000000000000001E-2</v>
      </c>
      <c r="C140" s="22">
        <v>2.47E-2</v>
      </c>
      <c r="D140" s="22">
        <v>3.4700000000000002E-2</v>
      </c>
      <c r="E140" s="22">
        <v>3.4500000000000003E-2</v>
      </c>
      <c r="F140" s="22">
        <v>3.5400000000000001E-2</v>
      </c>
      <c r="G140" s="88">
        <v>77002</v>
      </c>
    </row>
    <row r="141" spans="1:7" x14ac:dyDescent="0.35">
      <c r="A141" s="80">
        <v>46162</v>
      </c>
      <c r="B141" s="81">
        <v>3.2000000000000001E-2</v>
      </c>
      <c r="C141" s="22">
        <v>2.47E-2</v>
      </c>
      <c r="D141" s="22">
        <v>3.5200000000000002E-2</v>
      </c>
      <c r="E141" s="22">
        <v>3.3700000000000001E-2</v>
      </c>
      <c r="F141" s="22">
        <v>3.85E-2</v>
      </c>
      <c r="G141" s="88">
        <v>76835</v>
      </c>
    </row>
    <row r="142" spans="1:7" x14ac:dyDescent="0.35">
      <c r="A142" s="80">
        <v>46163</v>
      </c>
      <c r="B142" s="81">
        <v>3.3700000000000001E-2</v>
      </c>
      <c r="C142" s="22">
        <v>2.47E-2</v>
      </c>
      <c r="D142" s="22">
        <v>3.7100000000000001E-2</v>
      </c>
      <c r="E142" s="22">
        <v>3.5400000000000001E-2</v>
      </c>
      <c r="F142" s="22">
        <v>3.8199999999999998E-2</v>
      </c>
      <c r="G142" s="88">
        <v>77553</v>
      </c>
    </row>
    <row r="143" spans="1:7" x14ac:dyDescent="0.35">
      <c r="A143" s="80">
        <v>46164</v>
      </c>
      <c r="B143" s="81">
        <v>3.3300000000000003E-2</v>
      </c>
      <c r="C143" s="22">
        <v>2.47E-2</v>
      </c>
      <c r="D143" s="22">
        <v>3.6700000000000003E-2</v>
      </c>
      <c r="E143" s="22">
        <v>3.5099999999999999E-2</v>
      </c>
      <c r="F143" s="22">
        <v>4.0399999999999998E-2</v>
      </c>
      <c r="G143" s="88">
        <v>77616</v>
      </c>
    </row>
    <row r="144" spans="1:7" x14ac:dyDescent="0.35">
      <c r="A144" s="80">
        <v>46165</v>
      </c>
      <c r="B144" s="81">
        <v>3.2800000000000003E-2</v>
      </c>
      <c r="C144" s="22">
        <v>2.47E-2</v>
      </c>
      <c r="D144" s="22">
        <v>3.61E-2</v>
      </c>
      <c r="E144" s="22">
        <v>3.5700000000000003E-2</v>
      </c>
      <c r="F144" s="22">
        <v>4.0599999999999997E-2</v>
      </c>
      <c r="G144" s="88">
        <v>75540</v>
      </c>
    </row>
    <row r="145" spans="1:7" x14ac:dyDescent="0.35">
      <c r="A145" s="80">
        <v>46166</v>
      </c>
      <c r="B145" s="81">
        <v>3.32E-2</v>
      </c>
      <c r="C145" s="22">
        <v>2.47E-2</v>
      </c>
      <c r="D145" s="22">
        <v>3.5900000000000001E-2</v>
      </c>
      <c r="E145" s="22">
        <v>3.5099999999999999E-2</v>
      </c>
      <c r="F145" s="22">
        <v>3.9600000000000003E-2</v>
      </c>
      <c r="G145" s="88">
        <v>76752</v>
      </c>
    </row>
    <row r="146" spans="1:7" x14ac:dyDescent="0.35">
      <c r="A146" s="80">
        <v>46167</v>
      </c>
      <c r="B146" s="81">
        <v>3.32E-2</v>
      </c>
      <c r="C146" s="22">
        <v>2.47E-2</v>
      </c>
      <c r="D146" s="22">
        <v>3.6600000000000001E-2</v>
      </c>
      <c r="E146" s="22">
        <v>3.5000000000000003E-2</v>
      </c>
      <c r="F146" s="22">
        <v>3.9600000000000003E-2</v>
      </c>
      <c r="G146" s="88">
        <v>77065</v>
      </c>
    </row>
    <row r="147" spans="1:7" x14ac:dyDescent="0.35">
      <c r="A147" s="80">
        <v>46168</v>
      </c>
      <c r="B147" s="81">
        <v>3.4599999999999999E-2</v>
      </c>
      <c r="C147" s="22">
        <v>2.47E-2</v>
      </c>
      <c r="D147" s="22">
        <v>3.7600000000000001E-2</v>
      </c>
      <c r="E147" s="22">
        <v>3.5900000000000001E-2</v>
      </c>
      <c r="F147" s="22">
        <v>4.0300000000000002E-2</v>
      </c>
      <c r="G147" s="88">
        <v>77323</v>
      </c>
    </row>
    <row r="148" spans="1:7" x14ac:dyDescent="0.35">
      <c r="A148" s="80">
        <v>46169</v>
      </c>
      <c r="B148" s="81">
        <v>3.5999999999999997E-2</v>
      </c>
      <c r="C148" s="22">
        <v>2.47E-2</v>
      </c>
      <c r="D148" s="22">
        <v>3.9E-2</v>
      </c>
      <c r="E148" s="22">
        <v>3.7199999999999997E-2</v>
      </c>
      <c r="F148" s="22">
        <v>4.2799999999999998E-2</v>
      </c>
      <c r="G148" s="88">
        <v>75931</v>
      </c>
    </row>
    <row r="149" spans="1:7" x14ac:dyDescent="0.35">
      <c r="A149" s="80">
        <v>46170</v>
      </c>
      <c r="B149" s="81">
        <v>3.6600000000000001E-2</v>
      </c>
      <c r="C149" s="22">
        <v>2.47E-2</v>
      </c>
      <c r="D149" s="22">
        <v>4.02E-2</v>
      </c>
      <c r="E149" s="22">
        <v>3.8399999999999997E-2</v>
      </c>
      <c r="F149" s="22">
        <v>4.4200000000000003E-2</v>
      </c>
      <c r="G149" s="88">
        <v>74450</v>
      </c>
    </row>
    <row r="150" spans="1:7" x14ac:dyDescent="0.35">
      <c r="A150" s="80">
        <v>46171</v>
      </c>
      <c r="B150" s="81">
        <v>3.7400000000000003E-2</v>
      </c>
      <c r="C150" s="22">
        <v>2.47E-2</v>
      </c>
      <c r="D150" s="22">
        <v>4.1099999999999998E-2</v>
      </c>
      <c r="E150" s="22">
        <v>3.9199999999999999E-2</v>
      </c>
      <c r="F150" s="22">
        <v>4.5400000000000003E-2</v>
      </c>
      <c r="G150" s="88">
        <v>73618</v>
      </c>
    </row>
    <row r="151" spans="1:7" x14ac:dyDescent="0.35">
      <c r="A151" s="80">
        <v>46172</v>
      </c>
      <c r="B151" s="81">
        <v>3.73E-2</v>
      </c>
      <c r="C151" s="22">
        <v>2.47E-2</v>
      </c>
      <c r="D151" s="22">
        <v>4.0599999999999997E-2</v>
      </c>
      <c r="E151" s="22">
        <v>3.8800000000000001E-2</v>
      </c>
      <c r="F151" s="22">
        <v>4.5499999999999999E-2</v>
      </c>
      <c r="G151" s="88">
        <v>73461</v>
      </c>
    </row>
    <row r="152" spans="1:7" x14ac:dyDescent="0.35">
      <c r="A152" s="80">
        <v>46173</v>
      </c>
      <c r="B152" s="81">
        <v>3.73E-2</v>
      </c>
      <c r="C152" s="22">
        <v>2.47E-2</v>
      </c>
      <c r="D152" s="22">
        <v>4.1099999999999998E-2</v>
      </c>
      <c r="E152" s="22">
        <v>3.9199999999999999E-2</v>
      </c>
      <c r="F152" s="22">
        <v>0.04</v>
      </c>
      <c r="G152" s="88">
        <v>73885</v>
      </c>
    </row>
    <row r="153" spans="1:7" x14ac:dyDescent="0.35">
      <c r="A153" s="80">
        <v>46174</v>
      </c>
      <c r="B153" s="81">
        <v>3.73E-2</v>
      </c>
      <c r="C153" s="22">
        <v>2.47E-2</v>
      </c>
      <c r="D153" s="22">
        <v>4.1099999999999998E-2</v>
      </c>
      <c r="E153" s="22">
        <v>3.9199999999999999E-2</v>
      </c>
      <c r="F153" s="22">
        <v>4.4999999999999998E-2</v>
      </c>
      <c r="G153" s="88">
        <v>73675</v>
      </c>
    </row>
    <row r="154" spans="1:7" x14ac:dyDescent="0.35">
      <c r="A154" s="80">
        <v>46175</v>
      </c>
      <c r="B154" s="81">
        <v>4.1799999999999997E-2</v>
      </c>
      <c r="C154" s="22">
        <v>2.47E-2</v>
      </c>
      <c r="D154" s="22">
        <v>4.5400000000000003E-2</v>
      </c>
      <c r="E154" s="22">
        <v>4.2900000000000001E-2</v>
      </c>
      <c r="F154" s="22">
        <v>4.6600000000000003E-2</v>
      </c>
      <c r="G154" s="88">
        <v>71408</v>
      </c>
    </row>
    <row r="155" spans="1:7" x14ac:dyDescent="0.35">
      <c r="A155" s="80">
        <v>46176</v>
      </c>
      <c r="B155" s="81">
        <v>4.2799999999999998E-2</v>
      </c>
      <c r="C155" s="22">
        <v>2.47E-2</v>
      </c>
      <c r="D155" s="22">
        <v>4.7E-2</v>
      </c>
      <c r="E155" s="22">
        <v>4.4900000000000002E-2</v>
      </c>
      <c r="F155" s="22">
        <v>5.2600000000000001E-2</v>
      </c>
      <c r="G155" s="88">
        <v>66761</v>
      </c>
    </row>
    <row r="156" spans="1:7" x14ac:dyDescent="0.35">
      <c r="A156" s="80">
        <v>46177</v>
      </c>
      <c r="B156" s="81">
        <v>4.0500000000000001E-2</v>
      </c>
      <c r="C156" s="22">
        <v>2.47E-2</v>
      </c>
      <c r="D156" s="22">
        <v>5.0200000000000002E-2</v>
      </c>
      <c r="E156" s="22">
        <v>4.8000000000000001E-2</v>
      </c>
      <c r="F156" s="22">
        <v>5.28E-2</v>
      </c>
      <c r="G156" s="88">
        <v>64143</v>
      </c>
    </row>
    <row r="157" spans="1:7" x14ac:dyDescent="0.35">
      <c r="A157" s="80">
        <v>46178</v>
      </c>
      <c r="B157" s="81">
        <v>4.0500000000000001E-2</v>
      </c>
      <c r="C157" s="22">
        <v>2.47E-2</v>
      </c>
      <c r="D157" s="22">
        <v>4.4600000000000001E-2</v>
      </c>
      <c r="E157" s="22">
        <v>4.2599999999999999E-2</v>
      </c>
      <c r="F157" s="22">
        <v>5.4800000000000001E-2</v>
      </c>
      <c r="G157" s="88">
        <v>63885</v>
      </c>
    </row>
    <row r="158" spans="1:7" x14ac:dyDescent="0.35">
      <c r="A158" s="80">
        <v>46179</v>
      </c>
      <c r="B158" s="81">
        <v>3.7900000000000003E-2</v>
      </c>
      <c r="C158" s="22">
        <v>2.47E-2</v>
      </c>
      <c r="D158" s="22">
        <v>4.24E-2</v>
      </c>
      <c r="E158" s="22">
        <v>4.0500000000000001E-2</v>
      </c>
      <c r="F158" s="22">
        <v>4.7E-2</v>
      </c>
      <c r="G158" s="88">
        <v>61057</v>
      </c>
    </row>
    <row r="159" spans="1:7" x14ac:dyDescent="0.35">
      <c r="A159" s="80">
        <v>46180</v>
      </c>
      <c r="B159" s="81">
        <v>3.6799999999999999E-2</v>
      </c>
      <c r="C159" s="22">
        <v>2.47E-2</v>
      </c>
      <c r="D159" s="22">
        <v>4.0500000000000001E-2</v>
      </c>
      <c r="E159" s="22">
        <v>3.8699999999999998E-2</v>
      </c>
      <c r="F159" s="22">
        <v>4.4999999999999998E-2</v>
      </c>
      <c r="G159" s="88">
        <v>60885</v>
      </c>
    </row>
    <row r="160" spans="1:7" x14ac:dyDescent="0.35">
      <c r="A160" s="80">
        <v>46181</v>
      </c>
      <c r="B160" s="81">
        <v>3.6299999999999999E-2</v>
      </c>
      <c r="C160" s="22">
        <v>2.47E-2</v>
      </c>
      <c r="D160" s="22">
        <v>3.9899999999999998E-2</v>
      </c>
      <c r="E160" s="22">
        <v>3.8100000000000002E-2</v>
      </c>
      <c r="F160" s="22">
        <v>4.3700000000000003E-2</v>
      </c>
      <c r="G160" s="88">
        <v>63332</v>
      </c>
    </row>
    <row r="161" spans="1:7" x14ac:dyDescent="0.35">
      <c r="A161" s="80">
        <v>46182</v>
      </c>
      <c r="B161" s="81">
        <v>3.6299999999999999E-2</v>
      </c>
      <c r="C161" s="22">
        <v>2.47E-2</v>
      </c>
      <c r="D161" s="22">
        <v>3.9899999999999998E-2</v>
      </c>
      <c r="E161" s="22">
        <v>3.8100000000000002E-2</v>
      </c>
      <c r="F161" s="22">
        <v>4.2700000000000002E-2</v>
      </c>
      <c r="G161" s="88">
        <v>61685</v>
      </c>
    </row>
    <row r="162" spans="1:7" x14ac:dyDescent="0.35">
      <c r="A162" s="80">
        <v>46183</v>
      </c>
      <c r="B162" s="81">
        <v>3.6700000000000003E-2</v>
      </c>
      <c r="C162" s="22">
        <v>2.47E-2</v>
      </c>
      <c r="D162" s="22">
        <v>4.0399999999999998E-2</v>
      </c>
      <c r="E162" s="22">
        <v>3.8600000000000002E-2</v>
      </c>
      <c r="F162" s="22">
        <v>4.3499999999999997E-2</v>
      </c>
      <c r="G162" s="88">
        <v>61509</v>
      </c>
    </row>
    <row r="163" spans="1:7" x14ac:dyDescent="0.35">
      <c r="A163" s="80">
        <v>46184</v>
      </c>
      <c r="B163" s="81">
        <v>3.6600000000000001E-2</v>
      </c>
      <c r="C163" s="22">
        <v>2.47E-2</v>
      </c>
      <c r="D163" s="22">
        <v>4.02E-2</v>
      </c>
      <c r="E163" s="22">
        <v>3.8399999999999997E-2</v>
      </c>
      <c r="F163" s="22">
        <v>4.4699999999999997E-2</v>
      </c>
      <c r="G163" s="88">
        <v>63612</v>
      </c>
    </row>
    <row r="164" spans="1:7" x14ac:dyDescent="0.35">
      <c r="A164" s="80">
        <v>46185</v>
      </c>
      <c r="B164" s="81">
        <v>3.5900000000000001E-2</v>
      </c>
      <c r="C164" s="22">
        <v>2.47E-2</v>
      </c>
      <c r="D164" s="22">
        <v>3.95E-2</v>
      </c>
      <c r="E164" s="22">
        <v>3.78E-2</v>
      </c>
      <c r="F164" s="22">
        <v>4.3700000000000003E-2</v>
      </c>
      <c r="G164" s="88">
        <v>63626</v>
      </c>
    </row>
    <row r="165" spans="1:7" x14ac:dyDescent="0.35">
      <c r="A165" s="80">
        <v>46186</v>
      </c>
      <c r="B165" s="81">
        <v>3.5400000000000001E-2</v>
      </c>
      <c r="C165" s="22">
        <v>2.47E-2</v>
      </c>
      <c r="D165" s="22">
        <v>3.9E-2</v>
      </c>
      <c r="E165" s="22">
        <v>3.7199999999999997E-2</v>
      </c>
      <c r="F165" s="22">
        <v>4.0500000000000001E-2</v>
      </c>
      <c r="G165" s="88">
        <v>63580</v>
      </c>
    </row>
    <row r="166" spans="1:7" x14ac:dyDescent="0.35">
      <c r="A166" s="80">
        <v>46187</v>
      </c>
      <c r="B166" s="81">
        <v>3.3799999999999997E-2</v>
      </c>
      <c r="C166" s="22">
        <v>2.47E-2</v>
      </c>
      <c r="D166" s="22">
        <v>3.7199999999999997E-2</v>
      </c>
      <c r="E166" s="22">
        <v>3.56E-2</v>
      </c>
      <c r="F166" s="22">
        <v>4.1399999999999999E-2</v>
      </c>
      <c r="G166" s="88">
        <v>64459</v>
      </c>
    </row>
    <row r="167" spans="1:7" x14ac:dyDescent="0.35">
      <c r="A167" s="80">
        <v>46188</v>
      </c>
      <c r="B167" s="81">
        <v>3.4299999999999997E-2</v>
      </c>
      <c r="C167" s="22">
        <v>2.47E-2</v>
      </c>
      <c r="D167" s="22">
        <v>3.73E-2</v>
      </c>
      <c r="E167" s="22">
        <v>3.5700000000000003E-2</v>
      </c>
      <c r="F167" s="22">
        <v>4.1000000000000002E-2</v>
      </c>
      <c r="G167" s="88">
        <v>66515</v>
      </c>
    </row>
    <row r="168" spans="1:7" x14ac:dyDescent="0.35">
      <c r="A168" s="80">
        <v>46189</v>
      </c>
      <c r="B168" s="81">
        <v>3.4299999999999997E-2</v>
      </c>
      <c r="C168" s="22">
        <v>2.47E-2</v>
      </c>
      <c r="D168" s="22">
        <v>3.6600000000000001E-2</v>
      </c>
      <c r="E168" s="22">
        <v>3.5000000000000003E-2</v>
      </c>
      <c r="F168" s="22">
        <v>4.2299999999999997E-2</v>
      </c>
      <c r="G168" s="88">
        <v>66328</v>
      </c>
    </row>
    <row r="169" spans="1:7" x14ac:dyDescent="0.35">
      <c r="A169" s="80">
        <v>46190</v>
      </c>
      <c r="B169" s="81">
        <v>3.3399999999999999E-2</v>
      </c>
      <c r="C169" s="22">
        <v>2.47E-2</v>
      </c>
      <c r="D169" s="22">
        <v>3.6700000000000003E-2</v>
      </c>
      <c r="E169" s="22">
        <v>3.5099999999999999E-2</v>
      </c>
      <c r="F169" s="22">
        <v>4.41E-2</v>
      </c>
      <c r="G169" s="88">
        <v>65676</v>
      </c>
    </row>
    <row r="170" spans="1:7" x14ac:dyDescent="0.35">
      <c r="A170" s="80">
        <v>46191</v>
      </c>
      <c r="B170" s="81">
        <v>3.2899999999999999E-2</v>
      </c>
      <c r="C170" s="22">
        <v>2.47E-2</v>
      </c>
      <c r="D170" s="22">
        <v>3.6200000000000003E-2</v>
      </c>
      <c r="E170" s="22">
        <v>3.4599999999999999E-2</v>
      </c>
      <c r="F170" s="22">
        <v>4.2599999999999999E-2</v>
      </c>
      <c r="G170" s="88">
        <v>64510</v>
      </c>
    </row>
    <row r="171" spans="1:7" x14ac:dyDescent="0.35">
      <c r="A171" s="80">
        <v>46192</v>
      </c>
      <c r="B171" s="81">
        <v>3.1800000000000002E-2</v>
      </c>
      <c r="C171" s="22">
        <v>2.47E-2</v>
      </c>
      <c r="D171" s="22">
        <v>3.5000000000000003E-2</v>
      </c>
      <c r="E171" s="22">
        <v>3.3500000000000002E-2</v>
      </c>
      <c r="F171" s="22">
        <v>4.5400000000000003E-2</v>
      </c>
      <c r="G171" s="88">
        <v>62960</v>
      </c>
    </row>
    <row r="172" spans="1:7" x14ac:dyDescent="0.35">
      <c r="A172" s="80">
        <v>46193</v>
      </c>
      <c r="B172" s="81">
        <v>3.0800000000000001E-2</v>
      </c>
      <c r="C172" s="22">
        <v>2.47E-2</v>
      </c>
      <c r="D172" s="22">
        <v>3.39E-2</v>
      </c>
      <c r="E172" s="22">
        <v>3.2399999999999998E-2</v>
      </c>
      <c r="F172" s="22">
        <v>3.9300000000000002E-2</v>
      </c>
      <c r="G172" s="88">
        <v>63544</v>
      </c>
    </row>
    <row r="173" spans="1:7" x14ac:dyDescent="0.35">
      <c r="A173" s="80">
        <v>46194</v>
      </c>
      <c r="B173" s="81">
        <v>3.1300000000000001E-2</v>
      </c>
      <c r="C173" s="22">
        <v>2.47E-2</v>
      </c>
      <c r="D173" s="22">
        <v>3.44E-2</v>
      </c>
      <c r="E173" s="22">
        <v>3.2800000000000003E-2</v>
      </c>
      <c r="F173" s="22">
        <v>3.6499999999999998E-2</v>
      </c>
      <c r="G173" s="88">
        <v>64298</v>
      </c>
    </row>
    <row r="174" spans="1:7" x14ac:dyDescent="0.35">
      <c r="A174" s="80">
        <v>46195</v>
      </c>
      <c r="B174" s="81">
        <v>3.1300000000000001E-2</v>
      </c>
      <c r="C174" s="22">
        <v>2.47E-2</v>
      </c>
      <c r="D174" s="22">
        <v>3.4000000000000002E-2</v>
      </c>
      <c r="E174" s="22">
        <v>3.2500000000000001E-2</v>
      </c>
      <c r="F174" s="22">
        <v>6.13E-2</v>
      </c>
      <c r="G174" s="88">
        <v>63313</v>
      </c>
    </row>
    <row r="175" spans="1:7" x14ac:dyDescent="0.35">
      <c r="A175" s="80">
        <v>46196</v>
      </c>
      <c r="B175" s="81">
        <v>3.27E-2</v>
      </c>
      <c r="C175" s="22">
        <v>2.47E-2</v>
      </c>
      <c r="D175" s="22">
        <v>3.5999999999999997E-2</v>
      </c>
      <c r="E175" s="22">
        <v>3.4500000000000003E-2</v>
      </c>
      <c r="F175" s="22">
        <v>5.7099999999999998E-2</v>
      </c>
      <c r="G175" s="88">
        <v>64021</v>
      </c>
    </row>
    <row r="176" spans="1:7" x14ac:dyDescent="0.35">
      <c r="A176" s="80">
        <v>46197</v>
      </c>
      <c r="B176" s="81">
        <v>3.2800000000000003E-2</v>
      </c>
      <c r="C176" s="22">
        <v>2.47E-2</v>
      </c>
      <c r="D176" s="22">
        <v>3.61E-2</v>
      </c>
      <c r="E176" s="22">
        <v>3.4500000000000003E-2</v>
      </c>
      <c r="F176" s="22">
        <v>6.1899999999999997E-2</v>
      </c>
      <c r="G176" s="88">
        <v>62735</v>
      </c>
    </row>
    <row r="177" spans="1:7" x14ac:dyDescent="0.35">
      <c r="A177" s="80">
        <v>46198</v>
      </c>
      <c r="B177" s="81">
        <v>3.2800000000000003E-2</v>
      </c>
      <c r="C177" s="22">
        <v>2.47E-2</v>
      </c>
      <c r="D177" s="22">
        <v>3.6200000000000003E-2</v>
      </c>
      <c r="E177" s="22">
        <v>3.4599999999999999E-2</v>
      </c>
      <c r="F177" s="22">
        <v>6.0499999999999998E-2</v>
      </c>
      <c r="G177" s="88">
        <v>61079</v>
      </c>
    </row>
    <row r="178" spans="1:7" x14ac:dyDescent="0.35">
      <c r="A178" s="80">
        <v>46199</v>
      </c>
      <c r="B178" s="81">
        <v>3.3099999999999997E-2</v>
      </c>
      <c r="C178" s="22">
        <v>2.47E-2</v>
      </c>
      <c r="D178" s="22">
        <v>3.6400000000000002E-2</v>
      </c>
      <c r="E178" s="22">
        <v>3.4700000000000002E-2</v>
      </c>
      <c r="F178" s="22">
        <v>6.1899999999999997E-2</v>
      </c>
      <c r="G178" s="88">
        <v>59795</v>
      </c>
    </row>
    <row r="179" spans="1:7" x14ac:dyDescent="0.35">
      <c r="A179" s="80">
        <v>46200</v>
      </c>
      <c r="B179" s="81">
        <v>3.3300000000000003E-2</v>
      </c>
      <c r="C179" s="22">
        <v>2.47E-2</v>
      </c>
      <c r="D179" s="22">
        <v>3.6600000000000001E-2</v>
      </c>
      <c r="E179" s="22">
        <v>3.5000000000000003E-2</v>
      </c>
      <c r="F179" s="22">
        <v>6.2199999999999998E-2</v>
      </c>
      <c r="G179" s="88">
        <v>60098</v>
      </c>
    </row>
    <row r="180" spans="1:7" x14ac:dyDescent="0.35">
      <c r="A180" s="80">
        <v>46201</v>
      </c>
      <c r="B180" s="81">
        <v>3.2599999999999997E-2</v>
      </c>
      <c r="C180" s="22">
        <v>2.47E-2</v>
      </c>
      <c r="D180" s="22">
        <v>3.5799999999999998E-2</v>
      </c>
      <c r="E180" s="22">
        <v>3.4299999999999997E-2</v>
      </c>
      <c r="F180" s="22">
        <v>6.2100000000000002E-2</v>
      </c>
      <c r="G180" s="88">
        <v>59578</v>
      </c>
    </row>
    <row r="181" spans="1:7" x14ac:dyDescent="0.35">
      <c r="A181" s="80">
        <v>46202</v>
      </c>
      <c r="B181" s="81">
        <v>3.2599999999999997E-2</v>
      </c>
      <c r="C181" s="22">
        <v>2.47E-2</v>
      </c>
      <c r="D181" s="22">
        <v>3.5700000000000003E-2</v>
      </c>
      <c r="E181" s="22">
        <v>3.4200000000000001E-2</v>
      </c>
      <c r="F181" s="22">
        <v>6.1600000000000002E-2</v>
      </c>
      <c r="G181" s="88">
        <v>60030</v>
      </c>
    </row>
    <row r="182" spans="1:7" x14ac:dyDescent="0.35">
      <c r="A182" s="80">
        <v>46203</v>
      </c>
      <c r="B182" s="81">
        <v>3.5400000000000001E-2</v>
      </c>
      <c r="C182" s="22">
        <v>2.47E-2</v>
      </c>
      <c r="D182" s="22">
        <v>3.8600000000000002E-2</v>
      </c>
      <c r="E182" s="22">
        <v>3.6799999999999999E-2</v>
      </c>
      <c r="F182" s="22">
        <v>5.0599999999999999E-2</v>
      </c>
      <c r="G182" s="88">
        <v>60261</v>
      </c>
    </row>
    <row r="183" spans="1:7" x14ac:dyDescent="0.35">
      <c r="A183" s="80">
        <v>46204</v>
      </c>
      <c r="B183" s="81">
        <v>3.5700000000000003E-2</v>
      </c>
      <c r="C183" s="22">
        <v>2.47E-2</v>
      </c>
      <c r="D183" s="22">
        <v>3.8800000000000001E-2</v>
      </c>
      <c r="E183" s="22">
        <v>3.7100000000000001E-2</v>
      </c>
      <c r="F183" s="22">
        <v>5.57E-2</v>
      </c>
      <c r="G183" s="88">
        <v>58625</v>
      </c>
    </row>
    <row r="184" spans="1:7" x14ac:dyDescent="0.35">
      <c r="A184" s="80">
        <v>46205</v>
      </c>
      <c r="B184" s="81">
        <v>3.6700000000000003E-2</v>
      </c>
      <c r="C184" s="22">
        <v>2.47E-2</v>
      </c>
      <c r="D184" s="22">
        <v>3.95E-2</v>
      </c>
      <c r="E184" s="22">
        <v>3.78E-2</v>
      </c>
      <c r="F184" s="22">
        <v>4.1700000000000001E-2</v>
      </c>
      <c r="G184" s="88">
        <v>60025</v>
      </c>
    </row>
    <row r="185" spans="1:7" x14ac:dyDescent="0.35">
      <c r="A185" s="80">
        <v>46206</v>
      </c>
      <c r="B185" s="81">
        <v>3.6999999999999998E-2</v>
      </c>
      <c r="C185" s="22">
        <v>2.47E-2</v>
      </c>
      <c r="D185" s="22">
        <v>4.07E-2</v>
      </c>
      <c r="E185" s="22">
        <v>3.8899999999999997E-2</v>
      </c>
      <c r="F185" s="22">
        <v>4.3200000000000002E-2</v>
      </c>
      <c r="G185" s="88">
        <v>61561</v>
      </c>
    </row>
    <row r="186" spans="1:7" x14ac:dyDescent="0.35">
      <c r="A186" s="80">
        <v>46207</v>
      </c>
      <c r="B186" s="81">
        <v>3.6200000000000003E-2</v>
      </c>
      <c r="C186" s="22">
        <v>2.47E-2</v>
      </c>
      <c r="D186" s="22">
        <v>3.9899999999999998E-2</v>
      </c>
      <c r="E186" s="22">
        <v>3.8100000000000002E-2</v>
      </c>
      <c r="F186" s="22">
        <v>4.24E-2</v>
      </c>
      <c r="G186" s="88">
        <v>62584</v>
      </c>
    </row>
    <row r="187" spans="1:7" x14ac:dyDescent="0.35">
      <c r="A187" s="80">
        <v>46208</v>
      </c>
      <c r="B187" s="81">
        <v>3.6900000000000002E-2</v>
      </c>
      <c r="C187" s="22">
        <v>2.47E-2</v>
      </c>
      <c r="D187" s="22">
        <v>4.0099999999999997E-2</v>
      </c>
      <c r="E187" s="22">
        <v>3.8399999999999997E-2</v>
      </c>
      <c r="F187" s="22">
        <v>4.3499999999999997E-2</v>
      </c>
      <c r="G187" s="88">
        <v>63145</v>
      </c>
    </row>
    <row r="188" spans="1:7" x14ac:dyDescent="0.35">
      <c r="A188" s="80">
        <v>46209</v>
      </c>
      <c r="B188" s="81">
        <v>3.6299999999999999E-2</v>
      </c>
      <c r="C188" s="22">
        <v>2.47E-2</v>
      </c>
      <c r="D188" s="22">
        <v>3.9899999999999998E-2</v>
      </c>
      <c r="E188" s="22">
        <v>3.8100000000000002E-2</v>
      </c>
      <c r="F188" s="22">
        <v>4.3700000000000003E-2</v>
      </c>
      <c r="G188" s="88">
        <v>63651</v>
      </c>
    </row>
    <row r="189" spans="1:7" x14ac:dyDescent="0.35">
      <c r="A189" s="80">
        <v>46210</v>
      </c>
      <c r="B189" s="81">
        <v>3.7499999999999999E-2</v>
      </c>
      <c r="C189" s="22">
        <v>2.47E-2</v>
      </c>
      <c r="D189" s="22">
        <v>4.1300000000000003E-2</v>
      </c>
      <c r="E189" s="22">
        <v>3.95E-2</v>
      </c>
      <c r="F189" s="22">
        <v>4.4999999999999998E-2</v>
      </c>
      <c r="G189" s="88">
        <v>63331</v>
      </c>
    </row>
    <row r="190" spans="1:7" x14ac:dyDescent="0.35">
      <c r="A190" s="80">
        <v>46211</v>
      </c>
      <c r="B190" s="81">
        <v>3.8100000000000002E-2</v>
      </c>
      <c r="C190" s="22">
        <v>2.47E-2</v>
      </c>
      <c r="D190" s="22">
        <v>4.19E-2</v>
      </c>
      <c r="E190" s="22">
        <v>4.0099999999999997E-2</v>
      </c>
      <c r="F190" s="22">
        <v>4.5499999999999999E-2</v>
      </c>
      <c r="G190" s="88">
        <v>63365</v>
      </c>
    </row>
    <row r="191" spans="1:7" x14ac:dyDescent="0.35">
      <c r="A191" s="80">
        <v>46212</v>
      </c>
      <c r="B191" s="81">
        <v>3.7100000000000001E-2</v>
      </c>
      <c r="C191" s="22">
        <v>2.47E-2</v>
      </c>
      <c r="D191" s="22">
        <v>4.0800000000000003E-2</v>
      </c>
      <c r="E191" s="22">
        <v>3.8899999999999997E-2</v>
      </c>
      <c r="F191" s="22">
        <v>4.5499999999999999E-2</v>
      </c>
      <c r="G191" s="88">
        <v>62291</v>
      </c>
    </row>
    <row r="192" spans="1:7" x14ac:dyDescent="0.35">
      <c r="A192" s="80">
        <v>46213</v>
      </c>
      <c r="B192" s="81">
        <v>3.6400000000000002E-2</v>
      </c>
      <c r="C192" s="22">
        <v>2.47E-2</v>
      </c>
      <c r="D192" s="22">
        <v>3.9399999999999998E-2</v>
      </c>
      <c r="E192" s="22">
        <v>3.78E-2</v>
      </c>
      <c r="F192" s="22">
        <v>4.5199999999999997E-2</v>
      </c>
      <c r="G192" s="88">
        <v>64231</v>
      </c>
    </row>
    <row r="193" spans="1:7" x14ac:dyDescent="0.35">
      <c r="A193" s="80">
        <v>46214</v>
      </c>
      <c r="B193" s="81">
        <v>3.6999999999999998E-2</v>
      </c>
      <c r="C193" s="22">
        <v>2.47E-2</v>
      </c>
      <c r="D193" s="22">
        <v>4.07E-2</v>
      </c>
      <c r="E193" s="22">
        <v>3.8899999999999997E-2</v>
      </c>
      <c r="F193" s="22">
        <v>4.3799999999999999E-2</v>
      </c>
      <c r="G193" s="88">
        <v>64161</v>
      </c>
    </row>
    <row r="194" spans="1:7" x14ac:dyDescent="0.35">
      <c r="A194" s="80">
        <v>46215</v>
      </c>
      <c r="B194" s="81">
        <v>3.6799999999999999E-2</v>
      </c>
      <c r="C194" s="22">
        <v>2.47E-2</v>
      </c>
      <c r="D194" s="22">
        <v>0.04</v>
      </c>
      <c r="E194" s="22">
        <v>3.8199999999999998E-2</v>
      </c>
      <c r="F194" s="22">
        <v>4.5900000000000003E-2</v>
      </c>
      <c r="G194" s="88">
        <v>63819</v>
      </c>
    </row>
    <row r="195" spans="1:7" x14ac:dyDescent="0.35">
      <c r="A195" s="80">
        <v>46216</v>
      </c>
      <c r="B195" s="81">
        <v>3.5900000000000001E-2</v>
      </c>
      <c r="C195" s="22">
        <v>2.47E-2</v>
      </c>
      <c r="D195" s="22">
        <v>3.95E-2</v>
      </c>
      <c r="E195" s="22">
        <v>3.78E-2</v>
      </c>
      <c r="F195" s="22">
        <v>4.4600000000000001E-2</v>
      </c>
      <c r="G195" s="88">
        <v>63781</v>
      </c>
    </row>
    <row r="196" spans="1:7" x14ac:dyDescent="0.35">
      <c r="A196" s="80">
        <v>46217</v>
      </c>
      <c r="B196" s="81">
        <v>3.73E-2</v>
      </c>
      <c r="C196" s="22">
        <v>2.47E-2</v>
      </c>
      <c r="D196" s="22">
        <v>4.0599999999999997E-2</v>
      </c>
      <c r="E196" s="22">
        <v>3.8800000000000001E-2</v>
      </c>
      <c r="F196" s="22">
        <v>4.3299999999999998E-2</v>
      </c>
      <c r="G196" s="88">
        <v>62335</v>
      </c>
    </row>
    <row r="197" spans="1:7" x14ac:dyDescent="0.35">
      <c r="A197" s="80">
        <v>46218</v>
      </c>
      <c r="B197" s="81">
        <v>3.7400000000000003E-2</v>
      </c>
      <c r="C197" s="22">
        <v>2.47E-2</v>
      </c>
      <c r="D197" s="22">
        <v>4.0300000000000002E-2</v>
      </c>
      <c r="E197" s="22">
        <v>3.85E-2</v>
      </c>
      <c r="F197" s="22">
        <v>4.4299999999999999E-2</v>
      </c>
      <c r="G197" s="88">
        <v>65044</v>
      </c>
    </row>
    <row r="198" spans="1:7" x14ac:dyDescent="0.35">
      <c r="A198" s="80">
        <v>46219</v>
      </c>
      <c r="B198" s="81">
        <v>3.7900000000000003E-2</v>
      </c>
      <c r="C198" s="22">
        <v>2.47E-2</v>
      </c>
      <c r="D198" s="22">
        <v>4.1700000000000001E-2</v>
      </c>
      <c r="E198" s="22">
        <v>3.9899999999999998E-2</v>
      </c>
      <c r="F198" s="22">
        <v>4.65E-2</v>
      </c>
      <c r="G198" s="88">
        <v>63831</v>
      </c>
    </row>
    <row r="199" spans="1:7" x14ac:dyDescent="0.35">
      <c r="A199" s="80">
        <v>46220</v>
      </c>
      <c r="B199" s="81">
        <v>3.7499999999999999E-2</v>
      </c>
      <c r="C199" s="22">
        <v>2.47E-2</v>
      </c>
      <c r="D199" s="22">
        <v>4.1200000000000001E-2</v>
      </c>
      <c r="E199" s="22">
        <v>3.9300000000000002E-2</v>
      </c>
      <c r="F199" s="22">
        <v>4.5900000000000003E-2</v>
      </c>
      <c r="G199" s="88">
        <v>63831</v>
      </c>
    </row>
    <row r="200" spans="1:7" x14ac:dyDescent="0.35">
      <c r="A200" s="80">
        <v>46221</v>
      </c>
      <c r="B200" s="81">
        <v>3.6299999999999999E-2</v>
      </c>
      <c r="C200" s="22">
        <v>2.47E-2</v>
      </c>
      <c r="D200" s="22">
        <v>3.9899999999999998E-2</v>
      </c>
      <c r="E200" s="22">
        <v>3.8100000000000002E-2</v>
      </c>
      <c r="F200" s="22">
        <v>4.3900000000000002E-2</v>
      </c>
      <c r="G200" s="88">
        <v>63932</v>
      </c>
    </row>
    <row r="201" spans="1:7" x14ac:dyDescent="0.35">
      <c r="A201" s="80">
        <v>46222</v>
      </c>
      <c r="B201" s="81">
        <v>3.5900000000000001E-2</v>
      </c>
      <c r="C201" s="22">
        <v>2.47E-2</v>
      </c>
      <c r="D201" s="22">
        <v>3.95E-2</v>
      </c>
      <c r="E201" s="22">
        <v>3.78E-2</v>
      </c>
      <c r="F201" s="22">
        <v>4.3700000000000003E-2</v>
      </c>
      <c r="G201" s="88">
        <v>64835</v>
      </c>
    </row>
    <row r="202" spans="1:7" x14ac:dyDescent="0.35">
      <c r="A202" s="80">
        <v>46223</v>
      </c>
      <c r="B202" s="81">
        <v>3.6600000000000001E-2</v>
      </c>
      <c r="C202" s="22">
        <v>2.47E-2</v>
      </c>
      <c r="D202" s="22">
        <v>3.95E-2</v>
      </c>
      <c r="E202" s="22">
        <v>3.78E-2</v>
      </c>
      <c r="F202" s="22">
        <v>4.3099999999999999E-2</v>
      </c>
      <c r="G202" s="88">
        <v>64723</v>
      </c>
    </row>
    <row r="203" spans="1:7" x14ac:dyDescent="0.35">
      <c r="A203" s="80">
        <v>46224</v>
      </c>
      <c r="B203" s="81">
        <v>3.6799999999999999E-2</v>
      </c>
      <c r="C203" s="22">
        <v>2.47E-2</v>
      </c>
      <c r="D203" s="22">
        <v>4.0500000000000001E-2</v>
      </c>
      <c r="E203" s="22">
        <v>3.78E-2</v>
      </c>
      <c r="F203" s="22">
        <v>4.24E-2</v>
      </c>
      <c r="G203" s="88">
        <v>65256</v>
      </c>
    </row>
    <row r="204" spans="1:7" x14ac:dyDescent="0.35">
      <c r="A204" s="80">
        <v>46225</v>
      </c>
      <c r="B204" s="81">
        <v>3.7600000000000001E-2</v>
      </c>
      <c r="C204" s="22">
        <v>2.47E-2</v>
      </c>
      <c r="D204" s="22">
        <v>4.1300000000000003E-2</v>
      </c>
      <c r="E204" s="22">
        <v>3.78E-2</v>
      </c>
      <c r="F204" s="22">
        <v>4.4999999999999998E-2</v>
      </c>
      <c r="G204" s="88">
        <v>66556</v>
      </c>
    </row>
    <row r="205" spans="1:7" x14ac:dyDescent="0.35">
      <c r="A205" s="80">
        <v>46226</v>
      </c>
      <c r="B205" s="81">
        <v>3.8100000000000002E-2</v>
      </c>
      <c r="C205" s="22">
        <v>2.47E-2</v>
      </c>
      <c r="D205" s="22">
        <v>4.19E-2</v>
      </c>
      <c r="E205" s="22">
        <v>3.78E-2</v>
      </c>
      <c r="F205" s="22">
        <v>4.48E-2</v>
      </c>
      <c r="G205" s="88">
        <v>66115</v>
      </c>
    </row>
    <row r="206" spans="1:7" x14ac:dyDescent="0.35">
      <c r="A206" s="80">
        <v>46227</v>
      </c>
      <c r="B206" s="81">
        <v>3.8100000000000002E-2</v>
      </c>
      <c r="C206" s="22">
        <v>2.47E-2</v>
      </c>
      <c r="D206" s="22">
        <v>4.2200000000000001E-2</v>
      </c>
      <c r="E206" s="22">
        <v>3.78E-2</v>
      </c>
      <c r="F206" s="22">
        <v>4.58E-2</v>
      </c>
      <c r="G206" s="88">
        <v>64140</v>
      </c>
    </row>
    <row r="207" spans="1:7" x14ac:dyDescent="0.35">
      <c r="A207" s="80">
        <v>46228</v>
      </c>
      <c r="B207" s="81">
        <v>3.7900000000000003E-2</v>
      </c>
      <c r="C207" s="22">
        <v>2.47E-2</v>
      </c>
      <c r="D207" s="22">
        <v>4.1700000000000001E-2</v>
      </c>
      <c r="E207" s="22">
        <v>3.78E-2</v>
      </c>
      <c r="F207" s="22">
        <v>4.5999999999999999E-2</v>
      </c>
      <c r="G207" s="88">
        <v>64100</v>
      </c>
    </row>
    <row r="208" spans="1:7" x14ac:dyDescent="0.35">
      <c r="A208" s="80">
        <v>46229</v>
      </c>
      <c r="B208" s="81">
        <v>3.7699999999999997E-2</v>
      </c>
      <c r="C208" s="22">
        <v>2.47E-2</v>
      </c>
      <c r="D208" s="22">
        <v>4.1500000000000002E-2</v>
      </c>
      <c r="E208" s="22">
        <v>3.78E-2</v>
      </c>
      <c r="F208" s="22">
        <v>4.5499999999999999E-2</v>
      </c>
      <c r="G208" s="88">
        <v>64377</v>
      </c>
    </row>
    <row r="209" spans="1:7" x14ac:dyDescent="0.35">
      <c r="A209" s="80">
        <v>46230</v>
      </c>
      <c r="B209" s="81">
        <v>3.8199999999999998E-2</v>
      </c>
      <c r="C209" s="22">
        <v>2.47E-2</v>
      </c>
      <c r="D209" s="22">
        <v>4.1500000000000002E-2</v>
      </c>
      <c r="E209" s="22">
        <v>3.78E-2</v>
      </c>
      <c r="F209" s="22">
        <v>4.4699999999999997E-2</v>
      </c>
      <c r="G209" s="88">
        <v>65400</v>
      </c>
    </row>
    <row r="210" spans="1:7" x14ac:dyDescent="0.35">
      <c r="A210" s="80">
        <v>46231</v>
      </c>
      <c r="B210" s="81">
        <v>3.7400000000000003E-2</v>
      </c>
      <c r="C210" s="22">
        <v>2.47E-2</v>
      </c>
      <c r="D210" s="22">
        <v>4.1099999999999998E-2</v>
      </c>
      <c r="E210" s="22">
        <v>3.9300000000000002E-2</v>
      </c>
      <c r="F210" s="22">
        <v>4.6300000000000001E-2</v>
      </c>
      <c r="G210" s="88">
        <v>63756</v>
      </c>
    </row>
    <row r="211" spans="1:7" x14ac:dyDescent="0.35">
      <c r="A211" s="80">
        <v>46232</v>
      </c>
      <c r="B211" s="81">
        <v>3.7699999999999997E-2</v>
      </c>
      <c r="C211" s="22">
        <v>2.47E-2</v>
      </c>
      <c r="D211" s="22">
        <v>4.1500000000000002E-2</v>
      </c>
      <c r="E211" s="22">
        <v>3.9199999999999999E-2</v>
      </c>
      <c r="F211" s="22">
        <v>4.36E-2</v>
      </c>
      <c r="G211" s="88">
        <v>63916</v>
      </c>
    </row>
    <row r="212" spans="1:7" x14ac:dyDescent="0.35">
      <c r="A212" s="80">
        <v>46233</v>
      </c>
      <c r="B212" s="81">
        <v>3.9699999999999999E-2</v>
      </c>
      <c r="C212" s="22">
        <v>2.47E-2</v>
      </c>
      <c r="D212" s="22">
        <v>4.3700000000000003E-2</v>
      </c>
      <c r="E212" s="22">
        <v>4.1799999999999997E-2</v>
      </c>
      <c r="F212" s="22">
        <v>4.6600000000000003E-2</v>
      </c>
      <c r="G212" s="88">
        <v>63985</v>
      </c>
    </row>
    <row r="213" spans="1:7" x14ac:dyDescent="0.35">
      <c r="A213" s="80">
        <v>46234</v>
      </c>
      <c r="B213" s="81">
        <v>0.04</v>
      </c>
      <c r="C213" s="22">
        <v>2.47E-2</v>
      </c>
      <c r="D213" s="22">
        <v>4.3999999999999997E-2</v>
      </c>
      <c r="E213" s="22">
        <v>4.2099999999999999E-2</v>
      </c>
      <c r="F213" s="22">
        <v>4.8000000000000001E-2</v>
      </c>
      <c r="G213" s="88">
        <v>64781</v>
      </c>
    </row>
    <row r="214" spans="1:7" x14ac:dyDescent="0.35">
      <c r="A214" s="80">
        <v>46235</v>
      </c>
      <c r="B214" s="81">
        <v>3.8800000000000001E-2</v>
      </c>
      <c r="C214" s="22">
        <v>2.47E-2</v>
      </c>
      <c r="D214" s="22">
        <v>4.2700000000000002E-2</v>
      </c>
      <c r="E214" s="22">
        <v>4.0800000000000003E-2</v>
      </c>
      <c r="F214" s="22">
        <v>4.7800000000000002E-2</v>
      </c>
      <c r="G214" s="88">
        <v>62888</v>
      </c>
    </row>
    <row r="215" spans="1:7" x14ac:dyDescent="0.35">
      <c r="A215" s="80">
        <v>46236</v>
      </c>
      <c r="B215" s="81">
        <v>3.8100000000000002E-2</v>
      </c>
      <c r="C215" s="22">
        <v>2.47E-2</v>
      </c>
      <c r="D215" s="22">
        <v>4.19E-2</v>
      </c>
      <c r="E215" s="22">
        <v>4.0099999999999997E-2</v>
      </c>
      <c r="F215" s="22">
        <v>4.7E-2</v>
      </c>
      <c r="G215" s="88">
        <v>62824</v>
      </c>
    </row>
    <row r="216" spans="1:7" x14ac:dyDescent="0.35">
      <c r="A216" s="80">
        <v>46237</v>
      </c>
      <c r="B216" s="81">
        <v>3.8600000000000002E-2</v>
      </c>
      <c r="C216" s="22">
        <v>2.47E-2</v>
      </c>
      <c r="D216" s="22">
        <v>4.24E-2</v>
      </c>
      <c r="E216" s="22">
        <v>4.0599999999999997E-2</v>
      </c>
      <c r="F216" s="22">
        <v>4.6199999999999998E-2</v>
      </c>
      <c r="G216" s="88">
        <v>63570</v>
      </c>
    </row>
    <row r="217" spans="1:7" x14ac:dyDescent="0.35">
      <c r="A217" s="80">
        <v>46238</v>
      </c>
      <c r="B217" s="81">
        <v>3.9100000000000003E-2</v>
      </c>
      <c r="C217" s="22">
        <v>2.47E-2</v>
      </c>
      <c r="D217" s="22">
        <v>4.2999999999999997E-2</v>
      </c>
      <c r="E217" s="22">
        <v>4.1099999999999998E-2</v>
      </c>
      <c r="F217" s="22">
        <v>4.7199999999999999E-2</v>
      </c>
      <c r="G217" s="88">
        <v>63520</v>
      </c>
    </row>
    <row r="218" spans="1:7" x14ac:dyDescent="0.35">
      <c r="A218" s="80">
        <v>46239</v>
      </c>
      <c r="B218" s="81">
        <v>3.8800000000000001E-2</v>
      </c>
      <c r="C218" s="22">
        <v>2.47E-2</v>
      </c>
      <c r="D218" s="22">
        <v>4.2700000000000002E-2</v>
      </c>
      <c r="E218" s="22">
        <v>4.0800000000000003E-2</v>
      </c>
      <c r="F218" s="22">
        <v>4.7100000000000003E-2</v>
      </c>
      <c r="G218" s="88">
        <v>64106</v>
      </c>
    </row>
    <row r="219" spans="1:7" x14ac:dyDescent="0.35">
      <c r="A219" s="80">
        <v>46240</v>
      </c>
      <c r="B219" s="81">
        <v>3.8100000000000002E-2</v>
      </c>
      <c r="C219" s="22">
        <v>2.76E-2</v>
      </c>
      <c r="D219" s="22">
        <v>4.19E-2</v>
      </c>
      <c r="E219" s="22">
        <v>4.0099999999999997E-2</v>
      </c>
      <c r="F219" s="22">
        <v>4.7699999999999999E-2</v>
      </c>
      <c r="G219" s="88">
        <v>64665</v>
      </c>
    </row>
    <row r="220" spans="1:7" x14ac:dyDescent="0.35">
      <c r="A220" s="80">
        <v>46241</v>
      </c>
      <c r="B220" s="81">
        <v>3.9E-2</v>
      </c>
      <c r="C220" s="22">
        <v>2.76E-2</v>
      </c>
      <c r="D220" s="22">
        <v>4.2900000000000001E-2</v>
      </c>
      <c r="E220" s="22">
        <v>4.1000000000000002E-2</v>
      </c>
      <c r="F220" s="22">
        <v>4.7699999999999999E-2</v>
      </c>
      <c r="G220" s="88">
        <v>64324</v>
      </c>
    </row>
    <row r="221" spans="1:7" x14ac:dyDescent="0.35">
      <c r="A221" s="80">
        <v>46242</v>
      </c>
      <c r="B221" s="81">
        <v>3.9399999999999998E-2</v>
      </c>
      <c r="C221" s="22">
        <v>2.76E-2</v>
      </c>
      <c r="D221" s="22">
        <v>4.3299999999999998E-2</v>
      </c>
      <c r="E221" s="22">
        <v>4.1399999999999999E-2</v>
      </c>
      <c r="F221" s="22">
        <v>4.8599999999999997E-2</v>
      </c>
      <c r="G221" s="88">
        <v>64924</v>
      </c>
    </row>
    <row r="222" spans="1:7" x14ac:dyDescent="0.35">
      <c r="A222" s="80">
        <v>46243</v>
      </c>
      <c r="B222" s="81">
        <v>3.9300000000000002E-2</v>
      </c>
      <c r="C222" s="22">
        <v>2.76E-2</v>
      </c>
      <c r="D222" s="22">
        <v>4.3299999999999998E-2</v>
      </c>
      <c r="E222" s="22">
        <v>4.1300000000000003E-2</v>
      </c>
      <c r="F222" s="22">
        <v>4.9799999999999997E-2</v>
      </c>
      <c r="G222" s="88">
        <v>64963</v>
      </c>
    </row>
    <row r="223" spans="1:7" x14ac:dyDescent="0.35">
      <c r="A223" s="80">
        <v>46244</v>
      </c>
      <c r="B223" s="81">
        <v>0.04</v>
      </c>
      <c r="C223" s="22">
        <v>2.76E-2</v>
      </c>
      <c r="D223" s="22">
        <v>4.3999999999999997E-2</v>
      </c>
      <c r="E223" s="22">
        <v>4.1599999999999998E-2</v>
      </c>
      <c r="F223" s="22">
        <v>4.9099999999999998E-2</v>
      </c>
      <c r="G223" s="88">
        <v>64902</v>
      </c>
    </row>
    <row r="224" spans="1:7" x14ac:dyDescent="0.35">
      <c r="A224" s="80">
        <v>46245</v>
      </c>
      <c r="B224" s="81">
        <v>4.07E-2</v>
      </c>
      <c r="C224" s="22">
        <v>2.76E-2</v>
      </c>
      <c r="D224" s="22">
        <v>4.4699999999999997E-2</v>
      </c>
      <c r="E224" s="22">
        <v>4.2799999999999998E-2</v>
      </c>
      <c r="F224" s="22">
        <v>5.1499999999999997E-2</v>
      </c>
      <c r="G224" s="88">
        <v>63971</v>
      </c>
    </row>
    <row r="225" spans="1:7" x14ac:dyDescent="0.35">
      <c r="A225" s="80">
        <v>46246</v>
      </c>
      <c r="B225" s="81">
        <v>4.07E-2</v>
      </c>
      <c r="C225" s="22">
        <v>2.76E-2</v>
      </c>
      <c r="D225" s="22">
        <v>4.3999999999999997E-2</v>
      </c>
      <c r="E225" s="22">
        <v>4.2099999999999999E-2</v>
      </c>
      <c r="F225" s="22">
        <v>5.1700000000000003E-2</v>
      </c>
      <c r="G225" s="88"/>
    </row>
    <row r="226" spans="1:7" x14ac:dyDescent="0.35">
      <c r="A226" s="80">
        <v>46247</v>
      </c>
      <c r="B226" s="81"/>
      <c r="C226" s="22"/>
      <c r="D226" s="22"/>
      <c r="E226" s="22"/>
      <c r="F226" s="22"/>
      <c r="G226" s="88"/>
    </row>
    <row r="227" spans="1:7" x14ac:dyDescent="0.35">
      <c r="A227" s="80">
        <v>46248</v>
      </c>
      <c r="B227" s="81"/>
      <c r="C227" s="22"/>
      <c r="D227" s="22"/>
      <c r="E227" s="22"/>
      <c r="F227" s="22"/>
      <c r="G227" s="88"/>
    </row>
    <row r="228" spans="1:7" x14ac:dyDescent="0.35">
      <c r="A228" s="80">
        <v>46249</v>
      </c>
      <c r="B228" s="81"/>
      <c r="C228" s="22"/>
      <c r="D228" s="22"/>
      <c r="E228" s="22"/>
      <c r="F228" s="22"/>
      <c r="G228" s="88"/>
    </row>
    <row r="229" spans="1:7" x14ac:dyDescent="0.35">
      <c r="A229" s="80">
        <v>46250</v>
      </c>
      <c r="B229" s="81"/>
      <c r="C229" s="22"/>
      <c r="D229" s="22"/>
      <c r="E229" s="22"/>
      <c r="F229" s="22"/>
      <c r="G229" s="88"/>
    </row>
    <row r="1048576" spans="3:3" x14ac:dyDescent="0.35">
      <c r="C1048576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23899-2C0B-4B24-87C6-64610CA5A78F}">
  <dimension ref="A1:BS1048576"/>
  <sheetViews>
    <sheetView topLeftCell="A166" zoomScaleNormal="100" workbookViewId="0">
      <selection activeCell="P173" sqref="P173"/>
    </sheetView>
  </sheetViews>
  <sheetFormatPr defaultColWidth="8.54296875" defaultRowHeight="14.5" x14ac:dyDescent="0.35"/>
  <cols>
    <col min="1" max="1" width="10.54296875" bestFit="1" customWidth="1"/>
    <col min="2" max="6" width="4.453125" bestFit="1" customWidth="1"/>
    <col min="7" max="7" width="5.453125" bestFit="1" customWidth="1"/>
    <col min="8" max="8" width="7.90625" bestFit="1" customWidth="1"/>
    <col min="9" max="9" width="10.54296875" bestFit="1" customWidth="1"/>
    <col min="10" max="10" width="4.1796875" bestFit="1" customWidth="1"/>
    <col min="11" max="14" width="4.453125" bestFit="1" customWidth="1"/>
    <col min="15" max="15" width="5.453125" bestFit="1" customWidth="1"/>
    <col min="16" max="16" width="7.90625" bestFit="1" customWidth="1"/>
    <col min="19" max="19" width="10.54296875" bestFit="1" customWidth="1"/>
    <col min="20" max="20" width="4.1796875" bestFit="1" customWidth="1"/>
    <col min="21" max="23" width="4.453125" bestFit="1" customWidth="1"/>
    <col min="24" max="24" width="8.1796875" bestFit="1" customWidth="1"/>
    <col min="25" max="25" width="5.453125" bestFit="1" customWidth="1"/>
    <col min="26" max="26" width="8.1796875" bestFit="1" customWidth="1"/>
    <col min="27" max="27" width="10.54296875" bestFit="1" customWidth="1"/>
    <col min="28" max="28" width="4.1796875" bestFit="1" customWidth="1"/>
    <col min="29" max="32" width="4.453125" bestFit="1" customWidth="1"/>
    <col min="33" max="33" width="5.453125" bestFit="1" customWidth="1"/>
    <col min="34" max="34" width="7.90625" bestFit="1" customWidth="1"/>
    <col min="37" max="37" width="10.54296875" bestFit="1" customWidth="1"/>
    <col min="38" max="38" width="8.26953125" bestFit="1" customWidth="1"/>
    <col min="39" max="40" width="6.1796875" bestFit="1" customWidth="1"/>
    <col min="41" max="41" width="5.81640625" bestFit="1" customWidth="1"/>
    <col min="42" max="43" width="6.1796875" bestFit="1" customWidth="1"/>
    <col min="44" max="44" width="7.1796875" bestFit="1" customWidth="1"/>
    <col min="45" max="45" width="10.54296875" bestFit="1" customWidth="1"/>
    <col min="46" max="46" width="6.1796875" bestFit="1" customWidth="1"/>
    <col min="47" max="48" width="8.1796875" bestFit="1" customWidth="1"/>
    <col min="49" max="49" width="8.26953125" bestFit="1" customWidth="1"/>
    <col min="50" max="50" width="6.1796875" bestFit="1" customWidth="1"/>
    <col min="51" max="51" width="7.7265625" bestFit="1" customWidth="1"/>
    <col min="52" max="52" width="8.26953125" bestFit="1" customWidth="1"/>
    <col min="55" max="55" width="10.54296875" bestFit="1" customWidth="1"/>
    <col min="56" max="56" width="6.1796875" bestFit="1" customWidth="1"/>
    <col min="57" max="57" width="7.90625" bestFit="1" customWidth="1"/>
    <col min="58" max="58" width="6.1796875" bestFit="1" customWidth="1"/>
    <col min="59" max="60" width="4.453125" bestFit="1" customWidth="1"/>
    <col min="61" max="61" width="5.453125" bestFit="1" customWidth="1"/>
    <col min="62" max="62" width="8.26953125" bestFit="1" customWidth="1"/>
    <col min="63" max="63" width="10.54296875" bestFit="1" customWidth="1"/>
    <col min="64" max="64" width="8.1796875" bestFit="1" customWidth="1"/>
    <col min="65" max="65" width="4.453125" bestFit="1" customWidth="1"/>
    <col min="66" max="66" width="7.81640625" bestFit="1" customWidth="1"/>
    <col min="67" max="68" width="4.453125" bestFit="1" customWidth="1"/>
    <col min="69" max="69" width="5.453125" bestFit="1" customWidth="1"/>
    <col min="70" max="70" width="8.1796875" bestFit="1" customWidth="1"/>
  </cols>
  <sheetData>
    <row r="1" spans="1:71" x14ac:dyDescent="0.35">
      <c r="A1" s="92" t="s">
        <v>12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4"/>
      <c r="S1" s="92" t="s">
        <v>15</v>
      </c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4"/>
      <c r="AK1" s="92" t="s">
        <v>16</v>
      </c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4"/>
      <c r="BC1" s="92" t="s">
        <v>17</v>
      </c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4"/>
    </row>
    <row r="2" spans="1:71" x14ac:dyDescent="0.35">
      <c r="A2" s="3" t="s">
        <v>13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1" t="s">
        <v>14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7" t="s">
        <v>58</v>
      </c>
      <c r="S2" s="3" t="s">
        <v>13</v>
      </c>
      <c r="T2" s="3" t="s">
        <v>5</v>
      </c>
      <c r="U2" s="3" t="s">
        <v>6</v>
      </c>
      <c r="V2" s="3" t="s">
        <v>7</v>
      </c>
      <c r="W2" s="3" t="s">
        <v>8</v>
      </c>
      <c r="X2" s="3" t="s">
        <v>9</v>
      </c>
      <c r="Y2" s="3" t="s">
        <v>10</v>
      </c>
      <c r="Z2" s="3" t="s">
        <v>11</v>
      </c>
      <c r="AA2" s="1" t="s">
        <v>14</v>
      </c>
      <c r="AB2" s="1" t="s">
        <v>5</v>
      </c>
      <c r="AC2" s="1" t="s">
        <v>6</v>
      </c>
      <c r="AD2" s="1" t="s">
        <v>7</v>
      </c>
      <c r="AE2" s="1" t="s">
        <v>8</v>
      </c>
      <c r="AF2" s="1" t="s">
        <v>9</v>
      </c>
      <c r="AG2" s="1" t="s">
        <v>10</v>
      </c>
      <c r="AH2" s="1" t="s">
        <v>11</v>
      </c>
      <c r="AI2" s="11" t="s">
        <v>58</v>
      </c>
      <c r="AK2" s="3" t="s">
        <v>13</v>
      </c>
      <c r="AL2" s="3" t="s">
        <v>5</v>
      </c>
      <c r="AM2" s="3" t="s">
        <v>6</v>
      </c>
      <c r="AN2" s="3" t="s">
        <v>7</v>
      </c>
      <c r="AO2" s="3" t="s">
        <v>8</v>
      </c>
      <c r="AP2" s="3" t="s">
        <v>9</v>
      </c>
      <c r="AQ2" s="3" t="s">
        <v>10</v>
      </c>
      <c r="AR2" s="3" t="s">
        <v>11</v>
      </c>
      <c r="AS2" s="1" t="s">
        <v>14</v>
      </c>
      <c r="AT2" s="1" t="s">
        <v>5</v>
      </c>
      <c r="AU2" s="1" t="s">
        <v>6</v>
      </c>
      <c r="AV2" s="1" t="s">
        <v>7</v>
      </c>
      <c r="AW2" s="1" t="s">
        <v>8</v>
      </c>
      <c r="AX2" s="1" t="s">
        <v>9</v>
      </c>
      <c r="AY2" s="1" t="s">
        <v>10</v>
      </c>
      <c r="AZ2" s="1" t="s">
        <v>11</v>
      </c>
      <c r="BA2" s="17" t="s">
        <v>58</v>
      </c>
      <c r="BC2" s="3" t="s">
        <v>13</v>
      </c>
      <c r="BD2" s="3" t="s">
        <v>5</v>
      </c>
      <c r="BE2" s="3" t="s">
        <v>6</v>
      </c>
      <c r="BF2" s="3" t="s">
        <v>7</v>
      </c>
      <c r="BG2" s="3" t="s">
        <v>8</v>
      </c>
      <c r="BH2" s="3" t="s">
        <v>9</v>
      </c>
      <c r="BI2" s="3" t="s">
        <v>10</v>
      </c>
      <c r="BJ2" s="3" t="s">
        <v>11</v>
      </c>
      <c r="BK2" s="1" t="s">
        <v>14</v>
      </c>
      <c r="BL2" s="1" t="s">
        <v>5</v>
      </c>
      <c r="BM2" s="1" t="s">
        <v>6</v>
      </c>
      <c r="BN2" s="1" t="s">
        <v>7</v>
      </c>
      <c r="BO2" s="1" t="s">
        <v>8</v>
      </c>
      <c r="BP2" s="1" t="s">
        <v>9</v>
      </c>
      <c r="BQ2" s="1" t="s">
        <v>10</v>
      </c>
      <c r="BR2" s="1" t="s">
        <v>11</v>
      </c>
      <c r="BS2" s="17" t="s">
        <v>58</v>
      </c>
    </row>
    <row r="3" spans="1:71" x14ac:dyDescent="0.35">
      <c r="A3" s="3"/>
      <c r="B3" s="3"/>
      <c r="C3" s="3"/>
      <c r="D3" s="3"/>
      <c r="E3" s="3"/>
      <c r="F3" s="3"/>
      <c r="G3" s="3"/>
      <c r="H3" s="5"/>
      <c r="I3" s="1"/>
      <c r="J3" s="1"/>
      <c r="K3" s="1"/>
      <c r="L3" s="1"/>
      <c r="M3" s="1"/>
      <c r="N3" s="1"/>
      <c r="O3" s="1"/>
      <c r="P3" s="1"/>
      <c r="Q3" s="17"/>
      <c r="S3" s="3"/>
      <c r="T3" s="3"/>
      <c r="U3" s="3"/>
      <c r="V3" s="3"/>
      <c r="W3" s="3"/>
      <c r="X3" s="3"/>
      <c r="Y3" s="3"/>
      <c r="Z3" s="3"/>
      <c r="AA3" s="1"/>
      <c r="AB3" s="1"/>
      <c r="AC3" s="1"/>
      <c r="AD3" s="1"/>
      <c r="AE3" s="1"/>
      <c r="AF3" s="1"/>
      <c r="AG3" s="1"/>
      <c r="AH3" s="1"/>
      <c r="AI3" s="11"/>
      <c r="AK3" s="3"/>
      <c r="AL3" s="3" t="s">
        <v>46</v>
      </c>
      <c r="AM3" s="3"/>
      <c r="AN3" s="3"/>
      <c r="AO3" s="3"/>
      <c r="AP3" s="3" t="s">
        <v>35</v>
      </c>
      <c r="AQ3" s="3" t="s">
        <v>35</v>
      </c>
      <c r="AR3" s="3"/>
      <c r="AS3" s="1"/>
      <c r="AT3" s="1"/>
      <c r="AU3" s="1"/>
      <c r="AV3" s="1"/>
      <c r="AW3" s="1"/>
      <c r="AX3" s="1"/>
      <c r="AY3" s="1"/>
      <c r="AZ3" s="1"/>
      <c r="BA3" s="11"/>
      <c r="BC3" s="3"/>
      <c r="BD3" s="3"/>
      <c r="BE3" s="3"/>
      <c r="BF3" s="3"/>
      <c r="BG3" s="3"/>
      <c r="BH3" s="3"/>
      <c r="BI3" s="3"/>
      <c r="BJ3" s="3"/>
      <c r="BK3" s="1"/>
      <c r="BL3" s="1"/>
      <c r="BM3" s="1"/>
      <c r="BN3" s="1"/>
      <c r="BO3" s="1"/>
      <c r="BP3" s="1"/>
      <c r="BQ3" s="1"/>
      <c r="BR3" s="1"/>
      <c r="BS3" s="11"/>
    </row>
    <row r="4" spans="1:71" x14ac:dyDescent="0.35">
      <c r="A4" s="4">
        <v>46077</v>
      </c>
      <c r="B4" s="3" t="s">
        <v>33</v>
      </c>
      <c r="C4" s="3" t="s">
        <v>33</v>
      </c>
      <c r="D4" s="3" t="s">
        <v>32</v>
      </c>
      <c r="E4" s="3" t="s">
        <v>33</v>
      </c>
      <c r="F4" s="3" t="s">
        <v>32</v>
      </c>
      <c r="G4" s="3" t="s">
        <v>33</v>
      </c>
      <c r="H4" s="9">
        <v>8.3999999999999995E-3</v>
      </c>
      <c r="I4" s="2">
        <v>46077</v>
      </c>
      <c r="J4" s="1" t="s">
        <v>33</v>
      </c>
      <c r="K4" s="1" t="s">
        <v>33</v>
      </c>
      <c r="L4" s="1" t="s">
        <v>32</v>
      </c>
      <c r="M4" s="1" t="s">
        <v>33</v>
      </c>
      <c r="N4" s="1" t="s">
        <v>32</v>
      </c>
      <c r="O4" s="1" t="s">
        <v>32</v>
      </c>
      <c r="P4" s="57">
        <v>3.0499999999999999E-2</v>
      </c>
      <c r="Q4" s="59">
        <f>P4-H4</f>
        <v>2.2100000000000002E-2</v>
      </c>
      <c r="S4" s="4">
        <v>46077</v>
      </c>
      <c r="T4" s="3" t="s">
        <v>33</v>
      </c>
      <c r="U4" s="3" t="s">
        <v>33</v>
      </c>
      <c r="V4" s="3" t="s">
        <v>33</v>
      </c>
      <c r="W4" s="3" t="s">
        <v>33</v>
      </c>
      <c r="X4" s="6">
        <v>3.5000000000000003E-2</v>
      </c>
      <c r="Y4" s="3" t="s">
        <v>33</v>
      </c>
      <c r="Z4" s="6">
        <v>1.1299999999999999E-2</v>
      </c>
      <c r="AA4" s="2">
        <v>46077</v>
      </c>
      <c r="AB4" s="1" t="s">
        <v>33</v>
      </c>
      <c r="AC4" s="1" t="s">
        <v>33</v>
      </c>
      <c r="AD4" s="1" t="s">
        <v>33</v>
      </c>
      <c r="AE4" s="1" t="s">
        <v>33</v>
      </c>
      <c r="AF4" s="1" t="s">
        <v>33</v>
      </c>
      <c r="AG4" s="1" t="s">
        <v>33</v>
      </c>
      <c r="AH4" s="57">
        <v>2.9700000000000001E-2</v>
      </c>
      <c r="AI4" s="12">
        <f>AH4-Z4</f>
        <v>1.84E-2</v>
      </c>
      <c r="AK4" s="4">
        <v>46077</v>
      </c>
      <c r="AL4" s="9">
        <v>0.02</v>
      </c>
      <c r="AM4" s="3"/>
      <c r="AN4" s="3"/>
      <c r="AO4" s="3"/>
      <c r="AP4" s="6">
        <v>2.5000000000000001E-2</v>
      </c>
      <c r="AQ4" s="6">
        <v>2.7E-2</v>
      </c>
      <c r="AR4" s="9">
        <v>6.0000000000000001E-3</v>
      </c>
      <c r="AS4" s="2">
        <v>46077</v>
      </c>
      <c r="AT4" s="58">
        <v>3.2000000000000001E-2</v>
      </c>
      <c r="AU4" s="58">
        <v>3.2000000000000001E-2</v>
      </c>
      <c r="AV4" s="58">
        <v>4.4999999999999998E-2</v>
      </c>
      <c r="AW4" s="58">
        <v>5.0999999999999997E-2</v>
      </c>
      <c r="AX4" s="58">
        <v>5.8799999999999998E-2</v>
      </c>
      <c r="AY4" s="58">
        <v>0.05</v>
      </c>
      <c r="AZ4" s="58">
        <v>3.49E-2</v>
      </c>
      <c r="BA4" s="12">
        <f>AZ4-AR4</f>
        <v>2.8900000000000002E-2</v>
      </c>
      <c r="BC4" s="4">
        <v>46077</v>
      </c>
      <c r="BD4" s="6">
        <v>8.8000000000000005E-3</v>
      </c>
      <c r="BE4" s="6">
        <v>8.8999999999999999E-3</v>
      </c>
      <c r="BF4" s="6">
        <v>9.1999999999999998E-3</v>
      </c>
      <c r="BG4" s="3"/>
      <c r="BH4" s="3"/>
      <c r="BI4" s="3"/>
      <c r="BJ4" s="6">
        <v>7.6E-3</v>
      </c>
      <c r="BK4" s="2">
        <v>46077</v>
      </c>
      <c r="BL4" s="57">
        <v>0.04</v>
      </c>
      <c r="BM4" s="1"/>
      <c r="BN4" s="57">
        <v>5.4800000000000001E-2</v>
      </c>
      <c r="BO4" s="1"/>
      <c r="BP4" s="1"/>
      <c r="BQ4" s="1"/>
      <c r="BR4" s="57">
        <v>3.0700000000000002E-2</v>
      </c>
      <c r="BS4" s="12">
        <f>BR4-BJ4</f>
        <v>2.3100000000000002E-2</v>
      </c>
    </row>
    <row r="5" spans="1:71" x14ac:dyDescent="0.35">
      <c r="A5" s="4">
        <v>46078</v>
      </c>
      <c r="B5" s="3" t="s">
        <v>33</v>
      </c>
      <c r="C5" s="3" t="s">
        <v>33</v>
      </c>
      <c r="D5" s="3" t="s">
        <v>32</v>
      </c>
      <c r="E5" s="3" t="s">
        <v>33</v>
      </c>
      <c r="F5" s="3" t="s">
        <v>32</v>
      </c>
      <c r="G5" s="3" t="s">
        <v>33</v>
      </c>
      <c r="H5" s="9">
        <v>8.5000000000000006E-3</v>
      </c>
      <c r="I5" s="2">
        <v>46078</v>
      </c>
      <c r="J5" s="1" t="s">
        <v>33</v>
      </c>
      <c r="K5" s="1" t="s">
        <v>33</v>
      </c>
      <c r="L5" s="1" t="s">
        <v>32</v>
      </c>
      <c r="M5" s="1" t="s">
        <v>33</v>
      </c>
      <c r="N5" s="1" t="s">
        <v>32</v>
      </c>
      <c r="O5" s="1" t="s">
        <v>32</v>
      </c>
      <c r="P5" s="57">
        <v>3.04E-2</v>
      </c>
      <c r="Q5" s="59">
        <f t="shared" ref="Q5:Q38" si="0">P5-H5</f>
        <v>2.1899999999999999E-2</v>
      </c>
      <c r="S5" s="4">
        <v>46078</v>
      </c>
      <c r="T5" s="3" t="s">
        <v>33</v>
      </c>
      <c r="U5" s="3" t="s">
        <v>33</v>
      </c>
      <c r="V5" s="3" t="s">
        <v>33</v>
      </c>
      <c r="W5" s="3" t="s">
        <v>33</v>
      </c>
      <c r="X5" s="6">
        <v>3.5000000000000003E-2</v>
      </c>
      <c r="Y5" s="3" t="s">
        <v>33</v>
      </c>
      <c r="Z5" s="6">
        <v>1.1299999999999999E-2</v>
      </c>
      <c r="AA5" s="2">
        <v>46078</v>
      </c>
      <c r="AB5" s="1" t="s">
        <v>33</v>
      </c>
      <c r="AC5" s="1" t="s">
        <v>33</v>
      </c>
      <c r="AD5" s="1" t="s">
        <v>33</v>
      </c>
      <c r="AE5" s="1" t="s">
        <v>33</v>
      </c>
      <c r="AF5" s="1" t="s">
        <v>33</v>
      </c>
      <c r="AG5" s="1" t="s">
        <v>33</v>
      </c>
      <c r="AH5" s="57">
        <v>0.03</v>
      </c>
      <c r="AI5" s="12">
        <f t="shared" ref="AI5:AI77" si="1">AH5-Z5</f>
        <v>1.8700000000000001E-2</v>
      </c>
      <c r="AK5" s="4">
        <v>46078</v>
      </c>
      <c r="AL5" s="9">
        <v>0.02</v>
      </c>
      <c r="AM5" s="3"/>
      <c r="AN5" s="3"/>
      <c r="AO5" s="3"/>
      <c r="AP5" s="6">
        <v>2.5000000000000001E-2</v>
      </c>
      <c r="AQ5" s="6">
        <v>2.7E-2</v>
      </c>
      <c r="AR5" s="9">
        <v>6.0000000000000001E-3</v>
      </c>
      <c r="AS5" s="2">
        <v>46078</v>
      </c>
      <c r="AT5" s="58">
        <v>0.03</v>
      </c>
      <c r="AU5" s="58">
        <v>3.15E-2</v>
      </c>
      <c r="AV5" s="58">
        <v>4.3900000000000002E-2</v>
      </c>
      <c r="AW5" s="58">
        <v>4.99E-2</v>
      </c>
      <c r="AX5" s="58">
        <v>5.8500000000000003E-2</v>
      </c>
      <c r="AY5" s="58">
        <v>6.4500000000000002E-2</v>
      </c>
      <c r="AZ5" s="58">
        <v>3.44E-2</v>
      </c>
      <c r="BA5" s="12">
        <f t="shared" ref="BA5:BA70" si="2">AZ5-AR5</f>
        <v>2.8400000000000002E-2</v>
      </c>
      <c r="BC5" s="4">
        <v>46078</v>
      </c>
      <c r="BD5" s="6">
        <v>8.8000000000000005E-3</v>
      </c>
      <c r="BE5" s="6">
        <v>8.8999999999999999E-3</v>
      </c>
      <c r="BF5" s="6">
        <v>9.1999999999999998E-3</v>
      </c>
      <c r="BG5" s="3"/>
      <c r="BH5" s="3"/>
      <c r="BI5" s="3"/>
      <c r="BJ5" s="6">
        <v>7.6E-3</v>
      </c>
      <c r="BK5" s="2">
        <v>46078</v>
      </c>
      <c r="BL5" s="57">
        <v>0.04</v>
      </c>
      <c r="BM5" s="1"/>
      <c r="BN5" s="57">
        <v>5.4800000000000001E-2</v>
      </c>
      <c r="BO5" s="1"/>
      <c r="BP5" s="1"/>
      <c r="BQ5" s="1"/>
      <c r="BR5" s="57">
        <v>3.0700000000000002E-2</v>
      </c>
      <c r="BS5" s="12">
        <f t="shared" ref="BS5:BS130" si="3">BR5-BJ5</f>
        <v>2.3100000000000002E-2</v>
      </c>
    </row>
    <row r="6" spans="1:71" x14ac:dyDescent="0.35">
      <c r="A6" s="4">
        <v>46079</v>
      </c>
      <c r="B6" s="3" t="s">
        <v>33</v>
      </c>
      <c r="C6" s="3" t="s">
        <v>33</v>
      </c>
      <c r="D6" s="3" t="s">
        <v>32</v>
      </c>
      <c r="E6" s="3" t="s">
        <v>33</v>
      </c>
      <c r="F6" s="3" t="s">
        <v>32</v>
      </c>
      <c r="G6" s="3" t="s">
        <v>33</v>
      </c>
      <c r="H6" s="9">
        <v>8.8000000000000005E-3</v>
      </c>
      <c r="I6" s="2">
        <v>46079</v>
      </c>
      <c r="J6" s="1" t="s">
        <v>33</v>
      </c>
      <c r="K6" s="1" t="s">
        <v>33</v>
      </c>
      <c r="L6" s="1" t="s">
        <v>32</v>
      </c>
      <c r="M6" s="1" t="s">
        <v>33</v>
      </c>
      <c r="N6" s="1" t="s">
        <v>32</v>
      </c>
      <c r="O6" s="1" t="s">
        <v>32</v>
      </c>
      <c r="P6" s="57">
        <v>3.1899999999999998E-2</v>
      </c>
      <c r="Q6" s="59">
        <f t="shared" si="0"/>
        <v>2.3099999999999996E-2</v>
      </c>
      <c r="S6" s="4">
        <v>46079</v>
      </c>
      <c r="T6" s="3" t="s">
        <v>33</v>
      </c>
      <c r="U6" s="3" t="s">
        <v>33</v>
      </c>
      <c r="V6" s="3" t="s">
        <v>33</v>
      </c>
      <c r="W6" s="3" t="s">
        <v>33</v>
      </c>
      <c r="X6" s="6">
        <v>0.03</v>
      </c>
      <c r="Y6" s="3" t="s">
        <v>33</v>
      </c>
      <c r="Z6" s="6">
        <v>1.14E-2</v>
      </c>
      <c r="AA6" s="2">
        <v>46079</v>
      </c>
      <c r="AB6" s="1" t="s">
        <v>33</v>
      </c>
      <c r="AC6" s="1" t="s">
        <v>33</v>
      </c>
      <c r="AD6" s="1" t="s">
        <v>33</v>
      </c>
      <c r="AE6" s="1" t="s">
        <v>33</v>
      </c>
      <c r="AF6" s="1" t="s">
        <v>33</v>
      </c>
      <c r="AG6" s="1" t="s">
        <v>33</v>
      </c>
      <c r="AH6" s="57">
        <v>2.5000000000000001E-2</v>
      </c>
      <c r="AI6" s="12">
        <f t="shared" si="1"/>
        <v>1.3600000000000001E-2</v>
      </c>
      <c r="AK6" s="4">
        <v>46079</v>
      </c>
      <c r="AL6" s="9">
        <v>0.02</v>
      </c>
      <c r="AM6" s="3"/>
      <c r="AN6" s="3"/>
      <c r="AO6" s="3"/>
      <c r="AP6" s="6">
        <v>2.5000000000000001E-2</v>
      </c>
      <c r="AQ6" s="6">
        <v>2.7E-2</v>
      </c>
      <c r="AR6" s="7">
        <v>6.1000000000000004E-3</v>
      </c>
      <c r="AS6" s="2">
        <v>46079</v>
      </c>
      <c r="AT6" s="13">
        <v>3.3000000000000002E-2</v>
      </c>
      <c r="AU6" s="13">
        <v>3.4000000000000002E-2</v>
      </c>
      <c r="AV6" s="13">
        <v>4.2999999999999997E-2</v>
      </c>
      <c r="AW6" s="13">
        <v>0.05</v>
      </c>
      <c r="AX6" s="13">
        <v>5.8500000000000003E-2</v>
      </c>
      <c r="AY6" s="13">
        <v>6.54E-2</v>
      </c>
      <c r="AZ6" s="13">
        <v>3.5000000000000003E-2</v>
      </c>
      <c r="BA6" s="12">
        <f t="shared" si="2"/>
        <v>2.8900000000000002E-2</v>
      </c>
      <c r="BC6" s="4">
        <v>46079</v>
      </c>
      <c r="BD6" s="6">
        <v>8.6E-3</v>
      </c>
      <c r="BE6" s="6">
        <v>8.8000000000000005E-3</v>
      </c>
      <c r="BF6" s="6">
        <v>8.9999999999999993E-3</v>
      </c>
      <c r="BG6" s="3"/>
      <c r="BH6" s="3"/>
      <c r="BI6" s="3"/>
      <c r="BJ6" s="6">
        <v>7.6E-3</v>
      </c>
      <c r="BK6" s="2">
        <v>46079</v>
      </c>
      <c r="BL6" s="57">
        <v>3.9800000000000002E-2</v>
      </c>
      <c r="BM6" s="1"/>
      <c r="BN6" s="57">
        <v>5.4800000000000001E-2</v>
      </c>
      <c r="BO6" s="1"/>
      <c r="BP6" s="1"/>
      <c r="BQ6" s="1"/>
      <c r="BR6" s="57">
        <v>3.0700000000000002E-2</v>
      </c>
      <c r="BS6" s="12">
        <f t="shared" si="3"/>
        <v>2.3100000000000002E-2</v>
      </c>
    </row>
    <row r="7" spans="1:71" x14ac:dyDescent="0.35">
      <c r="A7" s="4">
        <v>46080</v>
      </c>
      <c r="B7" s="3" t="s">
        <v>33</v>
      </c>
      <c r="C7" s="3" t="s">
        <v>33</v>
      </c>
      <c r="D7" s="3" t="s">
        <v>32</v>
      </c>
      <c r="E7" s="3" t="s">
        <v>33</v>
      </c>
      <c r="F7" s="3" t="s">
        <v>32</v>
      </c>
      <c r="G7" s="3" t="s">
        <v>33</v>
      </c>
      <c r="H7" s="9">
        <v>9.1999999999999998E-3</v>
      </c>
      <c r="I7" s="2">
        <v>46080</v>
      </c>
      <c r="J7" s="1" t="s">
        <v>33</v>
      </c>
      <c r="K7" s="1" t="s">
        <v>33</v>
      </c>
      <c r="L7" s="1" t="s">
        <v>32</v>
      </c>
      <c r="M7" s="1" t="s">
        <v>33</v>
      </c>
      <c r="N7" s="1" t="s">
        <v>32</v>
      </c>
      <c r="O7" s="1" t="s">
        <v>32</v>
      </c>
      <c r="P7" s="57">
        <v>3.2199999999999999E-2</v>
      </c>
      <c r="Q7" s="59">
        <f t="shared" si="0"/>
        <v>2.3E-2</v>
      </c>
      <c r="S7" s="4">
        <v>46080</v>
      </c>
      <c r="T7" s="3" t="s">
        <v>33</v>
      </c>
      <c r="U7" s="3" t="s">
        <v>33</v>
      </c>
      <c r="V7" s="3" t="s">
        <v>33</v>
      </c>
      <c r="W7" s="3" t="s">
        <v>33</v>
      </c>
      <c r="X7" s="6">
        <v>0.03</v>
      </c>
      <c r="Y7" s="3" t="s">
        <v>33</v>
      </c>
      <c r="Z7" s="6">
        <v>1.14E-2</v>
      </c>
      <c r="AA7" s="2">
        <v>46080</v>
      </c>
      <c r="AB7" s="1" t="s">
        <v>33</v>
      </c>
      <c r="AC7" s="1" t="s">
        <v>33</v>
      </c>
      <c r="AD7" s="1" t="s">
        <v>33</v>
      </c>
      <c r="AE7" s="1" t="s">
        <v>33</v>
      </c>
      <c r="AF7" s="1" t="s">
        <v>33</v>
      </c>
      <c r="AG7" s="1" t="s">
        <v>33</v>
      </c>
      <c r="AH7" s="57">
        <v>2.5000000000000001E-2</v>
      </c>
      <c r="AI7" s="12">
        <f t="shared" si="1"/>
        <v>1.3600000000000001E-2</v>
      </c>
      <c r="AK7" s="4">
        <v>46080</v>
      </c>
      <c r="AL7" s="9">
        <v>0.02</v>
      </c>
      <c r="AM7" s="3"/>
      <c r="AN7" s="3"/>
      <c r="AO7" s="3"/>
      <c r="AP7" s="6">
        <v>2.5000000000000001E-2</v>
      </c>
      <c r="AQ7" s="6">
        <v>2.75E-2</v>
      </c>
      <c r="AR7" s="7">
        <v>6.1000000000000004E-3</v>
      </c>
      <c r="AS7" s="2">
        <v>46080</v>
      </c>
      <c r="AT7" s="13">
        <v>0.03</v>
      </c>
      <c r="AU7" s="13">
        <v>3.4000000000000002E-2</v>
      </c>
      <c r="AV7" s="13">
        <v>4.3400000000000001E-2</v>
      </c>
      <c r="AW7" s="13">
        <v>0.05</v>
      </c>
      <c r="AX7" s="13">
        <v>5.4699999999999999E-2</v>
      </c>
      <c r="AY7" s="13">
        <v>6.4699999999999994E-2</v>
      </c>
      <c r="AZ7" s="13">
        <v>3.5400000000000001E-2</v>
      </c>
      <c r="BA7" s="12">
        <f t="shared" si="2"/>
        <v>2.93E-2</v>
      </c>
      <c r="BC7" s="4">
        <v>46080</v>
      </c>
      <c r="BD7" s="6">
        <v>8.3999999999999995E-3</v>
      </c>
      <c r="BE7" s="6">
        <v>8.6E-3</v>
      </c>
      <c r="BF7" s="6">
        <v>8.8999999999999999E-3</v>
      </c>
      <c r="BG7" s="3"/>
      <c r="BH7" s="3"/>
      <c r="BI7" s="3"/>
      <c r="BJ7" s="6">
        <v>7.4000000000000003E-3</v>
      </c>
      <c r="BK7" s="2">
        <v>46080</v>
      </c>
      <c r="BL7" s="57">
        <v>0.04</v>
      </c>
      <c r="BM7" s="1"/>
      <c r="BN7" s="57">
        <v>5.4800000000000001E-2</v>
      </c>
      <c r="BO7" s="1"/>
      <c r="BP7" s="1"/>
      <c r="BQ7" s="1"/>
      <c r="BR7" s="57">
        <v>3.04E-2</v>
      </c>
      <c r="BS7" s="12">
        <f t="shared" si="3"/>
        <v>2.3E-2</v>
      </c>
    </row>
    <row r="8" spans="1:71" x14ac:dyDescent="0.35">
      <c r="A8" s="4">
        <v>46081</v>
      </c>
      <c r="B8" s="3" t="s">
        <v>33</v>
      </c>
      <c r="C8" s="3" t="s">
        <v>33</v>
      </c>
      <c r="D8" s="3" t="s">
        <v>32</v>
      </c>
      <c r="E8" s="3" t="s">
        <v>33</v>
      </c>
      <c r="F8" s="3" t="s">
        <v>32</v>
      </c>
      <c r="G8" s="3" t="s">
        <v>33</v>
      </c>
      <c r="H8" s="9">
        <v>8.6E-3</v>
      </c>
      <c r="I8" s="2">
        <v>46081</v>
      </c>
      <c r="J8" s="1" t="s">
        <v>33</v>
      </c>
      <c r="K8" s="1" t="s">
        <v>33</v>
      </c>
      <c r="L8" s="1" t="s">
        <v>32</v>
      </c>
      <c r="M8" s="1" t="s">
        <v>33</v>
      </c>
      <c r="N8" s="1" t="s">
        <v>32</v>
      </c>
      <c r="O8" s="1" t="s">
        <v>32</v>
      </c>
      <c r="P8" s="57">
        <v>3.1300000000000001E-2</v>
      </c>
      <c r="Q8" s="59">
        <f t="shared" si="0"/>
        <v>2.2700000000000001E-2</v>
      </c>
      <c r="S8" s="4">
        <v>46081</v>
      </c>
      <c r="T8" s="3" t="s">
        <v>33</v>
      </c>
      <c r="U8" s="3" t="s">
        <v>33</v>
      </c>
      <c r="V8" s="3" t="s">
        <v>33</v>
      </c>
      <c r="W8" s="3" t="s">
        <v>33</v>
      </c>
      <c r="X8" s="6">
        <v>0.03</v>
      </c>
      <c r="Y8" s="3" t="s">
        <v>33</v>
      </c>
      <c r="Z8" s="6">
        <v>1.0999999999999999E-2</v>
      </c>
      <c r="AA8" s="2">
        <v>46081</v>
      </c>
      <c r="AB8" s="1" t="s">
        <v>33</v>
      </c>
      <c r="AC8" s="1" t="s">
        <v>33</v>
      </c>
      <c r="AD8" s="1" t="s">
        <v>33</v>
      </c>
      <c r="AE8" s="1" t="s">
        <v>33</v>
      </c>
      <c r="AF8" s="1" t="s">
        <v>33</v>
      </c>
      <c r="AG8" s="1" t="s">
        <v>33</v>
      </c>
      <c r="AH8" s="57">
        <v>2.5000000000000001E-2</v>
      </c>
      <c r="AI8" s="12">
        <f t="shared" si="1"/>
        <v>1.4000000000000002E-2</v>
      </c>
      <c r="AK8" s="4">
        <v>46081</v>
      </c>
      <c r="AL8" s="9">
        <v>0.02</v>
      </c>
      <c r="AM8" s="5"/>
      <c r="AN8" s="5"/>
      <c r="AO8" s="5"/>
      <c r="AP8" s="9">
        <v>2.5999999999999999E-2</v>
      </c>
      <c r="AQ8" s="9">
        <v>2.8500000000000001E-2</v>
      </c>
      <c r="AR8" s="9">
        <v>6.0000000000000001E-3</v>
      </c>
      <c r="AS8" s="2">
        <v>46081</v>
      </c>
      <c r="AT8" s="13">
        <v>3.1099999999999999E-2</v>
      </c>
      <c r="AU8" s="13">
        <v>3.3500000000000002E-2</v>
      </c>
      <c r="AV8" s="13">
        <v>3.2000000000000001E-2</v>
      </c>
      <c r="AW8" s="13">
        <v>0.05</v>
      </c>
      <c r="AX8" s="13">
        <v>5.4699999999999999E-2</v>
      </c>
      <c r="AY8" s="13">
        <v>6.5000000000000002E-2</v>
      </c>
      <c r="AZ8" s="13">
        <v>3.5099999999999999E-2</v>
      </c>
      <c r="BA8" s="12">
        <f t="shared" si="2"/>
        <v>2.9100000000000001E-2</v>
      </c>
      <c r="BC8" s="4">
        <v>46081</v>
      </c>
      <c r="BD8" s="6">
        <v>8.3000000000000001E-3</v>
      </c>
      <c r="BE8" s="6">
        <v>8.3999999999999995E-3</v>
      </c>
      <c r="BF8" s="6">
        <v>8.6E-3</v>
      </c>
      <c r="BG8" s="3"/>
      <c r="BH8" s="3"/>
      <c r="BI8" s="3"/>
      <c r="BJ8" s="6">
        <v>7.3000000000000001E-3</v>
      </c>
      <c r="BK8" s="2">
        <v>46081</v>
      </c>
      <c r="BL8" s="57">
        <v>3.9800000000000002E-2</v>
      </c>
      <c r="BM8" s="1"/>
      <c r="BN8" s="57">
        <v>5.4800000000000001E-2</v>
      </c>
      <c r="BO8" s="1"/>
      <c r="BP8" s="1"/>
      <c r="BQ8" s="1"/>
      <c r="BR8" s="57">
        <v>3.0200000000000001E-2</v>
      </c>
      <c r="BS8" s="12">
        <f t="shared" si="3"/>
        <v>2.29E-2</v>
      </c>
    </row>
    <row r="9" spans="1:71" x14ac:dyDescent="0.35">
      <c r="A9" s="4">
        <v>46082</v>
      </c>
      <c r="B9" s="3" t="s">
        <v>33</v>
      </c>
      <c r="C9" s="3" t="s">
        <v>33</v>
      </c>
      <c r="D9" s="3" t="s">
        <v>32</v>
      </c>
      <c r="E9" s="3" t="s">
        <v>33</v>
      </c>
      <c r="F9" s="3" t="s">
        <v>32</v>
      </c>
      <c r="G9" s="3" t="s">
        <v>33</v>
      </c>
      <c r="H9" s="9">
        <v>8.5000000000000006E-3</v>
      </c>
      <c r="I9" s="2">
        <v>46082</v>
      </c>
      <c r="J9" s="1" t="s">
        <v>33</v>
      </c>
      <c r="K9" s="1" t="s">
        <v>33</v>
      </c>
      <c r="L9" s="1" t="s">
        <v>32</v>
      </c>
      <c r="M9" s="1" t="s">
        <v>33</v>
      </c>
      <c r="N9" s="1" t="s">
        <v>32</v>
      </c>
      <c r="O9" s="1" t="s">
        <v>32</v>
      </c>
      <c r="P9" s="57">
        <v>3.1099999999999999E-2</v>
      </c>
      <c r="Q9" s="59">
        <f t="shared" si="0"/>
        <v>2.2599999999999999E-2</v>
      </c>
      <c r="S9" s="4">
        <v>46082</v>
      </c>
      <c r="T9" s="3" t="s">
        <v>33</v>
      </c>
      <c r="U9" s="3" t="s">
        <v>33</v>
      </c>
      <c r="V9" s="3" t="s">
        <v>33</v>
      </c>
      <c r="W9" s="3" t="s">
        <v>33</v>
      </c>
      <c r="X9" s="6">
        <v>0.03</v>
      </c>
      <c r="Y9" s="3" t="s">
        <v>33</v>
      </c>
      <c r="Z9" s="6">
        <v>1.0999999999999999E-2</v>
      </c>
      <c r="AA9" s="2">
        <v>46082</v>
      </c>
      <c r="AB9" s="1" t="s">
        <v>33</v>
      </c>
      <c r="AC9" s="1" t="s">
        <v>33</v>
      </c>
      <c r="AD9" s="1" t="s">
        <v>33</v>
      </c>
      <c r="AE9" s="1" t="s">
        <v>33</v>
      </c>
      <c r="AF9" s="1" t="s">
        <v>33</v>
      </c>
      <c r="AG9" s="1" t="s">
        <v>33</v>
      </c>
      <c r="AH9" s="57">
        <v>2.5000000000000001E-2</v>
      </c>
      <c r="AI9" s="12">
        <f t="shared" si="1"/>
        <v>1.4000000000000002E-2</v>
      </c>
      <c r="AK9" s="4">
        <v>46082</v>
      </c>
      <c r="AL9" s="9">
        <v>0.02</v>
      </c>
      <c r="AM9" s="5"/>
      <c r="AN9" s="5"/>
      <c r="AO9" s="5"/>
      <c r="AP9" s="9">
        <v>2.5999999999999999E-2</v>
      </c>
      <c r="AQ9" s="9">
        <v>2.8500000000000001E-2</v>
      </c>
      <c r="AR9" s="9">
        <v>6.0000000000000001E-3</v>
      </c>
      <c r="AS9" s="2">
        <v>46082</v>
      </c>
      <c r="AT9" s="13">
        <v>3.2000000000000001E-2</v>
      </c>
      <c r="AU9" s="13">
        <v>3.3500000000000002E-2</v>
      </c>
      <c r="AV9" s="13">
        <v>3.2000000000000001E-2</v>
      </c>
      <c r="AW9" s="13">
        <v>0.05</v>
      </c>
      <c r="AX9" s="13">
        <v>5.3699999999999998E-2</v>
      </c>
      <c r="AY9" s="13">
        <v>6.5100000000000005E-2</v>
      </c>
      <c r="AZ9" s="13">
        <v>3.5099999999999999E-2</v>
      </c>
      <c r="BA9" s="12">
        <f t="shared" si="2"/>
        <v>2.9100000000000001E-2</v>
      </c>
      <c r="BC9" s="4">
        <v>46082</v>
      </c>
      <c r="BD9" s="6">
        <v>7.9000000000000008E-3</v>
      </c>
      <c r="BE9" s="6">
        <v>8.0999999999999996E-3</v>
      </c>
      <c r="BF9" s="6">
        <v>8.3000000000000001E-3</v>
      </c>
      <c r="BG9" s="3"/>
      <c r="BH9" s="3"/>
      <c r="BI9" s="3"/>
      <c r="BJ9" s="6">
        <v>7.1000000000000004E-3</v>
      </c>
      <c r="BK9" s="2">
        <v>46082</v>
      </c>
      <c r="BL9" s="57">
        <v>3.9600000000000003E-2</v>
      </c>
      <c r="BM9" s="1"/>
      <c r="BN9" s="57">
        <v>5.4800000000000001E-2</v>
      </c>
      <c r="BO9" s="1"/>
      <c r="BP9" s="1"/>
      <c r="BQ9" s="1"/>
      <c r="BR9" s="57">
        <v>2.98E-2</v>
      </c>
      <c r="BS9" s="12">
        <f t="shared" si="3"/>
        <v>2.2699999999999998E-2</v>
      </c>
    </row>
    <row r="10" spans="1:71" x14ac:dyDescent="0.35">
      <c r="A10" s="4">
        <v>46083</v>
      </c>
      <c r="B10" s="3" t="s">
        <v>33</v>
      </c>
      <c r="C10" s="3" t="s">
        <v>33</v>
      </c>
      <c r="D10" s="3" t="s">
        <v>32</v>
      </c>
      <c r="E10" s="3" t="s">
        <v>33</v>
      </c>
      <c r="F10" s="3" t="s">
        <v>32</v>
      </c>
      <c r="G10" s="3" t="s">
        <v>33</v>
      </c>
      <c r="H10" s="9">
        <v>8.6E-3</v>
      </c>
      <c r="I10" s="2">
        <v>46083</v>
      </c>
      <c r="J10" s="1" t="s">
        <v>33</v>
      </c>
      <c r="K10" s="1" t="s">
        <v>33</v>
      </c>
      <c r="L10" s="1" t="s">
        <v>32</v>
      </c>
      <c r="M10" s="1" t="s">
        <v>33</v>
      </c>
      <c r="N10" s="1" t="s">
        <v>32</v>
      </c>
      <c r="O10" s="1" t="s">
        <v>32</v>
      </c>
      <c r="P10" s="57">
        <v>3.1300000000000001E-2</v>
      </c>
      <c r="Q10" s="59">
        <f t="shared" si="0"/>
        <v>2.2700000000000001E-2</v>
      </c>
      <c r="S10" s="4">
        <v>46083</v>
      </c>
      <c r="T10" s="3" t="s">
        <v>33</v>
      </c>
      <c r="U10" s="3" t="s">
        <v>33</v>
      </c>
      <c r="V10" s="3" t="s">
        <v>33</v>
      </c>
      <c r="W10" s="3" t="s">
        <v>33</v>
      </c>
      <c r="X10" s="6">
        <v>0.03</v>
      </c>
      <c r="Y10" s="3" t="s">
        <v>33</v>
      </c>
      <c r="Z10" s="6">
        <v>1.11E-2</v>
      </c>
      <c r="AA10" s="2">
        <v>46083</v>
      </c>
      <c r="AB10" s="1" t="s">
        <v>33</v>
      </c>
      <c r="AC10" s="1" t="s">
        <v>33</v>
      </c>
      <c r="AD10" s="1" t="s">
        <v>33</v>
      </c>
      <c r="AE10" s="1" t="s">
        <v>33</v>
      </c>
      <c r="AF10" s="1" t="s">
        <v>33</v>
      </c>
      <c r="AG10" s="1" t="s">
        <v>33</v>
      </c>
      <c r="AH10" s="57">
        <v>2.5000000000000001E-2</v>
      </c>
      <c r="AI10" s="12">
        <f t="shared" si="1"/>
        <v>1.3900000000000001E-2</v>
      </c>
      <c r="AK10" s="4">
        <v>46083</v>
      </c>
      <c r="AL10" s="6">
        <v>0.02</v>
      </c>
      <c r="AM10" s="3"/>
      <c r="AN10" s="3"/>
      <c r="AO10" s="3"/>
      <c r="AP10" s="9">
        <v>2.5999999999999999E-2</v>
      </c>
      <c r="AQ10" s="9">
        <v>2.8500000000000001E-2</v>
      </c>
      <c r="AR10" s="6">
        <v>6.0000000000000001E-3</v>
      </c>
      <c r="AS10" s="2">
        <v>46083</v>
      </c>
      <c r="AT10" s="13">
        <v>3.3000000000000002E-2</v>
      </c>
      <c r="AU10" s="13">
        <v>3.3000000000000002E-2</v>
      </c>
      <c r="AV10" s="13">
        <v>4.2999999999999997E-2</v>
      </c>
      <c r="AW10" s="13">
        <v>4.99E-2</v>
      </c>
      <c r="AX10" s="13">
        <v>5.4899999999999997E-2</v>
      </c>
      <c r="AY10" s="13">
        <v>6.5000000000000002E-2</v>
      </c>
      <c r="AZ10" s="13">
        <v>3.4700000000000002E-2</v>
      </c>
      <c r="BA10" s="12">
        <f t="shared" si="2"/>
        <v>2.8700000000000003E-2</v>
      </c>
      <c r="BC10" s="4">
        <v>46083</v>
      </c>
      <c r="BD10" s="6">
        <v>7.7999999999999996E-3</v>
      </c>
      <c r="BE10" s="6">
        <v>8.0000000000000002E-3</v>
      </c>
      <c r="BF10" s="6">
        <v>8.2000000000000007E-3</v>
      </c>
      <c r="BG10" s="3"/>
      <c r="BH10" s="3"/>
      <c r="BI10" s="3"/>
      <c r="BJ10" s="6">
        <v>6.8999999999999999E-3</v>
      </c>
      <c r="BK10" s="2">
        <v>46083</v>
      </c>
      <c r="BL10" s="57">
        <v>3.8600000000000002E-2</v>
      </c>
      <c r="BM10" s="1"/>
      <c r="BN10" s="57">
        <v>5.4800000000000001E-2</v>
      </c>
      <c r="BO10" s="1"/>
      <c r="BP10" s="1"/>
      <c r="BQ10" s="1"/>
      <c r="BR10" s="57">
        <v>2.9399999999999999E-2</v>
      </c>
      <c r="BS10" s="12">
        <f t="shared" si="3"/>
        <v>2.2499999999999999E-2</v>
      </c>
    </row>
    <row r="11" spans="1:71" x14ac:dyDescent="0.35">
      <c r="A11" s="4">
        <v>46084</v>
      </c>
      <c r="B11" s="3" t="s">
        <v>33</v>
      </c>
      <c r="C11" s="3" t="s">
        <v>33</v>
      </c>
      <c r="D11" s="3" t="s">
        <v>32</v>
      </c>
      <c r="E11" s="3" t="s">
        <v>33</v>
      </c>
      <c r="F11" s="3" t="s">
        <v>32</v>
      </c>
      <c r="G11" s="3" t="s">
        <v>33</v>
      </c>
      <c r="H11" s="9">
        <v>8.6E-3</v>
      </c>
      <c r="I11" s="2">
        <v>46084</v>
      </c>
      <c r="J11" s="1" t="s">
        <v>33</v>
      </c>
      <c r="K11" s="1" t="s">
        <v>33</v>
      </c>
      <c r="L11" s="1" t="s">
        <v>32</v>
      </c>
      <c r="M11" s="1" t="s">
        <v>33</v>
      </c>
      <c r="N11" s="1" t="s">
        <v>32</v>
      </c>
      <c r="O11" s="1" t="s">
        <v>32</v>
      </c>
      <c r="P11" s="57">
        <v>3.1199999999999999E-2</v>
      </c>
      <c r="Q11" s="59">
        <f t="shared" si="0"/>
        <v>2.2599999999999999E-2</v>
      </c>
      <c r="S11" s="4">
        <v>46084</v>
      </c>
      <c r="T11" s="3" t="s">
        <v>33</v>
      </c>
      <c r="U11" s="3" t="s">
        <v>33</v>
      </c>
      <c r="V11" s="3" t="s">
        <v>33</v>
      </c>
      <c r="W11" s="3" t="s">
        <v>33</v>
      </c>
      <c r="X11" s="6">
        <v>0.03</v>
      </c>
      <c r="Y11" s="3" t="s">
        <v>33</v>
      </c>
      <c r="Z11" s="6">
        <v>1.12E-2</v>
      </c>
      <c r="AA11" s="2">
        <v>46084</v>
      </c>
      <c r="AB11" s="1" t="s">
        <v>33</v>
      </c>
      <c r="AC11" s="1" t="s">
        <v>33</v>
      </c>
      <c r="AD11" s="1" t="s">
        <v>33</v>
      </c>
      <c r="AE11" s="1" t="s">
        <v>33</v>
      </c>
      <c r="AF11" s="1" t="s">
        <v>33</v>
      </c>
      <c r="AG11" s="1" t="s">
        <v>33</v>
      </c>
      <c r="AH11" s="57">
        <v>2.5000000000000001E-2</v>
      </c>
      <c r="AI11" s="12">
        <f t="shared" si="1"/>
        <v>1.3800000000000002E-2</v>
      </c>
      <c r="AK11" s="4">
        <v>46084</v>
      </c>
      <c r="AL11" s="6">
        <v>0.02</v>
      </c>
      <c r="AM11" s="3"/>
      <c r="AN11" s="3"/>
      <c r="AO11" s="3"/>
      <c r="AP11" s="6">
        <v>2.5999999999999999E-2</v>
      </c>
      <c r="AQ11" s="6">
        <v>2.8500000000000001E-2</v>
      </c>
      <c r="AR11" s="6">
        <v>6.7000000000000002E-3</v>
      </c>
      <c r="AS11" s="2">
        <v>46084</v>
      </c>
      <c r="AT11" s="13">
        <v>4.5999999999999999E-2</v>
      </c>
      <c r="AU11" s="13">
        <v>3.2000000000000001E-2</v>
      </c>
      <c r="AV11" s="13">
        <v>4.2000000000000003E-2</v>
      </c>
      <c r="AW11" s="13">
        <v>5.8999999999999997E-2</v>
      </c>
      <c r="AX11" s="13">
        <v>5.8500000000000003E-2</v>
      </c>
      <c r="AY11" s="13">
        <v>6.54E-2</v>
      </c>
      <c r="AZ11" s="13">
        <v>3.5099999999999999E-2</v>
      </c>
      <c r="BA11" s="12">
        <f t="shared" si="2"/>
        <v>2.8399999999999998E-2</v>
      </c>
      <c r="BC11" s="4">
        <v>46084</v>
      </c>
      <c r="BD11" s="6">
        <v>7.7000000000000002E-3</v>
      </c>
      <c r="BE11" s="6">
        <v>7.9000000000000008E-3</v>
      </c>
      <c r="BF11" s="6">
        <v>8.0999999999999996E-3</v>
      </c>
      <c r="BG11" s="3"/>
      <c r="BH11" s="3"/>
      <c r="BI11" s="3"/>
      <c r="BJ11" s="6">
        <v>7.6E-3</v>
      </c>
      <c r="BK11" s="2">
        <v>46084</v>
      </c>
      <c r="BL11" s="57">
        <v>3.8600000000000002E-2</v>
      </c>
      <c r="BM11" s="1"/>
      <c r="BN11" s="57">
        <v>5.4800000000000001E-2</v>
      </c>
      <c r="BO11" s="1"/>
      <c r="BP11" s="1"/>
      <c r="BQ11" s="1"/>
      <c r="BR11" s="57">
        <v>3.0800000000000001E-2</v>
      </c>
      <c r="BS11" s="12">
        <f t="shared" si="3"/>
        <v>2.3200000000000002E-2</v>
      </c>
    </row>
    <row r="12" spans="1:71" x14ac:dyDescent="0.35">
      <c r="A12" s="4">
        <v>46085</v>
      </c>
      <c r="B12" s="3" t="s">
        <v>33</v>
      </c>
      <c r="C12" s="3" t="s">
        <v>33</v>
      </c>
      <c r="D12" s="3" t="s">
        <v>32</v>
      </c>
      <c r="E12" s="3" t="s">
        <v>33</v>
      </c>
      <c r="F12" s="3" t="s">
        <v>32</v>
      </c>
      <c r="G12" s="3" t="s">
        <v>33</v>
      </c>
      <c r="H12" s="9">
        <v>8.2000000000000007E-3</v>
      </c>
      <c r="I12" s="2">
        <v>46085</v>
      </c>
      <c r="J12" s="1" t="s">
        <v>33</v>
      </c>
      <c r="K12" s="1" t="s">
        <v>33</v>
      </c>
      <c r="L12" s="1" t="s">
        <v>32</v>
      </c>
      <c r="M12" s="1" t="s">
        <v>33</v>
      </c>
      <c r="N12" s="1" t="s">
        <v>32</v>
      </c>
      <c r="O12" s="1" t="s">
        <v>32</v>
      </c>
      <c r="P12" s="57">
        <v>3.04E-2</v>
      </c>
      <c r="Q12" s="59">
        <f t="shared" si="0"/>
        <v>2.2199999999999998E-2</v>
      </c>
      <c r="S12" s="4">
        <v>46085</v>
      </c>
      <c r="T12" s="3" t="s">
        <v>33</v>
      </c>
      <c r="U12" s="3" t="s">
        <v>33</v>
      </c>
      <c r="V12" s="3" t="s">
        <v>33</v>
      </c>
      <c r="W12" s="3" t="s">
        <v>33</v>
      </c>
      <c r="X12" s="6">
        <v>0.03</v>
      </c>
      <c r="Y12" s="3" t="s">
        <v>33</v>
      </c>
      <c r="Z12" s="6">
        <v>1.1299999999999999E-2</v>
      </c>
      <c r="AA12" s="2">
        <v>46085</v>
      </c>
      <c r="AB12" s="1" t="s">
        <v>33</v>
      </c>
      <c r="AC12" s="1" t="s">
        <v>33</v>
      </c>
      <c r="AD12" s="1" t="s">
        <v>33</v>
      </c>
      <c r="AE12" s="1" t="s">
        <v>33</v>
      </c>
      <c r="AF12" s="1" t="s">
        <v>33</v>
      </c>
      <c r="AG12" s="1" t="s">
        <v>33</v>
      </c>
      <c r="AH12" s="57">
        <v>2.5000000000000001E-2</v>
      </c>
      <c r="AI12" s="12">
        <f t="shared" si="1"/>
        <v>1.3700000000000002E-2</v>
      </c>
      <c r="AK12" s="4">
        <v>46085</v>
      </c>
      <c r="AL12" s="6">
        <v>0.02</v>
      </c>
      <c r="AM12" s="3"/>
      <c r="AN12" s="3"/>
      <c r="AO12" s="3"/>
      <c r="AP12" s="6">
        <v>2.7E-2</v>
      </c>
      <c r="AQ12" s="6">
        <v>2.8000000000000001E-2</v>
      </c>
      <c r="AR12" s="6">
        <v>7.3000000000000001E-3</v>
      </c>
      <c r="AS12" s="2">
        <v>46085</v>
      </c>
      <c r="AT12" s="13">
        <v>4.5999999999999999E-2</v>
      </c>
      <c r="AU12" s="13">
        <v>0.04</v>
      </c>
      <c r="AV12" s="13">
        <v>4.2000000000000003E-2</v>
      </c>
      <c r="AW12" s="13">
        <v>5.7500000000000002E-2</v>
      </c>
      <c r="AX12" s="13">
        <v>5.8000000000000003E-2</v>
      </c>
      <c r="AY12" s="13">
        <v>7.0000000000000007E-2</v>
      </c>
      <c r="AZ12" s="13">
        <v>3.4599999999999999E-2</v>
      </c>
      <c r="BA12" s="12">
        <f t="shared" si="2"/>
        <v>2.7299999999999998E-2</v>
      </c>
      <c r="BC12" s="4">
        <v>46085</v>
      </c>
      <c r="BD12" s="6">
        <v>7.7000000000000002E-3</v>
      </c>
      <c r="BE12" s="6">
        <v>7.7999999999999996E-3</v>
      </c>
      <c r="BF12" s="6">
        <v>8.0000000000000002E-3</v>
      </c>
      <c r="BG12" s="3"/>
      <c r="BH12" s="3"/>
      <c r="BI12" s="3"/>
      <c r="BJ12" s="6">
        <v>7.4000000000000003E-3</v>
      </c>
      <c r="BK12" s="2">
        <v>46085</v>
      </c>
      <c r="BL12" s="57">
        <v>3.8600000000000002E-2</v>
      </c>
      <c r="BM12" s="1"/>
      <c r="BN12" s="57">
        <v>5.4800000000000001E-2</v>
      </c>
      <c r="BO12" s="1"/>
      <c r="BP12" s="1"/>
      <c r="BQ12" s="1"/>
      <c r="BR12" s="57">
        <v>3.04E-2</v>
      </c>
      <c r="BS12" s="12">
        <f t="shared" si="3"/>
        <v>2.3E-2</v>
      </c>
    </row>
    <row r="13" spans="1:71" x14ac:dyDescent="0.35">
      <c r="A13" s="4">
        <v>46086</v>
      </c>
      <c r="B13" s="3" t="s">
        <v>33</v>
      </c>
      <c r="C13" s="3" t="s">
        <v>33</v>
      </c>
      <c r="D13" s="3" t="s">
        <v>32</v>
      </c>
      <c r="E13" s="3" t="s">
        <v>33</v>
      </c>
      <c r="F13" s="3" t="s">
        <v>32</v>
      </c>
      <c r="G13" s="3" t="s">
        <v>33</v>
      </c>
      <c r="H13" s="9">
        <v>8.8999999999999999E-3</v>
      </c>
      <c r="I13" s="2">
        <v>46086</v>
      </c>
      <c r="J13" s="1" t="s">
        <v>33</v>
      </c>
      <c r="K13" s="1" t="s">
        <v>33</v>
      </c>
      <c r="L13" s="1" t="s">
        <v>32</v>
      </c>
      <c r="M13" s="1" t="s">
        <v>33</v>
      </c>
      <c r="N13" s="1" t="s">
        <v>32</v>
      </c>
      <c r="O13" s="1" t="s">
        <v>32</v>
      </c>
      <c r="P13" s="57">
        <v>3.1699999999999999E-2</v>
      </c>
      <c r="Q13" s="59">
        <f t="shared" si="0"/>
        <v>2.2800000000000001E-2</v>
      </c>
      <c r="S13" s="4">
        <v>46086</v>
      </c>
      <c r="T13" s="3" t="s">
        <v>33</v>
      </c>
      <c r="U13" s="3" t="s">
        <v>33</v>
      </c>
      <c r="V13" s="3" t="s">
        <v>33</v>
      </c>
      <c r="W13" s="3" t="s">
        <v>33</v>
      </c>
      <c r="X13" s="6">
        <v>0.03</v>
      </c>
      <c r="Y13" s="3" t="s">
        <v>33</v>
      </c>
      <c r="Z13" s="6">
        <v>1.17E-2</v>
      </c>
      <c r="AA13" s="2">
        <v>46086</v>
      </c>
      <c r="AB13" s="1" t="s">
        <v>33</v>
      </c>
      <c r="AC13" s="1" t="s">
        <v>33</v>
      </c>
      <c r="AD13" s="1" t="s">
        <v>33</v>
      </c>
      <c r="AE13" s="1" t="s">
        <v>33</v>
      </c>
      <c r="AF13" s="1" t="s">
        <v>33</v>
      </c>
      <c r="AG13" s="1" t="s">
        <v>33</v>
      </c>
      <c r="AH13" s="57">
        <v>2.5000000000000001E-2</v>
      </c>
      <c r="AI13" s="12">
        <f t="shared" si="1"/>
        <v>1.3300000000000001E-2</v>
      </c>
      <c r="AK13" s="4">
        <v>46086</v>
      </c>
      <c r="AL13" s="6">
        <v>0.02</v>
      </c>
      <c r="AM13" s="3"/>
      <c r="AN13" s="3"/>
      <c r="AO13" s="3"/>
      <c r="AP13" s="6">
        <v>2.8000000000000001E-2</v>
      </c>
      <c r="AQ13" s="6">
        <v>2.9000000000000001E-2</v>
      </c>
      <c r="AR13" s="6">
        <v>7.4999999999999997E-3</v>
      </c>
      <c r="AS13" s="2">
        <v>46086</v>
      </c>
      <c r="AT13" s="13">
        <v>3.5999999999999997E-2</v>
      </c>
      <c r="AU13" s="13">
        <v>0.04</v>
      </c>
      <c r="AV13" s="13">
        <v>4.2000000000000003E-2</v>
      </c>
      <c r="AW13" s="13">
        <v>5.7299999999999997E-2</v>
      </c>
      <c r="AX13" s="13">
        <v>5.79E-2</v>
      </c>
      <c r="AY13" s="13">
        <v>6.6000000000000003E-2</v>
      </c>
      <c r="AZ13" s="13">
        <v>3.56E-2</v>
      </c>
      <c r="BA13" s="12">
        <f t="shared" si="2"/>
        <v>2.81E-2</v>
      </c>
      <c r="BC13" s="4">
        <v>46086</v>
      </c>
      <c r="BD13" s="6">
        <v>7.6E-3</v>
      </c>
      <c r="BE13" s="6">
        <v>7.7999999999999996E-3</v>
      </c>
      <c r="BF13" s="6">
        <v>8.0000000000000002E-3</v>
      </c>
      <c r="BG13" s="3"/>
      <c r="BH13" s="3"/>
      <c r="BI13" s="3"/>
      <c r="BJ13" s="6">
        <v>7.4999999999999997E-3</v>
      </c>
      <c r="BK13" s="2">
        <v>46086</v>
      </c>
      <c r="BL13" s="57">
        <v>3.8600000000000002E-2</v>
      </c>
      <c r="BM13" s="1"/>
      <c r="BN13" s="57">
        <v>5.4800000000000001E-2</v>
      </c>
      <c r="BO13" s="1"/>
      <c r="BP13" s="1"/>
      <c r="BQ13" s="1"/>
      <c r="BR13" s="57">
        <v>3.2199999999999999E-2</v>
      </c>
      <c r="BS13" s="12">
        <f t="shared" si="3"/>
        <v>2.47E-2</v>
      </c>
    </row>
    <row r="14" spans="1:71" x14ac:dyDescent="0.35">
      <c r="A14" s="4">
        <v>46087</v>
      </c>
      <c r="B14" s="3" t="s">
        <v>33</v>
      </c>
      <c r="C14" s="3" t="s">
        <v>33</v>
      </c>
      <c r="D14" s="3" t="s">
        <v>32</v>
      </c>
      <c r="E14" s="3" t="s">
        <v>33</v>
      </c>
      <c r="F14" s="3" t="s">
        <v>32</v>
      </c>
      <c r="G14" s="3" t="s">
        <v>33</v>
      </c>
      <c r="H14" s="9">
        <v>8.8999999999999999E-3</v>
      </c>
      <c r="I14" s="2">
        <v>46087</v>
      </c>
      <c r="J14" s="1" t="s">
        <v>33</v>
      </c>
      <c r="K14" s="1" t="s">
        <v>33</v>
      </c>
      <c r="L14" s="1" t="s">
        <v>32</v>
      </c>
      <c r="M14" s="1" t="s">
        <v>33</v>
      </c>
      <c r="N14" s="1" t="s">
        <v>32</v>
      </c>
      <c r="O14" s="1" t="s">
        <v>32</v>
      </c>
      <c r="P14" s="57">
        <v>3.2300000000000002E-2</v>
      </c>
      <c r="Q14" s="59">
        <f t="shared" si="0"/>
        <v>2.3400000000000004E-2</v>
      </c>
      <c r="S14" s="4">
        <v>46087</v>
      </c>
      <c r="T14" s="3" t="s">
        <v>33</v>
      </c>
      <c r="U14" s="3" t="s">
        <v>33</v>
      </c>
      <c r="V14" s="3" t="s">
        <v>33</v>
      </c>
      <c r="W14" s="3" t="s">
        <v>33</v>
      </c>
      <c r="X14" s="6">
        <v>0.03</v>
      </c>
      <c r="Y14" s="3" t="s">
        <v>33</v>
      </c>
      <c r="Z14" s="6">
        <v>1.17E-2</v>
      </c>
      <c r="AA14" s="2">
        <v>46087</v>
      </c>
      <c r="AB14" s="1" t="s">
        <v>33</v>
      </c>
      <c r="AC14" s="1" t="s">
        <v>33</v>
      </c>
      <c r="AD14" s="1" t="s">
        <v>33</v>
      </c>
      <c r="AE14" s="1" t="s">
        <v>33</v>
      </c>
      <c r="AF14" s="1" t="s">
        <v>33</v>
      </c>
      <c r="AG14" s="1" t="s">
        <v>33</v>
      </c>
      <c r="AH14" s="57">
        <v>2.5000000000000001E-2</v>
      </c>
      <c r="AI14" s="12">
        <f t="shared" si="1"/>
        <v>1.3300000000000001E-2</v>
      </c>
      <c r="AK14" s="4">
        <v>46087</v>
      </c>
      <c r="AL14" s="6">
        <v>0.02</v>
      </c>
      <c r="AM14" s="3"/>
      <c r="AN14" s="3"/>
      <c r="AO14" s="3"/>
      <c r="AP14" s="3" t="s">
        <v>33</v>
      </c>
      <c r="AQ14" s="6">
        <v>2.6599999999999999E-2</v>
      </c>
      <c r="AR14" s="6">
        <v>7.3000000000000001E-3</v>
      </c>
      <c r="AS14" s="2">
        <v>46087</v>
      </c>
      <c r="AT14" s="13">
        <v>3.9E-2</v>
      </c>
      <c r="AU14" s="13">
        <v>3.4500000000000003E-2</v>
      </c>
      <c r="AV14" s="13">
        <v>0.04</v>
      </c>
      <c r="AW14" s="13">
        <v>5.7200000000000001E-2</v>
      </c>
      <c r="AX14" s="13">
        <v>5.79E-2</v>
      </c>
      <c r="AY14" s="13">
        <v>6.8500000000000005E-2</v>
      </c>
      <c r="AZ14" s="13">
        <v>3.56E-2</v>
      </c>
      <c r="BA14" s="12">
        <f t="shared" si="2"/>
        <v>2.8299999999999999E-2</v>
      </c>
      <c r="BC14" s="4">
        <v>46087</v>
      </c>
      <c r="BD14" s="6">
        <v>7.6E-3</v>
      </c>
      <c r="BE14" s="6">
        <v>7.7999999999999996E-3</v>
      </c>
      <c r="BF14" s="6">
        <v>8.0000000000000002E-3</v>
      </c>
      <c r="BG14" s="3"/>
      <c r="BH14" s="3"/>
      <c r="BI14" s="3"/>
      <c r="BJ14" s="6">
        <v>7.7999999999999996E-3</v>
      </c>
      <c r="BK14" s="2">
        <v>46087</v>
      </c>
      <c r="BL14" s="57">
        <v>3.9E-2</v>
      </c>
      <c r="BM14" s="1"/>
      <c r="BN14" s="57">
        <v>5.4800000000000001E-2</v>
      </c>
      <c r="BO14" s="1"/>
      <c r="BP14" s="1"/>
      <c r="BQ14" s="1"/>
      <c r="BR14" s="57">
        <v>3.2599999999999997E-2</v>
      </c>
      <c r="BS14" s="12">
        <f t="shared" si="3"/>
        <v>2.4799999999999996E-2</v>
      </c>
    </row>
    <row r="15" spans="1:71" x14ac:dyDescent="0.35">
      <c r="A15" s="4">
        <v>46088</v>
      </c>
      <c r="B15" s="3" t="s">
        <v>33</v>
      </c>
      <c r="C15" s="3" t="s">
        <v>33</v>
      </c>
      <c r="D15" s="3" t="s">
        <v>32</v>
      </c>
      <c r="E15" s="3" t="s">
        <v>33</v>
      </c>
      <c r="F15" s="3" t="s">
        <v>32</v>
      </c>
      <c r="G15" s="3" t="s">
        <v>33</v>
      </c>
      <c r="H15" s="9">
        <v>8.2000000000000007E-3</v>
      </c>
      <c r="I15" s="2">
        <v>46088</v>
      </c>
      <c r="J15" s="1" t="s">
        <v>33</v>
      </c>
      <c r="K15" s="1" t="s">
        <v>33</v>
      </c>
      <c r="L15" s="1" t="s">
        <v>32</v>
      </c>
      <c r="M15" s="1" t="s">
        <v>33</v>
      </c>
      <c r="N15" s="1" t="s">
        <v>32</v>
      </c>
      <c r="O15" s="1" t="s">
        <v>32</v>
      </c>
      <c r="P15" s="57">
        <v>3.1800000000000002E-2</v>
      </c>
      <c r="Q15" s="59">
        <f t="shared" si="0"/>
        <v>2.3600000000000003E-2</v>
      </c>
      <c r="S15" s="4">
        <v>46088</v>
      </c>
      <c r="T15" s="3" t="s">
        <v>33</v>
      </c>
      <c r="U15" s="3" t="s">
        <v>33</v>
      </c>
      <c r="V15" s="3" t="s">
        <v>33</v>
      </c>
      <c r="W15" s="3" t="s">
        <v>33</v>
      </c>
      <c r="X15" s="6">
        <v>0.03</v>
      </c>
      <c r="Y15" s="3" t="s">
        <v>33</v>
      </c>
      <c r="Z15" s="6">
        <v>1.17E-2</v>
      </c>
      <c r="AA15" s="2">
        <v>46088</v>
      </c>
      <c r="AB15" s="1" t="s">
        <v>33</v>
      </c>
      <c r="AC15" s="1" t="s">
        <v>33</v>
      </c>
      <c r="AD15" s="1" t="s">
        <v>33</v>
      </c>
      <c r="AE15" s="1" t="s">
        <v>33</v>
      </c>
      <c r="AF15" s="1" t="s">
        <v>33</v>
      </c>
      <c r="AG15" s="1" t="s">
        <v>33</v>
      </c>
      <c r="AH15" s="57">
        <v>2.5000000000000001E-2</v>
      </c>
      <c r="AI15" s="12">
        <f t="shared" si="1"/>
        <v>1.3300000000000001E-2</v>
      </c>
      <c r="AK15" s="4">
        <v>46088</v>
      </c>
      <c r="AL15" s="6">
        <v>0.02</v>
      </c>
      <c r="AM15" s="3"/>
      <c r="AN15" s="3"/>
      <c r="AO15" s="3"/>
      <c r="AP15" s="3" t="s">
        <v>33</v>
      </c>
      <c r="AQ15" s="6">
        <v>2.6599999999999999E-2</v>
      </c>
      <c r="AR15" s="6">
        <v>6.8999999999999999E-3</v>
      </c>
      <c r="AS15" s="2">
        <v>46088</v>
      </c>
      <c r="AT15" s="13">
        <v>3.6299999999999999E-2</v>
      </c>
      <c r="AU15" s="13">
        <v>0.04</v>
      </c>
      <c r="AV15" s="13">
        <v>4.2000000000000003E-2</v>
      </c>
      <c r="AW15" s="13">
        <v>5.7299999999999997E-2</v>
      </c>
      <c r="AX15" s="13">
        <v>5.8000000000000003E-2</v>
      </c>
      <c r="AY15" s="13">
        <v>6.8500000000000005E-2</v>
      </c>
      <c r="AZ15" s="13">
        <v>3.56E-2</v>
      </c>
      <c r="BA15" s="12">
        <f t="shared" si="2"/>
        <v>2.87E-2</v>
      </c>
      <c r="BC15" s="4">
        <v>46088</v>
      </c>
      <c r="BD15" s="6">
        <v>7.7000000000000002E-3</v>
      </c>
      <c r="BE15" s="6">
        <v>7.9000000000000008E-3</v>
      </c>
      <c r="BF15" s="6">
        <v>8.2000000000000007E-3</v>
      </c>
      <c r="BG15" s="3"/>
      <c r="BH15" s="3"/>
      <c r="BI15" s="3"/>
      <c r="BJ15" s="6">
        <v>7.6E-3</v>
      </c>
      <c r="BK15" s="2">
        <v>46088</v>
      </c>
      <c r="BL15" s="57">
        <v>3.8600000000000002E-2</v>
      </c>
      <c r="BM15" s="1"/>
      <c r="BN15" s="57">
        <v>5.4800000000000001E-2</v>
      </c>
      <c r="BO15" s="1"/>
      <c r="BP15" s="1"/>
      <c r="BQ15" s="1"/>
      <c r="BR15" s="57">
        <v>3.2300000000000002E-2</v>
      </c>
      <c r="BS15" s="12">
        <f t="shared" si="3"/>
        <v>2.4700000000000003E-2</v>
      </c>
    </row>
    <row r="16" spans="1:71" x14ac:dyDescent="0.35">
      <c r="A16" s="4">
        <v>46089</v>
      </c>
      <c r="B16" s="3" t="s">
        <v>33</v>
      </c>
      <c r="C16" s="3" t="s">
        <v>33</v>
      </c>
      <c r="D16" s="3" t="s">
        <v>32</v>
      </c>
      <c r="E16" s="3" t="s">
        <v>33</v>
      </c>
      <c r="F16" s="3" t="s">
        <v>32</v>
      </c>
      <c r="G16" s="3" t="s">
        <v>33</v>
      </c>
      <c r="H16" s="9">
        <v>8.0000000000000002E-3</v>
      </c>
      <c r="I16" s="2">
        <v>46089</v>
      </c>
      <c r="J16" s="1" t="s">
        <v>33</v>
      </c>
      <c r="K16" s="1" t="s">
        <v>33</v>
      </c>
      <c r="L16" s="1" t="s">
        <v>32</v>
      </c>
      <c r="M16" s="1" t="s">
        <v>33</v>
      </c>
      <c r="N16" s="1" t="s">
        <v>32</v>
      </c>
      <c r="O16" s="1" t="s">
        <v>32</v>
      </c>
      <c r="P16" s="57">
        <v>3.0700000000000002E-2</v>
      </c>
      <c r="Q16" s="59">
        <f t="shared" si="0"/>
        <v>2.2700000000000001E-2</v>
      </c>
      <c r="S16" s="4">
        <v>46089</v>
      </c>
      <c r="T16" s="3" t="s">
        <v>33</v>
      </c>
      <c r="U16" s="3" t="s">
        <v>33</v>
      </c>
      <c r="V16" s="3" t="s">
        <v>33</v>
      </c>
      <c r="W16" s="3" t="s">
        <v>33</v>
      </c>
      <c r="X16" s="6">
        <v>0.03</v>
      </c>
      <c r="Y16" s="3" t="s">
        <v>33</v>
      </c>
      <c r="Z16" s="6">
        <v>1.17E-2</v>
      </c>
      <c r="AA16" s="2">
        <v>46089</v>
      </c>
      <c r="AB16" s="1" t="s">
        <v>33</v>
      </c>
      <c r="AC16" s="1" t="s">
        <v>33</v>
      </c>
      <c r="AD16" s="1" t="s">
        <v>33</v>
      </c>
      <c r="AE16" s="1" t="s">
        <v>33</v>
      </c>
      <c r="AF16" s="1" t="s">
        <v>33</v>
      </c>
      <c r="AG16" s="1" t="s">
        <v>33</v>
      </c>
      <c r="AH16" s="57">
        <v>2.5000000000000001E-2</v>
      </c>
      <c r="AI16" s="12">
        <f t="shared" si="1"/>
        <v>1.3300000000000001E-2</v>
      </c>
      <c r="AK16" s="4">
        <v>46089</v>
      </c>
      <c r="AL16" s="6">
        <v>0.02</v>
      </c>
      <c r="AM16" s="3"/>
      <c r="AN16" s="3"/>
      <c r="AO16" s="3"/>
      <c r="AP16" s="3" t="s">
        <v>33</v>
      </c>
      <c r="AQ16" s="6">
        <v>2.6499999999999999E-2</v>
      </c>
      <c r="AR16" s="6">
        <v>6.6E-3</v>
      </c>
      <c r="AS16" s="2">
        <v>46089</v>
      </c>
      <c r="AT16" s="13">
        <v>3.7499999999999999E-2</v>
      </c>
      <c r="AU16" s="13">
        <v>4.0899999999999999E-2</v>
      </c>
      <c r="AV16" s="13">
        <v>4.2000000000000003E-2</v>
      </c>
      <c r="AW16" s="13">
        <v>5.7299999999999997E-2</v>
      </c>
      <c r="AX16" s="13">
        <v>5.8000000000000003E-2</v>
      </c>
      <c r="AY16" s="13">
        <v>6.8500000000000005E-2</v>
      </c>
      <c r="AZ16" s="13">
        <v>3.5400000000000001E-2</v>
      </c>
      <c r="BA16" s="12">
        <f t="shared" si="2"/>
        <v>2.8799999999999999E-2</v>
      </c>
      <c r="BC16" s="4">
        <v>46089</v>
      </c>
      <c r="BD16" s="6">
        <v>7.6E-3</v>
      </c>
      <c r="BE16" s="6">
        <v>7.7999999999999996E-3</v>
      </c>
      <c r="BF16" s="6">
        <v>8.0999999999999996E-3</v>
      </c>
      <c r="BG16" s="3"/>
      <c r="BH16" s="3"/>
      <c r="BI16" s="3"/>
      <c r="BJ16" s="6">
        <v>7.4999999999999997E-3</v>
      </c>
      <c r="BK16" s="2">
        <v>46089</v>
      </c>
      <c r="BL16" s="57">
        <v>3.8600000000000002E-2</v>
      </c>
      <c r="BM16" s="1"/>
      <c r="BN16" s="57">
        <v>5.4800000000000001E-2</v>
      </c>
      <c r="BO16" s="1"/>
      <c r="BP16" s="1"/>
      <c r="BQ16" s="1"/>
      <c r="BR16" s="57">
        <v>3.2300000000000002E-2</v>
      </c>
      <c r="BS16" s="12">
        <f t="shared" si="3"/>
        <v>2.4800000000000003E-2</v>
      </c>
    </row>
    <row r="17" spans="1:71" x14ac:dyDescent="0.35">
      <c r="A17" s="4">
        <v>46090</v>
      </c>
      <c r="B17" s="3" t="s">
        <v>33</v>
      </c>
      <c r="C17" s="3" t="s">
        <v>33</v>
      </c>
      <c r="D17" s="3" t="s">
        <v>32</v>
      </c>
      <c r="E17" s="3" t="s">
        <v>33</v>
      </c>
      <c r="F17" s="3" t="s">
        <v>32</v>
      </c>
      <c r="G17" s="3" t="s">
        <v>33</v>
      </c>
      <c r="H17" s="9">
        <v>8.0999999999999996E-3</v>
      </c>
      <c r="I17" s="2">
        <v>46090</v>
      </c>
      <c r="J17" s="1" t="s">
        <v>33</v>
      </c>
      <c r="K17" s="1" t="s">
        <v>33</v>
      </c>
      <c r="L17" s="1" t="s">
        <v>32</v>
      </c>
      <c r="M17" s="1" t="s">
        <v>33</v>
      </c>
      <c r="N17" s="1" t="s">
        <v>32</v>
      </c>
      <c r="O17" s="1" t="s">
        <v>32</v>
      </c>
      <c r="P17" s="57">
        <v>3.1E-2</v>
      </c>
      <c r="Q17" s="59">
        <f t="shared" si="0"/>
        <v>2.29E-2</v>
      </c>
      <c r="S17" s="4">
        <v>46090</v>
      </c>
      <c r="T17" s="3" t="s">
        <v>33</v>
      </c>
      <c r="U17" s="3" t="s">
        <v>33</v>
      </c>
      <c r="V17" s="3" t="s">
        <v>33</v>
      </c>
      <c r="W17" s="3" t="s">
        <v>33</v>
      </c>
      <c r="X17" s="6">
        <v>0.03</v>
      </c>
      <c r="Y17" s="3" t="s">
        <v>33</v>
      </c>
      <c r="Z17" s="6">
        <v>1.17E-2</v>
      </c>
      <c r="AA17" s="2">
        <v>46090</v>
      </c>
      <c r="AB17" s="1" t="s">
        <v>33</v>
      </c>
      <c r="AC17" s="1" t="s">
        <v>33</v>
      </c>
      <c r="AD17" s="1" t="s">
        <v>33</v>
      </c>
      <c r="AE17" s="1" t="s">
        <v>33</v>
      </c>
      <c r="AF17" s="1" t="s">
        <v>33</v>
      </c>
      <c r="AG17" s="1" t="s">
        <v>33</v>
      </c>
      <c r="AH17" s="57">
        <v>2.5000000000000001E-2</v>
      </c>
      <c r="AI17" s="12">
        <f t="shared" si="1"/>
        <v>1.3300000000000001E-2</v>
      </c>
      <c r="AK17" s="4">
        <v>46090</v>
      </c>
      <c r="AL17" s="6">
        <v>0.02</v>
      </c>
      <c r="AM17" s="3"/>
      <c r="AN17" s="3"/>
      <c r="AO17" s="3"/>
      <c r="AP17" s="3" t="s">
        <v>33</v>
      </c>
      <c r="AQ17" s="6">
        <v>2.6499999999999999E-2</v>
      </c>
      <c r="AR17" s="6">
        <v>6.4000000000000003E-3</v>
      </c>
      <c r="AS17" s="2">
        <v>46090</v>
      </c>
      <c r="AT17" s="13">
        <v>3.2000000000000001E-2</v>
      </c>
      <c r="AU17" s="13">
        <v>4.0899999999999999E-2</v>
      </c>
      <c r="AV17" s="13">
        <v>3.7999999999999999E-2</v>
      </c>
      <c r="AW17" s="13">
        <v>0.05</v>
      </c>
      <c r="AX17" s="13">
        <v>5.2400000000000002E-2</v>
      </c>
      <c r="AY17" s="13">
        <v>6.59E-2</v>
      </c>
      <c r="AZ17" s="13">
        <v>3.44E-2</v>
      </c>
      <c r="BA17" s="12">
        <f t="shared" si="2"/>
        <v>2.8000000000000001E-2</v>
      </c>
      <c r="BC17" s="4">
        <v>46090</v>
      </c>
      <c r="BD17" s="6">
        <v>7.7999999999999996E-3</v>
      </c>
      <c r="BE17" s="6">
        <v>7.9000000000000008E-3</v>
      </c>
      <c r="BF17" s="6">
        <v>8.0999999999999996E-3</v>
      </c>
      <c r="BG17" s="3"/>
      <c r="BH17" s="3"/>
      <c r="BI17" s="3"/>
      <c r="BJ17" s="6">
        <v>7.1000000000000004E-3</v>
      </c>
      <c r="BK17" s="2">
        <v>46090</v>
      </c>
      <c r="BL17" s="57">
        <v>3.8600000000000002E-2</v>
      </c>
      <c r="BM17" s="1"/>
      <c r="BN17" s="57">
        <v>5.4800000000000001E-2</v>
      </c>
      <c r="BO17" s="1"/>
      <c r="BP17" s="1"/>
      <c r="BQ17" s="1"/>
      <c r="BR17" s="57">
        <v>3.1399999999999997E-2</v>
      </c>
      <c r="BS17" s="12">
        <f t="shared" si="3"/>
        <v>2.4299999999999995E-2</v>
      </c>
    </row>
    <row r="18" spans="1:71" x14ac:dyDescent="0.35">
      <c r="A18" s="4">
        <v>46091</v>
      </c>
      <c r="B18" s="3" t="s">
        <v>33</v>
      </c>
      <c r="C18" s="3" t="s">
        <v>33</v>
      </c>
      <c r="D18" s="3" t="s">
        <v>32</v>
      </c>
      <c r="E18" s="3" t="s">
        <v>33</v>
      </c>
      <c r="F18" s="3" t="s">
        <v>32</v>
      </c>
      <c r="G18" s="3" t="s">
        <v>33</v>
      </c>
      <c r="H18" s="9">
        <v>8.0999999999999996E-3</v>
      </c>
      <c r="I18" s="2">
        <v>46091</v>
      </c>
      <c r="J18" s="1" t="s">
        <v>33</v>
      </c>
      <c r="K18" s="1" t="s">
        <v>33</v>
      </c>
      <c r="L18" s="1" t="s">
        <v>32</v>
      </c>
      <c r="M18" s="1" t="s">
        <v>33</v>
      </c>
      <c r="N18" s="1" t="s">
        <v>32</v>
      </c>
      <c r="O18" s="1" t="s">
        <v>32</v>
      </c>
      <c r="P18" s="57">
        <v>3.0200000000000001E-2</v>
      </c>
      <c r="Q18" s="59">
        <f t="shared" si="0"/>
        <v>2.2100000000000002E-2</v>
      </c>
      <c r="S18" s="4">
        <v>46091</v>
      </c>
      <c r="T18" s="3" t="s">
        <v>33</v>
      </c>
      <c r="U18" s="3" t="s">
        <v>33</v>
      </c>
      <c r="V18" s="3" t="s">
        <v>33</v>
      </c>
      <c r="W18" s="3" t="s">
        <v>33</v>
      </c>
      <c r="X18" s="6">
        <v>0.03</v>
      </c>
      <c r="Y18" s="3" t="s">
        <v>33</v>
      </c>
      <c r="Z18" s="6">
        <v>1.15E-2</v>
      </c>
      <c r="AA18" s="2">
        <v>46091</v>
      </c>
      <c r="AB18" s="1" t="s">
        <v>33</v>
      </c>
      <c r="AC18" s="1" t="s">
        <v>33</v>
      </c>
      <c r="AD18" s="1" t="s">
        <v>33</v>
      </c>
      <c r="AE18" s="1" t="s">
        <v>33</v>
      </c>
      <c r="AF18" s="1" t="s">
        <v>33</v>
      </c>
      <c r="AG18" s="1" t="s">
        <v>33</v>
      </c>
      <c r="AH18" s="57">
        <v>2.5000000000000001E-2</v>
      </c>
      <c r="AI18" s="12">
        <f t="shared" si="1"/>
        <v>1.3500000000000002E-2</v>
      </c>
      <c r="AK18" s="4">
        <v>46091</v>
      </c>
      <c r="AL18" s="6">
        <v>0.02</v>
      </c>
      <c r="AM18" s="3"/>
      <c r="AN18" s="3"/>
      <c r="AO18" s="3"/>
      <c r="AP18" s="3" t="s">
        <v>33</v>
      </c>
      <c r="AQ18" s="6">
        <v>2.6499999999999999E-2</v>
      </c>
      <c r="AR18" s="6">
        <v>6.6E-3</v>
      </c>
      <c r="AS18" s="2">
        <v>46091</v>
      </c>
      <c r="AT18" s="13">
        <v>3.2000000000000001E-2</v>
      </c>
      <c r="AU18" s="13">
        <v>3.5000000000000003E-2</v>
      </c>
      <c r="AV18" s="13">
        <v>3.7999999999999999E-2</v>
      </c>
      <c r="AW18" s="13">
        <v>0.05</v>
      </c>
      <c r="AX18" s="13">
        <v>5.8500000000000003E-2</v>
      </c>
      <c r="AY18" s="13">
        <v>6.0999999999999999E-2</v>
      </c>
      <c r="AZ18" s="13">
        <v>3.4099999999999998E-2</v>
      </c>
      <c r="BA18" s="12">
        <f t="shared" si="2"/>
        <v>2.7499999999999997E-2</v>
      </c>
      <c r="BC18" s="4">
        <v>46091</v>
      </c>
      <c r="BD18" s="6">
        <v>7.7999999999999996E-3</v>
      </c>
      <c r="BE18" s="6">
        <v>7.9000000000000008E-3</v>
      </c>
      <c r="BF18" s="6">
        <v>8.2000000000000007E-3</v>
      </c>
      <c r="BG18" s="3"/>
      <c r="BH18" s="3"/>
      <c r="BI18" s="3"/>
      <c r="BJ18" s="6">
        <v>7.4000000000000003E-3</v>
      </c>
      <c r="BK18" s="2">
        <v>46091</v>
      </c>
      <c r="BL18" s="57">
        <v>3.8600000000000002E-2</v>
      </c>
      <c r="BM18" s="1"/>
      <c r="BN18" s="57">
        <v>5.4800000000000001E-2</v>
      </c>
      <c r="BO18" s="1"/>
      <c r="BP18" s="1"/>
      <c r="BQ18" s="1"/>
      <c r="BR18" s="57">
        <v>3.2000000000000001E-2</v>
      </c>
      <c r="BS18" s="12">
        <f t="shared" si="3"/>
        <v>2.46E-2</v>
      </c>
    </row>
    <row r="19" spans="1:71" x14ac:dyDescent="0.35">
      <c r="A19" s="4">
        <v>46092</v>
      </c>
      <c r="B19" s="3" t="s">
        <v>33</v>
      </c>
      <c r="C19" s="3" t="s">
        <v>33</v>
      </c>
      <c r="D19" s="3" t="s">
        <v>32</v>
      </c>
      <c r="E19" s="3" t="s">
        <v>33</v>
      </c>
      <c r="F19" s="3" t="s">
        <v>32</v>
      </c>
      <c r="G19" s="3" t="s">
        <v>33</v>
      </c>
      <c r="H19" s="9">
        <v>8.3999999999999995E-3</v>
      </c>
      <c r="I19" s="2">
        <v>46092</v>
      </c>
      <c r="J19" s="1" t="s">
        <v>33</v>
      </c>
      <c r="K19" s="1" t="s">
        <v>33</v>
      </c>
      <c r="L19" s="1" t="s">
        <v>32</v>
      </c>
      <c r="M19" s="1" t="s">
        <v>33</v>
      </c>
      <c r="N19" s="1" t="s">
        <v>32</v>
      </c>
      <c r="O19" s="1" t="s">
        <v>32</v>
      </c>
      <c r="P19" s="57">
        <v>3.0800000000000001E-2</v>
      </c>
      <c r="Q19" s="59">
        <f t="shared" si="0"/>
        <v>2.2400000000000003E-2</v>
      </c>
      <c r="S19" s="4">
        <v>46092</v>
      </c>
      <c r="T19" s="3" t="s">
        <v>33</v>
      </c>
      <c r="U19" s="3" t="s">
        <v>33</v>
      </c>
      <c r="V19" s="3" t="s">
        <v>33</v>
      </c>
      <c r="W19" s="3" t="s">
        <v>33</v>
      </c>
      <c r="X19" s="6">
        <v>0.03</v>
      </c>
      <c r="Y19" s="3" t="s">
        <v>33</v>
      </c>
      <c r="Z19" s="6">
        <v>1.17E-2</v>
      </c>
      <c r="AA19" s="2">
        <v>46092</v>
      </c>
      <c r="AB19" s="1" t="s">
        <v>33</v>
      </c>
      <c r="AC19" s="1" t="s">
        <v>33</v>
      </c>
      <c r="AD19" s="1" t="s">
        <v>33</v>
      </c>
      <c r="AE19" s="1" t="s">
        <v>33</v>
      </c>
      <c r="AF19" s="1" t="s">
        <v>33</v>
      </c>
      <c r="AG19" s="1" t="s">
        <v>33</v>
      </c>
      <c r="AH19" s="57">
        <v>2.5000000000000001E-2</v>
      </c>
      <c r="AI19" s="12">
        <f t="shared" si="1"/>
        <v>1.3300000000000001E-2</v>
      </c>
      <c r="AK19" s="4">
        <v>46092</v>
      </c>
      <c r="AL19" s="6">
        <v>0.02</v>
      </c>
      <c r="AM19" s="3"/>
      <c r="AN19" s="3"/>
      <c r="AO19" s="3"/>
      <c r="AP19" s="3" t="s">
        <v>33</v>
      </c>
      <c r="AQ19" s="6">
        <v>2.6499999999999999E-2</v>
      </c>
      <c r="AR19" s="6">
        <v>6.7000000000000002E-3</v>
      </c>
      <c r="AS19" s="2">
        <v>46092</v>
      </c>
      <c r="AT19" s="13">
        <v>3.2000000000000001E-2</v>
      </c>
      <c r="AU19" s="13">
        <v>4.0899999999999999E-2</v>
      </c>
      <c r="AV19" s="13">
        <v>3.5999999999999997E-2</v>
      </c>
      <c r="AW19" s="13">
        <v>4.9000000000000002E-2</v>
      </c>
      <c r="AX19" s="13">
        <v>5.33E-2</v>
      </c>
      <c r="AY19" s="13">
        <v>6.0999999999999999E-2</v>
      </c>
      <c r="AZ19" s="13">
        <v>3.5400000000000001E-2</v>
      </c>
      <c r="BA19" s="12">
        <f t="shared" si="2"/>
        <v>2.87E-2</v>
      </c>
      <c r="BC19" s="4">
        <v>46092</v>
      </c>
      <c r="BD19" s="6">
        <v>7.7999999999999996E-3</v>
      </c>
      <c r="BE19" s="6">
        <v>7.9000000000000008E-3</v>
      </c>
      <c r="BF19" s="6">
        <v>8.0999999999999996E-3</v>
      </c>
      <c r="BG19" s="3"/>
      <c r="BH19" s="3"/>
      <c r="BI19" s="3"/>
      <c r="BJ19" s="6">
        <v>7.1000000000000004E-3</v>
      </c>
      <c r="BK19" s="2">
        <v>46092</v>
      </c>
      <c r="BL19" s="57">
        <v>3.8600000000000002E-2</v>
      </c>
      <c r="BM19" s="1"/>
      <c r="BN19" s="57">
        <v>5.4800000000000001E-2</v>
      </c>
      <c r="BO19" s="1"/>
      <c r="BP19" s="1"/>
      <c r="BQ19" s="1"/>
      <c r="BR19" s="57">
        <v>3.15E-2</v>
      </c>
      <c r="BS19" s="12">
        <f t="shared" si="3"/>
        <v>2.4399999999999998E-2</v>
      </c>
    </row>
    <row r="20" spans="1:71" x14ac:dyDescent="0.35">
      <c r="A20" s="4">
        <v>46093</v>
      </c>
      <c r="B20" s="3" t="s">
        <v>33</v>
      </c>
      <c r="C20" s="3" t="s">
        <v>33</v>
      </c>
      <c r="D20" s="3" t="s">
        <v>32</v>
      </c>
      <c r="E20" s="3" t="s">
        <v>33</v>
      </c>
      <c r="F20" s="3" t="s">
        <v>32</v>
      </c>
      <c r="G20" s="3" t="s">
        <v>33</v>
      </c>
      <c r="H20" s="9">
        <v>8.6999999999999994E-3</v>
      </c>
      <c r="I20" s="2">
        <v>46093</v>
      </c>
      <c r="J20" s="1" t="s">
        <v>33</v>
      </c>
      <c r="K20" s="1" t="s">
        <v>33</v>
      </c>
      <c r="L20" s="1" t="s">
        <v>32</v>
      </c>
      <c r="M20" s="1" t="s">
        <v>33</v>
      </c>
      <c r="N20" s="1" t="s">
        <v>32</v>
      </c>
      <c r="O20" s="1" t="s">
        <v>32</v>
      </c>
      <c r="P20" s="57">
        <v>3.1300000000000001E-2</v>
      </c>
      <c r="Q20" s="59">
        <f t="shared" si="0"/>
        <v>2.2600000000000002E-2</v>
      </c>
      <c r="S20" s="4">
        <v>46093</v>
      </c>
      <c r="T20" s="3" t="s">
        <v>33</v>
      </c>
      <c r="U20" s="3" t="s">
        <v>33</v>
      </c>
      <c r="V20" s="3" t="s">
        <v>33</v>
      </c>
      <c r="W20" s="3" t="s">
        <v>33</v>
      </c>
      <c r="X20" s="6">
        <v>0.03</v>
      </c>
      <c r="Y20" s="3" t="s">
        <v>33</v>
      </c>
      <c r="Z20" s="6">
        <v>1.15E-2</v>
      </c>
      <c r="AA20" s="2">
        <v>46093</v>
      </c>
      <c r="AB20" s="1" t="s">
        <v>33</v>
      </c>
      <c r="AC20" s="1" t="s">
        <v>33</v>
      </c>
      <c r="AD20" s="1" t="s">
        <v>33</v>
      </c>
      <c r="AE20" s="1" t="s">
        <v>33</v>
      </c>
      <c r="AF20" s="1" t="s">
        <v>33</v>
      </c>
      <c r="AG20" s="1" t="s">
        <v>33</v>
      </c>
      <c r="AH20" s="57">
        <v>2.5000000000000001E-2</v>
      </c>
      <c r="AI20" s="12">
        <f t="shared" si="1"/>
        <v>1.3500000000000002E-2</v>
      </c>
      <c r="AK20" s="4">
        <v>46093</v>
      </c>
      <c r="AL20" s="6">
        <v>0.02</v>
      </c>
      <c r="AM20" s="3"/>
      <c r="AN20" s="3"/>
      <c r="AO20" s="3"/>
      <c r="AP20" s="6">
        <v>2.5100000000000001E-2</v>
      </c>
      <c r="AQ20" s="6">
        <v>2.6499999999999999E-2</v>
      </c>
      <c r="AR20" s="6">
        <v>6.6E-3</v>
      </c>
      <c r="AS20" s="2">
        <v>46093</v>
      </c>
      <c r="AT20" s="13">
        <v>3.2000000000000001E-2</v>
      </c>
      <c r="AU20" s="13">
        <v>4.0899999999999999E-2</v>
      </c>
      <c r="AV20" s="13">
        <v>3.1E-2</v>
      </c>
      <c r="AW20" s="13">
        <v>0.05</v>
      </c>
      <c r="AX20" s="13">
        <v>5.33E-2</v>
      </c>
      <c r="AY20" s="13">
        <v>6.6000000000000003E-2</v>
      </c>
      <c r="AZ20" s="13">
        <v>3.5299999999999998E-2</v>
      </c>
      <c r="BA20" s="12">
        <f t="shared" si="2"/>
        <v>2.8699999999999996E-2</v>
      </c>
      <c r="BC20" s="4">
        <v>46093</v>
      </c>
      <c r="BD20" s="6">
        <v>7.3000000000000001E-3</v>
      </c>
      <c r="BE20" s="6">
        <v>7.3000000000000001E-3</v>
      </c>
      <c r="BF20" s="6">
        <v>7.4999999999999997E-3</v>
      </c>
      <c r="BG20" s="3"/>
      <c r="BH20" s="3"/>
      <c r="BI20" s="3"/>
      <c r="BJ20" s="6">
        <v>7.1000000000000004E-3</v>
      </c>
      <c r="BK20" s="2">
        <v>46093</v>
      </c>
      <c r="BL20" s="57">
        <v>3.8600000000000002E-2</v>
      </c>
      <c r="BM20" s="1"/>
      <c r="BN20" s="57">
        <v>5.4800000000000001E-2</v>
      </c>
      <c r="BO20" s="1"/>
      <c r="BP20" s="1"/>
      <c r="BQ20" s="1"/>
      <c r="BR20" s="57">
        <v>3.1600000000000003E-2</v>
      </c>
      <c r="BS20" s="12">
        <f t="shared" si="3"/>
        <v>2.4500000000000001E-2</v>
      </c>
    </row>
    <row r="21" spans="1:71" x14ac:dyDescent="0.35">
      <c r="A21" s="4">
        <v>46094</v>
      </c>
      <c r="B21" s="3" t="s">
        <v>33</v>
      </c>
      <c r="C21" s="3" t="s">
        <v>33</v>
      </c>
      <c r="D21" s="3" t="s">
        <v>32</v>
      </c>
      <c r="E21" s="3" t="s">
        <v>33</v>
      </c>
      <c r="F21" s="3" t="s">
        <v>32</v>
      </c>
      <c r="G21" s="3" t="s">
        <v>33</v>
      </c>
      <c r="H21" s="9">
        <v>8.3000000000000001E-3</v>
      </c>
      <c r="I21" s="2">
        <v>46094</v>
      </c>
      <c r="J21" s="1" t="s">
        <v>33</v>
      </c>
      <c r="K21" s="1" t="s">
        <v>33</v>
      </c>
      <c r="L21" s="1" t="s">
        <v>32</v>
      </c>
      <c r="M21" s="1" t="s">
        <v>33</v>
      </c>
      <c r="N21" s="1" t="s">
        <v>32</v>
      </c>
      <c r="O21" s="1" t="s">
        <v>32</v>
      </c>
      <c r="P21" s="57">
        <v>3.0599999999999999E-2</v>
      </c>
      <c r="Q21" s="59">
        <f t="shared" si="0"/>
        <v>2.23E-2</v>
      </c>
      <c r="S21" s="4">
        <v>46094</v>
      </c>
      <c r="T21" s="3" t="s">
        <v>33</v>
      </c>
      <c r="U21" s="3" t="s">
        <v>33</v>
      </c>
      <c r="V21" s="3" t="s">
        <v>33</v>
      </c>
      <c r="W21" s="3" t="s">
        <v>33</v>
      </c>
      <c r="X21" s="6">
        <v>0.03</v>
      </c>
      <c r="Y21" s="3" t="s">
        <v>33</v>
      </c>
      <c r="Z21" s="6">
        <v>1.1599999999999999E-2</v>
      </c>
      <c r="AA21" s="2">
        <v>46094</v>
      </c>
      <c r="AB21" s="1" t="s">
        <v>33</v>
      </c>
      <c r="AC21" s="1" t="s">
        <v>33</v>
      </c>
      <c r="AD21" s="1" t="s">
        <v>33</v>
      </c>
      <c r="AE21" s="1" t="s">
        <v>33</v>
      </c>
      <c r="AF21" s="1" t="s">
        <v>33</v>
      </c>
      <c r="AG21" s="1" t="s">
        <v>33</v>
      </c>
      <c r="AH21" s="57">
        <v>2.5000000000000001E-2</v>
      </c>
      <c r="AI21" s="12">
        <f t="shared" si="1"/>
        <v>1.3400000000000002E-2</v>
      </c>
      <c r="AK21" s="4">
        <v>46094</v>
      </c>
      <c r="AL21" s="6">
        <v>0.02</v>
      </c>
      <c r="AM21" s="3"/>
      <c r="AN21" s="3"/>
      <c r="AO21" s="3"/>
      <c r="AP21" s="6">
        <v>2.5100000000000001E-2</v>
      </c>
      <c r="AQ21" s="6">
        <v>2.6499999999999999E-2</v>
      </c>
      <c r="AR21" s="6">
        <v>6.6E-3</v>
      </c>
      <c r="AS21" s="2">
        <v>46094</v>
      </c>
      <c r="AT21" s="13">
        <v>3.3000000000000002E-2</v>
      </c>
      <c r="AU21" s="13">
        <v>4.07E-2</v>
      </c>
      <c r="AV21" s="13">
        <v>3.7999999999999999E-2</v>
      </c>
      <c r="AW21" s="13">
        <v>4.6899999999999997E-2</v>
      </c>
      <c r="AX21" s="13">
        <v>4.7899999999999998E-2</v>
      </c>
      <c r="AY21" s="13">
        <v>6.5000000000000002E-2</v>
      </c>
      <c r="AZ21" s="13">
        <v>3.4500000000000003E-2</v>
      </c>
      <c r="BA21" s="12">
        <f t="shared" si="2"/>
        <v>2.7900000000000001E-2</v>
      </c>
      <c r="BC21" s="4">
        <v>46094</v>
      </c>
      <c r="BD21" s="6">
        <v>7.1999999999999998E-3</v>
      </c>
      <c r="BE21" s="6">
        <v>7.1999999999999998E-3</v>
      </c>
      <c r="BF21" s="6">
        <v>7.1999999999999998E-3</v>
      </c>
      <c r="BG21" s="3"/>
      <c r="BH21" s="3"/>
      <c r="BI21" s="3"/>
      <c r="BJ21" s="6">
        <v>7.1000000000000004E-3</v>
      </c>
      <c r="BK21" s="2">
        <v>46094</v>
      </c>
      <c r="BL21" s="57">
        <v>3.8600000000000002E-2</v>
      </c>
      <c r="BM21" s="1"/>
      <c r="BN21" s="57">
        <v>5.4800000000000001E-2</v>
      </c>
      <c r="BO21" s="1"/>
      <c r="BP21" s="1"/>
      <c r="BQ21" s="1"/>
      <c r="BR21" s="57">
        <v>3.1399999999999997E-2</v>
      </c>
      <c r="BS21" s="12">
        <f t="shared" si="3"/>
        <v>2.4299999999999995E-2</v>
      </c>
    </row>
    <row r="22" spans="1:71" x14ac:dyDescent="0.35">
      <c r="A22" s="4">
        <v>46095</v>
      </c>
      <c r="B22" s="3" t="s">
        <v>33</v>
      </c>
      <c r="C22" s="3" t="s">
        <v>33</v>
      </c>
      <c r="D22" s="3" t="s">
        <v>32</v>
      </c>
      <c r="E22" s="3" t="s">
        <v>33</v>
      </c>
      <c r="F22" s="3" t="s">
        <v>32</v>
      </c>
      <c r="G22" s="3" t="s">
        <v>33</v>
      </c>
      <c r="H22" s="9">
        <v>8.0000000000000002E-3</v>
      </c>
      <c r="I22" s="2">
        <v>46095</v>
      </c>
      <c r="J22" s="1" t="s">
        <v>33</v>
      </c>
      <c r="K22" s="1" t="s">
        <v>33</v>
      </c>
      <c r="L22" s="1" t="s">
        <v>32</v>
      </c>
      <c r="M22" s="1" t="s">
        <v>33</v>
      </c>
      <c r="N22" s="1" t="s">
        <v>32</v>
      </c>
      <c r="O22" s="1" t="s">
        <v>32</v>
      </c>
      <c r="P22" s="57">
        <v>2.9899999999999999E-2</v>
      </c>
      <c r="Q22" s="59">
        <f t="shared" si="0"/>
        <v>2.1899999999999999E-2</v>
      </c>
      <c r="S22" s="4">
        <v>46095</v>
      </c>
      <c r="T22" s="3" t="s">
        <v>33</v>
      </c>
      <c r="U22" s="3" t="s">
        <v>33</v>
      </c>
      <c r="V22" s="3" t="s">
        <v>33</v>
      </c>
      <c r="W22" s="3" t="s">
        <v>33</v>
      </c>
      <c r="X22" s="6">
        <v>3.5000000000000003E-2</v>
      </c>
      <c r="Y22" s="3" t="s">
        <v>33</v>
      </c>
      <c r="Z22" s="6">
        <v>1.15E-2</v>
      </c>
      <c r="AA22" s="2">
        <v>46095</v>
      </c>
      <c r="AB22" s="1" t="s">
        <v>33</v>
      </c>
      <c r="AC22" s="1" t="s">
        <v>33</v>
      </c>
      <c r="AD22" s="1" t="s">
        <v>33</v>
      </c>
      <c r="AE22" s="1" t="s">
        <v>33</v>
      </c>
      <c r="AF22" s="1" t="s">
        <v>33</v>
      </c>
      <c r="AG22" s="1" t="s">
        <v>33</v>
      </c>
      <c r="AH22" s="57">
        <v>2.5000000000000001E-2</v>
      </c>
      <c r="AI22" s="12">
        <f t="shared" si="1"/>
        <v>1.3500000000000002E-2</v>
      </c>
      <c r="AK22" s="4">
        <v>46095</v>
      </c>
      <c r="AL22" s="6">
        <v>0.02</v>
      </c>
      <c r="AM22" s="3"/>
      <c r="AN22" s="3"/>
      <c r="AO22" s="3"/>
      <c r="AP22" s="3" t="s">
        <v>33</v>
      </c>
      <c r="AQ22" s="6">
        <v>2.6499999999999999E-2</v>
      </c>
      <c r="AR22" s="6">
        <v>6.4000000000000003E-3</v>
      </c>
      <c r="AS22" s="2">
        <v>46095</v>
      </c>
      <c r="AT22" s="13">
        <v>3.2800000000000003E-2</v>
      </c>
      <c r="AU22" s="13">
        <v>4.0800000000000003E-2</v>
      </c>
      <c r="AV22" s="13">
        <v>0.04</v>
      </c>
      <c r="AW22" s="13">
        <v>4.3999999999999997E-2</v>
      </c>
      <c r="AX22" s="13">
        <v>5.33E-2</v>
      </c>
      <c r="AY22" s="13">
        <v>6.2E-2</v>
      </c>
      <c r="AZ22" s="13">
        <v>3.4000000000000002E-2</v>
      </c>
      <c r="BA22" s="12">
        <f t="shared" si="2"/>
        <v>2.7600000000000003E-2</v>
      </c>
      <c r="BC22" s="4">
        <v>46095</v>
      </c>
      <c r="BD22" s="6">
        <v>7.1999999999999998E-3</v>
      </c>
      <c r="BE22" s="6">
        <v>7.3000000000000001E-3</v>
      </c>
      <c r="BF22" s="6">
        <v>7.7000000000000002E-3</v>
      </c>
      <c r="BG22" s="3"/>
      <c r="BH22" s="3"/>
      <c r="BI22" s="3"/>
      <c r="BJ22" s="6">
        <v>7.4000000000000003E-3</v>
      </c>
      <c r="BK22" s="2">
        <v>46095</v>
      </c>
      <c r="BL22" s="57">
        <v>3.8600000000000002E-2</v>
      </c>
      <c r="BM22" s="1"/>
      <c r="BN22" s="57">
        <v>5.4800000000000001E-2</v>
      </c>
      <c r="BO22" s="1"/>
      <c r="BP22" s="1"/>
      <c r="BQ22" s="1"/>
      <c r="BR22" s="57">
        <v>3.2000000000000001E-2</v>
      </c>
      <c r="BS22" s="12">
        <f t="shared" si="3"/>
        <v>2.46E-2</v>
      </c>
    </row>
    <row r="23" spans="1:71" x14ac:dyDescent="0.35">
      <c r="A23" s="4">
        <v>46096</v>
      </c>
      <c r="B23" s="3" t="s">
        <v>33</v>
      </c>
      <c r="C23" s="3" t="s">
        <v>33</v>
      </c>
      <c r="D23" s="3" t="s">
        <v>32</v>
      </c>
      <c r="E23" s="3" t="s">
        <v>33</v>
      </c>
      <c r="F23" s="3" t="s">
        <v>32</v>
      </c>
      <c r="G23" s="3" t="s">
        <v>33</v>
      </c>
      <c r="H23" s="9">
        <v>8.2000000000000007E-3</v>
      </c>
      <c r="I23" s="2">
        <v>46096</v>
      </c>
      <c r="J23" s="1" t="s">
        <v>33</v>
      </c>
      <c r="K23" s="1" t="s">
        <v>33</v>
      </c>
      <c r="L23" s="1" t="s">
        <v>32</v>
      </c>
      <c r="M23" s="1" t="s">
        <v>33</v>
      </c>
      <c r="N23" s="1" t="s">
        <v>32</v>
      </c>
      <c r="O23" s="1" t="s">
        <v>32</v>
      </c>
      <c r="P23" s="57">
        <v>3.2099999999999997E-2</v>
      </c>
      <c r="Q23" s="59">
        <f t="shared" si="0"/>
        <v>2.3899999999999998E-2</v>
      </c>
      <c r="S23" s="4">
        <v>46096</v>
      </c>
      <c r="T23" s="3" t="s">
        <v>33</v>
      </c>
      <c r="U23" s="3" t="s">
        <v>33</v>
      </c>
      <c r="V23" s="3" t="s">
        <v>33</v>
      </c>
      <c r="W23" s="3" t="s">
        <v>33</v>
      </c>
      <c r="X23" s="6">
        <v>3.5000000000000003E-2</v>
      </c>
      <c r="Y23" s="3" t="s">
        <v>33</v>
      </c>
      <c r="Z23" s="6">
        <v>1.1900000000000001E-2</v>
      </c>
      <c r="AA23" s="2">
        <v>46096</v>
      </c>
      <c r="AB23" s="1" t="s">
        <v>33</v>
      </c>
      <c r="AC23" s="1" t="s">
        <v>33</v>
      </c>
      <c r="AD23" s="1" t="s">
        <v>33</v>
      </c>
      <c r="AE23" s="1" t="s">
        <v>33</v>
      </c>
      <c r="AF23" s="1" t="s">
        <v>33</v>
      </c>
      <c r="AG23" s="1" t="s">
        <v>33</v>
      </c>
      <c r="AH23" s="57">
        <v>2.5000000000000001E-2</v>
      </c>
      <c r="AI23" s="12">
        <f t="shared" si="1"/>
        <v>1.3100000000000001E-2</v>
      </c>
      <c r="AK23" s="4">
        <v>46096</v>
      </c>
      <c r="AL23" s="6">
        <v>0.02</v>
      </c>
      <c r="AM23" s="3"/>
      <c r="AN23" s="3"/>
      <c r="AO23" s="3"/>
      <c r="AP23" s="3" t="s">
        <v>33</v>
      </c>
      <c r="AQ23" s="6">
        <v>2.6499999999999999E-2</v>
      </c>
      <c r="AR23" s="6">
        <v>6.7999999999999996E-3</v>
      </c>
      <c r="AS23" s="2">
        <v>46096</v>
      </c>
      <c r="AT23" s="13">
        <v>3.2000000000000001E-2</v>
      </c>
      <c r="AU23" s="13">
        <v>3.95E-2</v>
      </c>
      <c r="AV23" s="13">
        <v>3.2000000000000001E-2</v>
      </c>
      <c r="AW23" s="13">
        <v>4.3999999999999997E-2</v>
      </c>
      <c r="AX23" s="13">
        <v>5.33E-2</v>
      </c>
      <c r="AY23" s="13">
        <v>6.1499999999999999E-2</v>
      </c>
      <c r="AZ23" s="13">
        <v>3.4500000000000003E-2</v>
      </c>
      <c r="BA23" s="12">
        <f t="shared" si="2"/>
        <v>2.7700000000000002E-2</v>
      </c>
      <c r="BC23" s="4">
        <v>46096</v>
      </c>
      <c r="BD23" s="6">
        <v>7.1999999999999998E-3</v>
      </c>
      <c r="BE23" s="6">
        <v>7.3000000000000001E-3</v>
      </c>
      <c r="BF23" s="6">
        <v>7.6E-3</v>
      </c>
      <c r="BG23" s="3"/>
      <c r="BH23" s="3"/>
      <c r="BI23" s="3"/>
      <c r="BJ23" s="6">
        <v>7.4999999999999997E-3</v>
      </c>
      <c r="BK23" s="2">
        <v>46096</v>
      </c>
      <c r="BL23" s="57">
        <v>3.8600000000000002E-2</v>
      </c>
      <c r="BM23" s="1"/>
      <c r="BN23" s="57">
        <v>5.4800000000000001E-2</v>
      </c>
      <c r="BO23" s="1"/>
      <c r="BP23" s="1"/>
      <c r="BQ23" s="1"/>
      <c r="BR23" s="57">
        <v>3.1099999999999999E-2</v>
      </c>
      <c r="BS23" s="12">
        <f t="shared" si="3"/>
        <v>2.3599999999999999E-2</v>
      </c>
    </row>
    <row r="24" spans="1:71" x14ac:dyDescent="0.35">
      <c r="A24" s="4">
        <v>46097</v>
      </c>
      <c r="B24" s="3" t="s">
        <v>33</v>
      </c>
      <c r="C24" s="3" t="s">
        <v>33</v>
      </c>
      <c r="D24" s="3" t="s">
        <v>32</v>
      </c>
      <c r="E24" s="3" t="s">
        <v>33</v>
      </c>
      <c r="F24" s="3" t="s">
        <v>32</v>
      </c>
      <c r="G24" s="3" t="s">
        <v>33</v>
      </c>
      <c r="H24" s="9">
        <v>9.7999999999999997E-3</v>
      </c>
      <c r="I24" s="2">
        <v>46097</v>
      </c>
      <c r="J24" s="1" t="s">
        <v>33</v>
      </c>
      <c r="K24" s="1" t="s">
        <v>33</v>
      </c>
      <c r="L24" s="1" t="s">
        <v>32</v>
      </c>
      <c r="M24" s="1" t="s">
        <v>33</v>
      </c>
      <c r="N24" s="1" t="s">
        <v>32</v>
      </c>
      <c r="O24" s="1" t="s">
        <v>32</v>
      </c>
      <c r="P24" s="57">
        <v>3.32E-2</v>
      </c>
      <c r="Q24" s="59">
        <f t="shared" si="0"/>
        <v>2.3400000000000001E-2</v>
      </c>
      <c r="S24" s="4">
        <v>46097</v>
      </c>
      <c r="T24" s="3" t="s">
        <v>33</v>
      </c>
      <c r="U24" s="3" t="s">
        <v>33</v>
      </c>
      <c r="V24" s="3" t="s">
        <v>33</v>
      </c>
      <c r="W24" s="3" t="s">
        <v>33</v>
      </c>
      <c r="X24" s="6">
        <v>3.5000000000000003E-2</v>
      </c>
      <c r="Y24" s="3" t="s">
        <v>33</v>
      </c>
      <c r="Z24" s="6">
        <v>1.21E-2</v>
      </c>
      <c r="AA24" s="2">
        <v>46097</v>
      </c>
      <c r="AB24" s="1" t="s">
        <v>33</v>
      </c>
      <c r="AC24" s="1" t="s">
        <v>33</v>
      </c>
      <c r="AD24" s="1" t="s">
        <v>33</v>
      </c>
      <c r="AE24" s="1" t="s">
        <v>33</v>
      </c>
      <c r="AF24" s="1" t="s">
        <v>33</v>
      </c>
      <c r="AG24" s="1" t="s">
        <v>33</v>
      </c>
      <c r="AH24" s="57">
        <v>2.5000000000000001E-2</v>
      </c>
      <c r="AI24" s="12">
        <f t="shared" si="1"/>
        <v>1.2900000000000002E-2</v>
      </c>
      <c r="AK24" s="4">
        <v>46097</v>
      </c>
      <c r="AL24" s="6">
        <v>0.02</v>
      </c>
      <c r="AM24" s="3"/>
      <c r="AN24" s="3"/>
      <c r="AO24" s="3"/>
      <c r="AP24" s="3" t="s">
        <v>33</v>
      </c>
      <c r="AQ24" s="6">
        <v>2.6499999999999999E-2</v>
      </c>
      <c r="AR24" s="6">
        <v>7.0000000000000001E-3</v>
      </c>
      <c r="AS24" s="2">
        <v>46097</v>
      </c>
      <c r="AT24" s="13">
        <v>3.2000000000000001E-2</v>
      </c>
      <c r="AU24" s="13">
        <v>3.9899999999999998E-2</v>
      </c>
      <c r="AV24" s="13">
        <v>0.04</v>
      </c>
      <c r="AW24" s="13">
        <v>4.4699999999999997E-2</v>
      </c>
      <c r="AX24" s="13">
        <v>5.0999999999999997E-2</v>
      </c>
      <c r="AY24" s="13">
        <v>6.2E-2</v>
      </c>
      <c r="AZ24" s="13">
        <v>3.49E-2</v>
      </c>
      <c r="BA24" s="12">
        <f t="shared" si="2"/>
        <v>2.7900000000000001E-2</v>
      </c>
      <c r="BC24" s="4">
        <v>46097</v>
      </c>
      <c r="BD24" s="6">
        <v>7.1999999999999998E-3</v>
      </c>
      <c r="BE24" s="6">
        <v>7.3000000000000001E-3</v>
      </c>
      <c r="BF24" s="6">
        <v>7.6E-3</v>
      </c>
      <c r="BG24" s="3"/>
      <c r="BH24" s="3"/>
      <c r="BI24" s="3"/>
      <c r="BJ24" s="6">
        <v>7.6E-3</v>
      </c>
      <c r="BK24" s="2">
        <v>46097</v>
      </c>
      <c r="BL24" s="57">
        <v>3.8600000000000002E-2</v>
      </c>
      <c r="BM24" s="1"/>
      <c r="BN24" s="57">
        <v>5.4800000000000001E-2</v>
      </c>
      <c r="BO24" s="1"/>
      <c r="BP24" s="1"/>
      <c r="BQ24" s="1"/>
      <c r="BR24" s="57">
        <v>3.1099999999999999E-2</v>
      </c>
      <c r="BS24" s="12">
        <f t="shared" si="3"/>
        <v>2.35E-2</v>
      </c>
    </row>
    <row r="25" spans="1:71" x14ac:dyDescent="0.35">
      <c r="A25" s="4">
        <v>46098</v>
      </c>
      <c r="B25" s="3" t="s">
        <v>33</v>
      </c>
      <c r="C25" s="3" t="s">
        <v>33</v>
      </c>
      <c r="D25" s="3" t="s">
        <v>32</v>
      </c>
      <c r="E25" s="3" t="s">
        <v>33</v>
      </c>
      <c r="F25" s="3" t="s">
        <v>32</v>
      </c>
      <c r="G25" s="3" t="s">
        <v>33</v>
      </c>
      <c r="H25" s="9">
        <v>9.9000000000000008E-3</v>
      </c>
      <c r="I25" s="2">
        <v>46098</v>
      </c>
      <c r="J25" s="1" t="s">
        <v>33</v>
      </c>
      <c r="K25" s="1" t="s">
        <v>33</v>
      </c>
      <c r="L25" s="1" t="s">
        <v>32</v>
      </c>
      <c r="M25" s="1" t="s">
        <v>33</v>
      </c>
      <c r="N25" s="1" t="s">
        <v>32</v>
      </c>
      <c r="O25" s="1" t="s">
        <v>32</v>
      </c>
      <c r="P25" s="57">
        <v>3.3500000000000002E-2</v>
      </c>
      <c r="Q25" s="59">
        <f t="shared" si="0"/>
        <v>2.3600000000000003E-2</v>
      </c>
      <c r="S25" s="4">
        <v>46098</v>
      </c>
      <c r="T25" s="3" t="s">
        <v>33</v>
      </c>
      <c r="U25" s="3" t="s">
        <v>33</v>
      </c>
      <c r="V25" s="3" t="s">
        <v>33</v>
      </c>
      <c r="W25" s="3" t="s">
        <v>33</v>
      </c>
      <c r="X25" s="6">
        <v>3.5000000000000003E-2</v>
      </c>
      <c r="Y25" s="3" t="s">
        <v>33</v>
      </c>
      <c r="Z25" s="6">
        <v>1.2200000000000001E-2</v>
      </c>
      <c r="AA25" s="2">
        <v>46098</v>
      </c>
      <c r="AB25" s="1" t="s">
        <v>33</v>
      </c>
      <c r="AC25" s="1" t="s">
        <v>33</v>
      </c>
      <c r="AD25" s="1" t="s">
        <v>33</v>
      </c>
      <c r="AE25" s="1" t="s">
        <v>33</v>
      </c>
      <c r="AF25" s="1" t="s">
        <v>33</v>
      </c>
      <c r="AG25" s="1" t="s">
        <v>33</v>
      </c>
      <c r="AH25" s="57">
        <v>2.5000000000000001E-2</v>
      </c>
      <c r="AI25" s="12">
        <f t="shared" si="1"/>
        <v>1.2800000000000001E-2</v>
      </c>
      <c r="AK25" s="4">
        <v>46098</v>
      </c>
      <c r="AL25" s="6">
        <v>0.02</v>
      </c>
      <c r="AM25" s="3"/>
      <c r="AN25" s="3"/>
      <c r="AO25" s="3"/>
      <c r="AP25" s="3" t="s">
        <v>33</v>
      </c>
      <c r="AQ25" s="6">
        <v>2.6499999999999999E-2</v>
      </c>
      <c r="AR25" s="6">
        <v>7.6E-3</v>
      </c>
      <c r="AS25" s="2">
        <v>46098</v>
      </c>
      <c r="AT25" s="13">
        <v>0.03</v>
      </c>
      <c r="AU25" s="13">
        <v>3.9399999999999998E-2</v>
      </c>
      <c r="AV25" s="13">
        <v>4.2000000000000003E-2</v>
      </c>
      <c r="AW25" s="13">
        <v>4.3900000000000002E-2</v>
      </c>
      <c r="AX25" s="13">
        <v>5.0700000000000002E-2</v>
      </c>
      <c r="AY25" s="13">
        <v>6.2E-2</v>
      </c>
      <c r="AZ25" s="13">
        <v>3.85E-2</v>
      </c>
      <c r="BA25" s="12">
        <f t="shared" si="2"/>
        <v>3.09E-2</v>
      </c>
      <c r="BC25" s="4">
        <v>46098</v>
      </c>
      <c r="BD25" s="6">
        <v>7.1999999999999998E-3</v>
      </c>
      <c r="BE25" s="6">
        <v>7.3000000000000001E-3</v>
      </c>
      <c r="BF25" s="6">
        <v>7.6E-3</v>
      </c>
      <c r="BG25" s="3"/>
      <c r="BH25" s="3"/>
      <c r="BI25" s="3"/>
      <c r="BJ25" s="6">
        <v>7.3000000000000001E-3</v>
      </c>
      <c r="BK25" s="2">
        <v>46098</v>
      </c>
      <c r="BL25" s="57">
        <v>3.8600000000000002E-2</v>
      </c>
      <c r="BM25" s="1"/>
      <c r="BN25" s="57">
        <v>5.4800000000000001E-2</v>
      </c>
      <c r="BO25" s="1"/>
      <c r="BP25" s="1"/>
      <c r="BQ25" s="1"/>
      <c r="BR25" s="57">
        <v>3.1099999999999999E-2</v>
      </c>
      <c r="BS25" s="12">
        <f t="shared" si="3"/>
        <v>2.3799999999999998E-2</v>
      </c>
    </row>
    <row r="26" spans="1:71" x14ac:dyDescent="0.35">
      <c r="A26" s="4">
        <v>46099</v>
      </c>
      <c r="B26" s="3" t="s">
        <v>33</v>
      </c>
      <c r="C26" s="3" t="s">
        <v>33</v>
      </c>
      <c r="D26" s="3" t="s">
        <v>32</v>
      </c>
      <c r="E26" s="3" t="s">
        <v>33</v>
      </c>
      <c r="F26" s="3" t="s">
        <v>32</v>
      </c>
      <c r="G26" s="3" t="s">
        <v>33</v>
      </c>
      <c r="H26" s="9">
        <v>9.1999999999999998E-3</v>
      </c>
      <c r="I26" s="2">
        <v>46099</v>
      </c>
      <c r="J26" s="1" t="s">
        <v>33</v>
      </c>
      <c r="K26" s="1" t="s">
        <v>33</v>
      </c>
      <c r="L26" s="1" t="s">
        <v>32</v>
      </c>
      <c r="M26" s="1" t="s">
        <v>33</v>
      </c>
      <c r="N26" s="1" t="s">
        <v>32</v>
      </c>
      <c r="O26" s="1" t="s">
        <v>32</v>
      </c>
      <c r="P26" s="57">
        <v>3.2300000000000002E-2</v>
      </c>
      <c r="Q26" s="59">
        <f t="shared" si="0"/>
        <v>2.3100000000000002E-2</v>
      </c>
      <c r="S26" s="4">
        <v>46099</v>
      </c>
      <c r="T26" s="3" t="s">
        <v>33</v>
      </c>
      <c r="U26" s="3" t="s">
        <v>33</v>
      </c>
      <c r="V26" s="3" t="s">
        <v>33</v>
      </c>
      <c r="W26" s="3" t="s">
        <v>33</v>
      </c>
      <c r="X26" s="6">
        <v>3.5000000000000003E-2</v>
      </c>
      <c r="Y26" s="3" t="s">
        <v>33</v>
      </c>
      <c r="Z26" s="6">
        <v>1.2200000000000001E-2</v>
      </c>
      <c r="AA26" s="2">
        <v>46099</v>
      </c>
      <c r="AB26" s="1" t="s">
        <v>33</v>
      </c>
      <c r="AC26" s="1" t="s">
        <v>33</v>
      </c>
      <c r="AD26" s="1" t="s">
        <v>33</v>
      </c>
      <c r="AE26" s="1" t="s">
        <v>33</v>
      </c>
      <c r="AF26" s="1" t="s">
        <v>33</v>
      </c>
      <c r="AG26" s="1" t="s">
        <v>33</v>
      </c>
      <c r="AH26" s="57">
        <v>2.5000000000000001E-2</v>
      </c>
      <c r="AI26" s="12">
        <f t="shared" si="1"/>
        <v>1.2800000000000001E-2</v>
      </c>
      <c r="AK26" s="4">
        <v>46099</v>
      </c>
      <c r="AL26" s="6">
        <v>0.02</v>
      </c>
      <c r="AM26" s="3"/>
      <c r="AN26" s="3"/>
      <c r="AO26" s="3"/>
      <c r="AP26" s="3" t="s">
        <v>33</v>
      </c>
      <c r="AQ26" s="6">
        <v>2.6499999999999999E-2</v>
      </c>
      <c r="AR26" s="6">
        <v>7.1999999999999998E-3</v>
      </c>
      <c r="AS26" s="2">
        <v>46099</v>
      </c>
      <c r="AT26" s="13">
        <v>3.5000000000000003E-2</v>
      </c>
      <c r="AU26" s="13">
        <v>4.2000000000000003E-2</v>
      </c>
      <c r="AV26" s="13">
        <v>0.04</v>
      </c>
      <c r="AW26" s="13">
        <v>4.2000000000000003E-2</v>
      </c>
      <c r="AX26" s="13">
        <v>5.0500000000000003E-2</v>
      </c>
      <c r="AY26" s="13">
        <v>6.59E-2</v>
      </c>
      <c r="AZ26" s="13">
        <v>3.5700000000000003E-2</v>
      </c>
      <c r="BA26" s="12">
        <f t="shared" si="2"/>
        <v>2.8500000000000004E-2</v>
      </c>
      <c r="BC26" s="4">
        <v>46099</v>
      </c>
      <c r="BD26" s="6">
        <v>7.1999999999999998E-3</v>
      </c>
      <c r="BE26" s="6">
        <v>7.3000000000000001E-3</v>
      </c>
      <c r="BF26" s="6">
        <v>7.6E-3</v>
      </c>
      <c r="BG26" s="3"/>
      <c r="BH26" s="3"/>
      <c r="BI26" s="3"/>
      <c r="BJ26" s="6">
        <v>7.3000000000000001E-3</v>
      </c>
      <c r="BK26" s="2">
        <v>46099</v>
      </c>
      <c r="BL26" s="57">
        <v>3.8600000000000002E-2</v>
      </c>
      <c r="BM26" s="1"/>
      <c r="BN26" s="57">
        <v>5.4800000000000001E-2</v>
      </c>
      <c r="BO26" s="1"/>
      <c r="BP26" s="1"/>
      <c r="BQ26" s="1"/>
      <c r="BR26" s="57">
        <v>3.1199999999999999E-2</v>
      </c>
      <c r="BS26" s="12">
        <f t="shared" si="3"/>
        <v>2.3899999999999998E-2</v>
      </c>
    </row>
    <row r="27" spans="1:71" x14ac:dyDescent="0.35">
      <c r="A27" s="4">
        <v>46100</v>
      </c>
      <c r="B27" s="3" t="s">
        <v>33</v>
      </c>
      <c r="C27" s="3" t="s">
        <v>33</v>
      </c>
      <c r="D27" s="3" t="s">
        <v>32</v>
      </c>
      <c r="E27" s="3" t="s">
        <v>33</v>
      </c>
      <c r="F27" s="3" t="s">
        <v>32</v>
      </c>
      <c r="G27" s="3" t="s">
        <v>33</v>
      </c>
      <c r="H27" s="9">
        <v>8.2000000000000007E-3</v>
      </c>
      <c r="I27" s="2">
        <v>46100</v>
      </c>
      <c r="J27" s="1" t="s">
        <v>33</v>
      </c>
      <c r="K27" s="1" t="s">
        <v>33</v>
      </c>
      <c r="L27" s="1" t="s">
        <v>32</v>
      </c>
      <c r="M27" s="1" t="s">
        <v>33</v>
      </c>
      <c r="N27" s="1" t="s">
        <v>32</v>
      </c>
      <c r="O27" s="1" t="s">
        <v>32</v>
      </c>
      <c r="P27" s="57">
        <v>3.0499999999999999E-2</v>
      </c>
      <c r="Q27" s="59">
        <f t="shared" si="0"/>
        <v>2.23E-2</v>
      </c>
      <c r="S27" s="4">
        <v>46100</v>
      </c>
      <c r="T27" s="3" t="s">
        <v>33</v>
      </c>
      <c r="U27" s="3" t="s">
        <v>33</v>
      </c>
      <c r="V27" s="3" t="s">
        <v>33</v>
      </c>
      <c r="W27" s="3" t="s">
        <v>33</v>
      </c>
      <c r="X27" s="6">
        <v>3.5000000000000003E-2</v>
      </c>
      <c r="Y27" s="3" t="s">
        <v>33</v>
      </c>
      <c r="Z27" s="6">
        <v>1.15E-2</v>
      </c>
      <c r="AA27" s="2">
        <v>46100</v>
      </c>
      <c r="AB27" s="1" t="s">
        <v>33</v>
      </c>
      <c r="AC27" s="1" t="s">
        <v>33</v>
      </c>
      <c r="AD27" s="1" t="s">
        <v>33</v>
      </c>
      <c r="AE27" s="1" t="s">
        <v>33</v>
      </c>
      <c r="AF27" s="1" t="s">
        <v>33</v>
      </c>
      <c r="AG27" s="1" t="s">
        <v>33</v>
      </c>
      <c r="AH27" s="57">
        <v>2.5000000000000001E-2</v>
      </c>
      <c r="AI27" s="12">
        <f t="shared" si="1"/>
        <v>1.3500000000000002E-2</v>
      </c>
      <c r="AK27" s="4">
        <v>46100</v>
      </c>
      <c r="AL27" s="6">
        <v>0.02</v>
      </c>
      <c r="AM27" s="3"/>
      <c r="AN27" s="3"/>
      <c r="AO27" s="3"/>
      <c r="AP27" s="3" t="s">
        <v>33</v>
      </c>
      <c r="AQ27" s="6">
        <v>2.6499999999999999E-2</v>
      </c>
      <c r="AR27" s="6">
        <v>6.0000000000000001E-3</v>
      </c>
      <c r="AS27" s="2">
        <v>46100</v>
      </c>
      <c r="AT27" s="13">
        <v>3.4200000000000001E-2</v>
      </c>
      <c r="AU27" s="13">
        <v>4.2000000000000003E-2</v>
      </c>
      <c r="AV27" s="13">
        <v>3.5000000000000003E-2</v>
      </c>
      <c r="AW27" s="13">
        <v>4.3999999999999997E-2</v>
      </c>
      <c r="AX27" s="13">
        <v>5.0700000000000002E-2</v>
      </c>
      <c r="AY27" s="13">
        <v>6.5799999999999997E-2</v>
      </c>
      <c r="AZ27" s="13">
        <v>3.4299999999999997E-2</v>
      </c>
      <c r="BA27" s="12">
        <f t="shared" si="2"/>
        <v>2.8299999999999999E-2</v>
      </c>
      <c r="BC27" s="4">
        <v>46100</v>
      </c>
      <c r="BD27" s="6">
        <v>7.1999999999999998E-3</v>
      </c>
      <c r="BE27" s="6">
        <v>7.3000000000000001E-3</v>
      </c>
      <c r="BF27" s="6">
        <v>7.6E-3</v>
      </c>
      <c r="BG27" s="3"/>
      <c r="BH27" s="3"/>
      <c r="BI27" s="3"/>
      <c r="BJ27" s="6">
        <v>7.4000000000000003E-3</v>
      </c>
      <c r="BK27" s="2">
        <v>46100</v>
      </c>
      <c r="BL27" s="57">
        <v>3.8600000000000002E-2</v>
      </c>
      <c r="BM27" s="1"/>
      <c r="BN27" s="57">
        <v>5.4800000000000001E-2</v>
      </c>
      <c r="BO27" s="1"/>
      <c r="BP27" s="1"/>
      <c r="BQ27" s="1"/>
      <c r="BR27" s="57">
        <v>3.1199999999999999E-2</v>
      </c>
      <c r="BS27" s="12">
        <f t="shared" si="3"/>
        <v>2.3799999999999998E-2</v>
      </c>
    </row>
    <row r="28" spans="1:71" x14ac:dyDescent="0.35">
      <c r="A28" s="4">
        <v>46101</v>
      </c>
      <c r="B28" s="3" t="s">
        <v>33</v>
      </c>
      <c r="C28" s="3" t="s">
        <v>33</v>
      </c>
      <c r="D28" s="3" t="s">
        <v>32</v>
      </c>
      <c r="E28" s="3" t="s">
        <v>33</v>
      </c>
      <c r="F28" s="3" t="s">
        <v>32</v>
      </c>
      <c r="G28" s="3" t="s">
        <v>33</v>
      </c>
      <c r="H28" s="9">
        <v>7.0000000000000001E-3</v>
      </c>
      <c r="I28" s="2">
        <v>46101</v>
      </c>
      <c r="J28" s="1" t="s">
        <v>33</v>
      </c>
      <c r="K28" s="1" t="s">
        <v>33</v>
      </c>
      <c r="L28" s="1" t="s">
        <v>32</v>
      </c>
      <c r="M28" s="1" t="s">
        <v>33</v>
      </c>
      <c r="N28" s="1" t="s">
        <v>32</v>
      </c>
      <c r="O28" s="1" t="s">
        <v>32</v>
      </c>
      <c r="P28" s="57">
        <v>2.87E-2</v>
      </c>
      <c r="Q28" s="59">
        <f t="shared" si="0"/>
        <v>2.1700000000000001E-2</v>
      </c>
      <c r="S28" s="4">
        <v>46101</v>
      </c>
      <c r="T28" s="3" t="s">
        <v>33</v>
      </c>
      <c r="U28" s="3" t="s">
        <v>33</v>
      </c>
      <c r="V28" s="3" t="s">
        <v>33</v>
      </c>
      <c r="W28" s="3" t="s">
        <v>33</v>
      </c>
      <c r="X28" s="6">
        <v>3.5000000000000003E-2</v>
      </c>
      <c r="Y28" s="3" t="s">
        <v>33</v>
      </c>
      <c r="Z28" s="6">
        <v>1.12E-2</v>
      </c>
      <c r="AA28" s="2">
        <v>46101</v>
      </c>
      <c r="AB28" s="1" t="s">
        <v>33</v>
      </c>
      <c r="AC28" s="1" t="s">
        <v>33</v>
      </c>
      <c r="AD28" s="1" t="s">
        <v>33</v>
      </c>
      <c r="AE28" s="1" t="s">
        <v>33</v>
      </c>
      <c r="AF28" s="1" t="s">
        <v>33</v>
      </c>
      <c r="AG28" s="1" t="s">
        <v>33</v>
      </c>
      <c r="AH28" s="57">
        <v>2.5000000000000001E-2</v>
      </c>
      <c r="AI28" s="12">
        <f t="shared" si="1"/>
        <v>1.3800000000000002E-2</v>
      </c>
      <c r="AK28" s="4">
        <v>46101</v>
      </c>
      <c r="AL28" s="6">
        <v>0.02</v>
      </c>
      <c r="AM28" s="3"/>
      <c r="AN28" s="3"/>
      <c r="AO28" s="3"/>
      <c r="AP28" s="6">
        <v>2.5999999999999999E-2</v>
      </c>
      <c r="AQ28" s="6">
        <v>2.7E-2</v>
      </c>
      <c r="AR28" s="6">
        <v>6.0000000000000001E-3</v>
      </c>
      <c r="AS28" s="2">
        <v>46101</v>
      </c>
      <c r="AT28" s="13">
        <v>3.4200000000000001E-2</v>
      </c>
      <c r="AU28" s="13">
        <v>0.04</v>
      </c>
      <c r="AV28" s="13">
        <v>3.4000000000000002E-2</v>
      </c>
      <c r="AW28" s="13">
        <v>4.3999999999999997E-2</v>
      </c>
      <c r="AX28" s="13">
        <v>0.05</v>
      </c>
      <c r="AY28" s="13">
        <v>6.5799999999999997E-2</v>
      </c>
      <c r="AZ28" s="13">
        <v>3.4000000000000002E-2</v>
      </c>
      <c r="BA28" s="12">
        <f t="shared" si="2"/>
        <v>2.8000000000000004E-2</v>
      </c>
      <c r="BC28" s="4">
        <v>46101</v>
      </c>
      <c r="BD28" s="6">
        <v>7.1999999999999998E-3</v>
      </c>
      <c r="BE28" s="6">
        <v>7.3000000000000001E-3</v>
      </c>
      <c r="BF28" s="6">
        <v>7.4000000000000003E-3</v>
      </c>
      <c r="BG28" s="3"/>
      <c r="BH28" s="3"/>
      <c r="BI28" s="3"/>
      <c r="BJ28" s="6">
        <v>7.7999999999999996E-3</v>
      </c>
      <c r="BK28" s="2">
        <v>46101</v>
      </c>
      <c r="BL28" s="57">
        <v>3.78E-2</v>
      </c>
      <c r="BM28" s="1"/>
      <c r="BN28" s="57">
        <v>5.4800000000000001E-2</v>
      </c>
      <c r="BO28" s="1"/>
      <c r="BP28" s="1"/>
      <c r="BQ28" s="1"/>
      <c r="BR28" s="57">
        <v>3.1800000000000002E-2</v>
      </c>
      <c r="BS28" s="12">
        <f t="shared" si="3"/>
        <v>2.4E-2</v>
      </c>
    </row>
    <row r="29" spans="1:71" x14ac:dyDescent="0.35">
      <c r="A29" s="4">
        <v>46102</v>
      </c>
      <c r="B29" s="3" t="s">
        <v>33</v>
      </c>
      <c r="C29" s="3" t="s">
        <v>33</v>
      </c>
      <c r="D29" s="3" t="s">
        <v>32</v>
      </c>
      <c r="E29" s="3" t="s">
        <v>33</v>
      </c>
      <c r="F29" s="3" t="s">
        <v>32</v>
      </c>
      <c r="G29" s="3" t="s">
        <v>33</v>
      </c>
      <c r="H29" s="9">
        <v>7.4999999999999997E-3</v>
      </c>
      <c r="I29" s="2">
        <v>46102</v>
      </c>
      <c r="J29" s="1" t="s">
        <v>33</v>
      </c>
      <c r="K29" s="1" t="s">
        <v>33</v>
      </c>
      <c r="L29" s="1" t="s">
        <v>32</v>
      </c>
      <c r="M29" s="1" t="s">
        <v>33</v>
      </c>
      <c r="N29" s="1" t="s">
        <v>32</v>
      </c>
      <c r="O29" s="1" t="s">
        <v>32</v>
      </c>
      <c r="P29" s="57">
        <v>2.9000000000000001E-2</v>
      </c>
      <c r="Q29" s="59">
        <f t="shared" si="0"/>
        <v>2.1500000000000002E-2</v>
      </c>
      <c r="S29" s="4">
        <v>46102</v>
      </c>
      <c r="T29" s="3" t="s">
        <v>33</v>
      </c>
      <c r="U29" s="3" t="s">
        <v>33</v>
      </c>
      <c r="V29" s="3" t="s">
        <v>33</v>
      </c>
      <c r="W29" s="3" t="s">
        <v>33</v>
      </c>
      <c r="X29" s="6">
        <v>3.5000000000000003E-2</v>
      </c>
      <c r="Y29" s="3" t="s">
        <v>33</v>
      </c>
      <c r="Z29" s="6">
        <v>1.12E-2</v>
      </c>
      <c r="AA29" s="2">
        <v>46102</v>
      </c>
      <c r="AB29" s="1" t="s">
        <v>33</v>
      </c>
      <c r="AC29" s="1" t="s">
        <v>33</v>
      </c>
      <c r="AD29" s="1" t="s">
        <v>33</v>
      </c>
      <c r="AE29" s="1" t="s">
        <v>33</v>
      </c>
      <c r="AF29" s="1" t="s">
        <v>33</v>
      </c>
      <c r="AG29" s="1" t="s">
        <v>33</v>
      </c>
      <c r="AH29" s="57">
        <v>2.5000000000000001E-2</v>
      </c>
      <c r="AI29" s="12">
        <f t="shared" si="1"/>
        <v>1.3800000000000002E-2</v>
      </c>
      <c r="AK29" s="4">
        <v>46102</v>
      </c>
      <c r="AL29" s="6">
        <v>0.02</v>
      </c>
      <c r="AM29" s="3"/>
      <c r="AN29" s="3"/>
      <c r="AO29" s="3"/>
      <c r="AP29" s="6">
        <v>2.5999999999999999E-2</v>
      </c>
      <c r="AQ29" s="6">
        <v>2.7E-2</v>
      </c>
      <c r="AR29" s="6">
        <v>6.0000000000000001E-3</v>
      </c>
      <c r="AS29" s="2">
        <v>46102</v>
      </c>
      <c r="AT29" s="13">
        <v>3.4200000000000001E-2</v>
      </c>
      <c r="AU29" s="13">
        <v>3.4000000000000002E-2</v>
      </c>
      <c r="AV29" s="13">
        <v>3.49E-2</v>
      </c>
      <c r="AW29" s="13">
        <v>4.2999999999999997E-2</v>
      </c>
      <c r="AX29" s="13">
        <v>0.05</v>
      </c>
      <c r="AY29" s="13">
        <v>6.83E-2</v>
      </c>
      <c r="AZ29" s="13">
        <v>3.3300000000000003E-2</v>
      </c>
      <c r="BA29" s="12">
        <f t="shared" si="2"/>
        <v>2.7300000000000005E-2</v>
      </c>
      <c r="BC29" s="4">
        <v>46102</v>
      </c>
      <c r="BD29" s="6">
        <v>7.1999999999999998E-3</v>
      </c>
      <c r="BE29" s="6">
        <v>7.1999999999999998E-3</v>
      </c>
      <c r="BF29" s="6">
        <v>7.1999999999999998E-3</v>
      </c>
      <c r="BG29" s="3"/>
      <c r="BH29" s="3"/>
      <c r="BI29" s="3"/>
      <c r="BJ29" s="6">
        <v>7.0000000000000001E-3</v>
      </c>
      <c r="BK29" s="2">
        <v>46102</v>
      </c>
      <c r="BL29" s="57">
        <v>3.78E-2</v>
      </c>
      <c r="BM29" s="1"/>
      <c r="BN29" s="57">
        <v>5.4800000000000001E-2</v>
      </c>
      <c r="BO29" s="1"/>
      <c r="BP29" s="1"/>
      <c r="BQ29" s="1"/>
      <c r="BR29" s="57">
        <v>2.86E-2</v>
      </c>
      <c r="BS29" s="12">
        <f t="shared" si="3"/>
        <v>2.1600000000000001E-2</v>
      </c>
    </row>
    <row r="30" spans="1:71" x14ac:dyDescent="0.35">
      <c r="A30" s="4">
        <v>46103</v>
      </c>
      <c r="B30" s="3" t="s">
        <v>33</v>
      </c>
      <c r="C30" s="3" t="s">
        <v>33</v>
      </c>
      <c r="D30" s="3" t="s">
        <v>32</v>
      </c>
      <c r="E30" s="3" t="s">
        <v>33</v>
      </c>
      <c r="F30" s="3" t="s">
        <v>32</v>
      </c>
      <c r="G30" s="3" t="s">
        <v>33</v>
      </c>
      <c r="H30" s="9">
        <v>7.1000000000000004E-3</v>
      </c>
      <c r="I30" s="2">
        <v>46103</v>
      </c>
      <c r="J30" s="1" t="s">
        <v>33</v>
      </c>
      <c r="K30" s="1" t="s">
        <v>33</v>
      </c>
      <c r="L30" s="1" t="s">
        <v>32</v>
      </c>
      <c r="M30" s="1" t="s">
        <v>33</v>
      </c>
      <c r="N30" s="1" t="s">
        <v>32</v>
      </c>
      <c r="O30" s="1" t="s">
        <v>32</v>
      </c>
      <c r="P30" s="57">
        <v>2.8299999999999999E-2</v>
      </c>
      <c r="Q30" s="59">
        <f t="shared" si="0"/>
        <v>2.1199999999999997E-2</v>
      </c>
      <c r="S30" s="4">
        <v>46103</v>
      </c>
      <c r="T30" s="3" t="s">
        <v>33</v>
      </c>
      <c r="U30" s="3" t="s">
        <v>33</v>
      </c>
      <c r="V30" s="3" t="s">
        <v>33</v>
      </c>
      <c r="W30" s="3" t="s">
        <v>33</v>
      </c>
      <c r="X30" s="6">
        <v>3.5000000000000003E-2</v>
      </c>
      <c r="Y30" s="3" t="s">
        <v>33</v>
      </c>
      <c r="Z30" s="6">
        <v>1.09E-2</v>
      </c>
      <c r="AA30" s="2">
        <v>46103</v>
      </c>
      <c r="AB30" s="1" t="s">
        <v>33</v>
      </c>
      <c r="AC30" s="1" t="s">
        <v>33</v>
      </c>
      <c r="AD30" s="1" t="s">
        <v>33</v>
      </c>
      <c r="AE30" s="1" t="s">
        <v>33</v>
      </c>
      <c r="AF30" s="1" t="s">
        <v>33</v>
      </c>
      <c r="AG30" s="1" t="s">
        <v>33</v>
      </c>
      <c r="AH30" s="57">
        <v>2.5000000000000001E-2</v>
      </c>
      <c r="AI30" s="12">
        <f t="shared" si="1"/>
        <v>1.4100000000000001E-2</v>
      </c>
      <c r="AK30" s="4">
        <v>46103</v>
      </c>
      <c r="AL30" s="6">
        <v>0.02</v>
      </c>
      <c r="AM30" s="3"/>
      <c r="AN30" s="3"/>
      <c r="AO30" s="3"/>
      <c r="AP30" s="6">
        <v>2.5999999999999999E-2</v>
      </c>
      <c r="AQ30" s="6">
        <v>2.7E-2</v>
      </c>
      <c r="AR30" s="6">
        <v>6.0000000000000001E-3</v>
      </c>
      <c r="AS30" s="2">
        <v>46103</v>
      </c>
      <c r="AT30" s="13">
        <v>3.1E-2</v>
      </c>
      <c r="AU30" s="13">
        <v>3.9399999999999998E-2</v>
      </c>
      <c r="AV30" s="13">
        <v>3.49E-2</v>
      </c>
      <c r="AW30" s="13">
        <v>4.3999999999999997E-2</v>
      </c>
      <c r="AX30" s="13">
        <v>0.05</v>
      </c>
      <c r="AY30" s="13">
        <v>6.8099999999999994E-2</v>
      </c>
      <c r="AZ30" s="13">
        <v>3.3300000000000003E-2</v>
      </c>
      <c r="BA30" s="12">
        <f t="shared" si="2"/>
        <v>2.7300000000000005E-2</v>
      </c>
      <c r="BC30" s="4">
        <v>46103</v>
      </c>
      <c r="BD30" s="6">
        <v>7.1999999999999998E-3</v>
      </c>
      <c r="BE30" s="6">
        <v>7.1999999999999998E-3</v>
      </c>
      <c r="BF30" s="6">
        <v>7.1999999999999998E-3</v>
      </c>
      <c r="BG30" s="3"/>
      <c r="BH30" s="3"/>
      <c r="BI30" s="3"/>
      <c r="BJ30" s="6">
        <v>7.0000000000000001E-3</v>
      </c>
      <c r="BK30" s="2">
        <v>46103</v>
      </c>
      <c r="BL30" s="57">
        <v>3.7600000000000001E-2</v>
      </c>
      <c r="BM30" s="1"/>
      <c r="BN30" s="57">
        <v>5.4800000000000001E-2</v>
      </c>
      <c r="BO30" s="1"/>
      <c r="BP30" s="1"/>
      <c r="BQ30" s="1"/>
      <c r="BR30" s="57">
        <v>2.86E-2</v>
      </c>
      <c r="BS30" s="12">
        <f t="shared" si="3"/>
        <v>2.1600000000000001E-2</v>
      </c>
    </row>
    <row r="31" spans="1:71" x14ac:dyDescent="0.35">
      <c r="A31" s="4">
        <v>46104</v>
      </c>
      <c r="B31" s="3" t="s">
        <v>33</v>
      </c>
      <c r="C31" s="3" t="s">
        <v>33</v>
      </c>
      <c r="D31" s="3" t="s">
        <v>32</v>
      </c>
      <c r="E31" s="3" t="s">
        <v>33</v>
      </c>
      <c r="F31" s="3" t="s">
        <v>32</v>
      </c>
      <c r="G31" s="3" t="s">
        <v>33</v>
      </c>
      <c r="H31" s="9">
        <v>7.4000000000000003E-3</v>
      </c>
      <c r="I31" s="2">
        <v>46104</v>
      </c>
      <c r="J31" s="1" t="s">
        <v>33</v>
      </c>
      <c r="K31" s="1" t="s">
        <v>33</v>
      </c>
      <c r="L31" s="1" t="s">
        <v>32</v>
      </c>
      <c r="M31" s="1" t="s">
        <v>33</v>
      </c>
      <c r="N31" s="1" t="s">
        <v>32</v>
      </c>
      <c r="O31" s="1" t="s">
        <v>32</v>
      </c>
      <c r="P31" s="57">
        <v>2.8799999999999999E-2</v>
      </c>
      <c r="Q31" s="59">
        <f t="shared" si="0"/>
        <v>2.1399999999999999E-2</v>
      </c>
      <c r="S31" s="4">
        <v>46104</v>
      </c>
      <c r="T31" s="3" t="s">
        <v>33</v>
      </c>
      <c r="U31" s="3" t="s">
        <v>33</v>
      </c>
      <c r="V31" s="3" t="s">
        <v>33</v>
      </c>
      <c r="W31" s="3" t="s">
        <v>33</v>
      </c>
      <c r="X31" s="6">
        <v>3.5000000000000003E-2</v>
      </c>
      <c r="Y31" s="3" t="s">
        <v>33</v>
      </c>
      <c r="Z31" s="6">
        <v>1.11E-2</v>
      </c>
      <c r="AA31" s="2">
        <v>46104</v>
      </c>
      <c r="AB31" s="1" t="s">
        <v>33</v>
      </c>
      <c r="AC31" s="1" t="s">
        <v>33</v>
      </c>
      <c r="AD31" s="1" t="s">
        <v>33</v>
      </c>
      <c r="AE31" s="1" t="s">
        <v>33</v>
      </c>
      <c r="AF31" s="1" t="s">
        <v>33</v>
      </c>
      <c r="AG31" s="1" t="s">
        <v>33</v>
      </c>
      <c r="AH31" s="57">
        <v>2.5000000000000001E-2</v>
      </c>
      <c r="AI31" s="12">
        <f t="shared" si="1"/>
        <v>1.3900000000000001E-2</v>
      </c>
      <c r="AK31" s="4">
        <v>46104</v>
      </c>
      <c r="AL31" s="6">
        <v>2.5000000000000001E-2</v>
      </c>
      <c r="AM31" s="3"/>
      <c r="AN31" s="3"/>
      <c r="AO31" s="3"/>
      <c r="AP31" s="6">
        <v>2.5999999999999999E-2</v>
      </c>
      <c r="AQ31" s="6">
        <v>2.7E-2</v>
      </c>
      <c r="AR31" s="6">
        <v>6.0000000000000001E-3</v>
      </c>
      <c r="AS31" s="2">
        <v>46104</v>
      </c>
      <c r="AT31" s="13">
        <v>0.03</v>
      </c>
      <c r="AU31" s="13">
        <v>3.5000000000000003E-2</v>
      </c>
      <c r="AV31" s="13">
        <v>3.5000000000000003E-2</v>
      </c>
      <c r="AW31" s="13">
        <v>4.3999999999999997E-2</v>
      </c>
      <c r="AX31" s="13">
        <v>5.7500000000000002E-2</v>
      </c>
      <c r="AY31" s="13">
        <v>6.8400000000000002E-2</v>
      </c>
      <c r="AZ31" s="13">
        <v>3.3300000000000003E-2</v>
      </c>
      <c r="BA31" s="12">
        <f t="shared" si="2"/>
        <v>2.7300000000000005E-2</v>
      </c>
      <c r="BC31" s="4">
        <v>46104</v>
      </c>
      <c r="BD31" s="6">
        <v>7.1000000000000004E-3</v>
      </c>
      <c r="BE31" s="6">
        <v>7.1999999999999998E-3</v>
      </c>
      <c r="BF31" s="6">
        <v>7.6E-3</v>
      </c>
      <c r="BG31" s="3"/>
      <c r="BH31" s="3"/>
      <c r="BI31" s="3"/>
      <c r="BJ31" s="6">
        <v>7.4000000000000003E-3</v>
      </c>
      <c r="BK31" s="2">
        <v>46104</v>
      </c>
      <c r="BL31" s="57">
        <v>3.7600000000000001E-2</v>
      </c>
      <c r="BM31" s="1"/>
      <c r="BN31" s="57">
        <v>5.4800000000000001E-2</v>
      </c>
      <c r="BO31" s="1"/>
      <c r="BP31" s="1"/>
      <c r="BQ31" s="1"/>
      <c r="BR31" s="57">
        <v>3.0099999999999998E-2</v>
      </c>
      <c r="BS31" s="12">
        <f t="shared" si="3"/>
        <v>2.2699999999999998E-2</v>
      </c>
    </row>
    <row r="32" spans="1:71" x14ac:dyDescent="0.35">
      <c r="A32" s="4">
        <v>46105</v>
      </c>
      <c r="B32" s="3" t="s">
        <v>33</v>
      </c>
      <c r="C32" s="3" t="s">
        <v>33</v>
      </c>
      <c r="D32" s="3" t="s">
        <v>32</v>
      </c>
      <c r="E32" s="3" t="s">
        <v>33</v>
      </c>
      <c r="F32" s="3" t="s">
        <v>32</v>
      </c>
      <c r="G32" s="3" t="s">
        <v>33</v>
      </c>
      <c r="H32" s="9">
        <v>7.6E-3</v>
      </c>
      <c r="I32" s="2">
        <v>46105</v>
      </c>
      <c r="J32" s="1" t="s">
        <v>33</v>
      </c>
      <c r="K32" s="1" t="s">
        <v>33</v>
      </c>
      <c r="L32" s="1" t="s">
        <v>32</v>
      </c>
      <c r="M32" s="1" t="s">
        <v>33</v>
      </c>
      <c r="N32" s="1" t="s">
        <v>32</v>
      </c>
      <c r="O32" s="1" t="s">
        <v>32</v>
      </c>
      <c r="P32" s="57">
        <v>2.92E-2</v>
      </c>
      <c r="Q32" s="59">
        <f t="shared" si="0"/>
        <v>2.1600000000000001E-2</v>
      </c>
      <c r="S32" s="4">
        <v>46105</v>
      </c>
      <c r="T32" s="3" t="s">
        <v>33</v>
      </c>
      <c r="U32" s="3" t="s">
        <v>33</v>
      </c>
      <c r="V32" s="3" t="s">
        <v>33</v>
      </c>
      <c r="W32" s="3" t="s">
        <v>33</v>
      </c>
      <c r="X32" s="6">
        <v>3.5000000000000003E-2</v>
      </c>
      <c r="Y32" s="3" t="s">
        <v>33</v>
      </c>
      <c r="Z32" s="6">
        <v>1.0999999999999999E-2</v>
      </c>
      <c r="AA32" s="2">
        <v>46105</v>
      </c>
      <c r="AB32" s="1" t="s">
        <v>33</v>
      </c>
      <c r="AC32" s="1" t="s">
        <v>33</v>
      </c>
      <c r="AD32" s="1" t="s">
        <v>33</v>
      </c>
      <c r="AE32" s="1" t="s">
        <v>33</v>
      </c>
      <c r="AF32" s="1" t="s">
        <v>33</v>
      </c>
      <c r="AG32" s="1" t="s">
        <v>33</v>
      </c>
      <c r="AH32" s="57">
        <v>2.5000000000000001E-2</v>
      </c>
      <c r="AI32" s="12">
        <f t="shared" si="1"/>
        <v>1.4000000000000002E-2</v>
      </c>
      <c r="AK32" s="4">
        <v>46105</v>
      </c>
      <c r="AL32" s="6">
        <v>0.02</v>
      </c>
      <c r="AM32" s="3"/>
      <c r="AN32" s="3"/>
      <c r="AO32" s="3"/>
      <c r="AP32" s="6">
        <v>2.5999999999999999E-2</v>
      </c>
      <c r="AQ32" s="6">
        <v>2.7E-2</v>
      </c>
      <c r="AR32" s="6">
        <v>6.0000000000000001E-3</v>
      </c>
      <c r="AS32" s="2">
        <v>46105</v>
      </c>
      <c r="AT32" s="13">
        <v>0.03</v>
      </c>
      <c r="AU32" s="13">
        <v>3.5000000000000003E-2</v>
      </c>
      <c r="AV32" s="13">
        <v>3.49E-2</v>
      </c>
      <c r="AW32" s="13">
        <v>4.2900000000000001E-2</v>
      </c>
      <c r="AX32" s="13">
        <v>0.06</v>
      </c>
      <c r="AY32" s="13">
        <v>6.8699999999999997E-2</v>
      </c>
      <c r="AZ32" s="13">
        <v>3.3300000000000003E-2</v>
      </c>
      <c r="BA32" s="12">
        <f t="shared" si="2"/>
        <v>2.7300000000000005E-2</v>
      </c>
      <c r="BC32" s="4">
        <v>46105</v>
      </c>
      <c r="BD32" s="6">
        <v>7.1000000000000004E-3</v>
      </c>
      <c r="BE32" s="6">
        <v>7.1999999999999998E-3</v>
      </c>
      <c r="BF32" s="6">
        <v>7.4000000000000003E-3</v>
      </c>
      <c r="BG32" s="3"/>
      <c r="BH32" s="3"/>
      <c r="BI32" s="3"/>
      <c r="BJ32" s="6">
        <v>7.1999999999999998E-3</v>
      </c>
      <c r="BK32" s="2">
        <v>46105</v>
      </c>
      <c r="BL32" s="57">
        <v>3.7600000000000001E-2</v>
      </c>
      <c r="BM32" s="1"/>
      <c r="BN32" s="57">
        <v>5.4800000000000001E-2</v>
      </c>
      <c r="BO32" s="1"/>
      <c r="BP32" s="1"/>
      <c r="BQ32" s="1"/>
      <c r="BR32" s="57">
        <v>2.9700000000000001E-2</v>
      </c>
      <c r="BS32" s="12">
        <f t="shared" si="3"/>
        <v>2.2499999999999999E-2</v>
      </c>
    </row>
    <row r="33" spans="1:71" x14ac:dyDescent="0.35">
      <c r="A33" s="4">
        <v>46106</v>
      </c>
      <c r="B33" s="3" t="s">
        <v>33</v>
      </c>
      <c r="C33" s="3" t="s">
        <v>33</v>
      </c>
      <c r="D33" s="3" t="s">
        <v>32</v>
      </c>
      <c r="E33" s="3" t="s">
        <v>33</v>
      </c>
      <c r="F33" s="3" t="s">
        <v>32</v>
      </c>
      <c r="G33" s="3" t="s">
        <v>33</v>
      </c>
      <c r="H33" s="9">
        <v>7.4000000000000003E-3</v>
      </c>
      <c r="I33" s="2">
        <v>46106</v>
      </c>
      <c r="J33" s="1" t="s">
        <v>33</v>
      </c>
      <c r="K33" s="1" t="s">
        <v>33</v>
      </c>
      <c r="L33" s="1" t="s">
        <v>32</v>
      </c>
      <c r="M33" s="1" t="s">
        <v>33</v>
      </c>
      <c r="N33" s="1" t="s">
        <v>32</v>
      </c>
      <c r="O33" s="1" t="s">
        <v>32</v>
      </c>
      <c r="P33" s="57">
        <v>2.8799999999999999E-2</v>
      </c>
      <c r="Q33" s="59">
        <f t="shared" si="0"/>
        <v>2.1399999999999999E-2</v>
      </c>
      <c r="S33" s="4">
        <v>46106</v>
      </c>
      <c r="T33" s="3" t="s">
        <v>33</v>
      </c>
      <c r="U33" s="3" t="s">
        <v>33</v>
      </c>
      <c r="V33" s="3" t="s">
        <v>33</v>
      </c>
      <c r="W33" s="3" t="s">
        <v>33</v>
      </c>
      <c r="X33" s="6">
        <v>3.5000000000000003E-2</v>
      </c>
      <c r="Y33" s="3" t="s">
        <v>33</v>
      </c>
      <c r="Z33" s="6">
        <v>1.11E-2</v>
      </c>
      <c r="AA33" s="2">
        <v>46106</v>
      </c>
      <c r="AB33" s="1" t="s">
        <v>33</v>
      </c>
      <c r="AC33" s="1" t="s">
        <v>33</v>
      </c>
      <c r="AD33" s="1" t="s">
        <v>33</v>
      </c>
      <c r="AE33" s="1" t="s">
        <v>33</v>
      </c>
      <c r="AF33" s="1" t="s">
        <v>33</v>
      </c>
      <c r="AG33" s="1" t="s">
        <v>33</v>
      </c>
      <c r="AH33" s="57">
        <v>2.5000000000000001E-2</v>
      </c>
      <c r="AI33" s="12">
        <f t="shared" si="1"/>
        <v>1.3900000000000001E-2</v>
      </c>
      <c r="AK33" s="4">
        <v>46106</v>
      </c>
      <c r="AL33" s="6">
        <v>0.02</v>
      </c>
      <c r="AM33" s="3"/>
      <c r="AN33" s="3"/>
      <c r="AO33" s="3"/>
      <c r="AP33" s="6">
        <v>2.5999999999999999E-2</v>
      </c>
      <c r="AQ33" s="6">
        <v>2.7E-2</v>
      </c>
      <c r="AR33" s="6">
        <v>6.0000000000000001E-3</v>
      </c>
      <c r="AS33" s="2">
        <v>46106</v>
      </c>
      <c r="AT33" s="13">
        <v>0.03</v>
      </c>
      <c r="AU33" s="13">
        <v>3.3000000000000002E-2</v>
      </c>
      <c r="AV33" s="13">
        <v>2.8000000000000001E-2</v>
      </c>
      <c r="AW33" s="13">
        <v>4.2900000000000001E-2</v>
      </c>
      <c r="AX33" s="13">
        <v>6.5600000000000006E-2</v>
      </c>
      <c r="AY33" s="13">
        <v>4.2999999999999997E-2</v>
      </c>
      <c r="AZ33" s="13">
        <v>3.3300000000000003E-2</v>
      </c>
      <c r="BA33" s="12">
        <f t="shared" si="2"/>
        <v>2.7300000000000005E-2</v>
      </c>
      <c r="BC33" s="4">
        <v>46106</v>
      </c>
      <c r="BD33" s="6">
        <v>7.1000000000000004E-3</v>
      </c>
      <c r="BE33" s="6">
        <v>7.1999999999999998E-3</v>
      </c>
      <c r="BF33" s="6">
        <v>7.4999999999999997E-3</v>
      </c>
      <c r="BG33" s="3"/>
      <c r="BH33" s="3"/>
      <c r="BI33" s="3"/>
      <c r="BJ33" s="6">
        <v>7.3000000000000001E-3</v>
      </c>
      <c r="BK33" s="2">
        <v>46106</v>
      </c>
      <c r="BL33" s="57">
        <v>3.7600000000000001E-2</v>
      </c>
      <c r="BM33" s="1"/>
      <c r="BN33" s="57">
        <v>5.4800000000000001E-2</v>
      </c>
      <c r="BO33" s="1"/>
      <c r="BP33" s="1"/>
      <c r="BQ33" s="1"/>
      <c r="BR33" s="57">
        <v>2.9899999999999999E-2</v>
      </c>
      <c r="BS33" s="12">
        <f t="shared" si="3"/>
        <v>2.2599999999999999E-2</v>
      </c>
    </row>
    <row r="34" spans="1:71" x14ac:dyDescent="0.35">
      <c r="A34" s="4">
        <v>46107</v>
      </c>
      <c r="B34" s="3" t="s">
        <v>33</v>
      </c>
      <c r="C34" s="3" t="s">
        <v>33</v>
      </c>
      <c r="D34" s="3" t="s">
        <v>32</v>
      </c>
      <c r="E34" s="3" t="s">
        <v>33</v>
      </c>
      <c r="F34" s="3" t="s">
        <v>32</v>
      </c>
      <c r="G34" s="3" t="s">
        <v>33</v>
      </c>
      <c r="H34" s="9">
        <v>7.7999999999999996E-3</v>
      </c>
      <c r="I34" s="2">
        <v>46107</v>
      </c>
      <c r="J34" s="1" t="s">
        <v>33</v>
      </c>
      <c r="K34" s="1" t="s">
        <v>33</v>
      </c>
      <c r="L34" s="1" t="s">
        <v>32</v>
      </c>
      <c r="M34" s="1" t="s">
        <v>33</v>
      </c>
      <c r="N34" s="1" t="s">
        <v>32</v>
      </c>
      <c r="O34" s="1" t="s">
        <v>32</v>
      </c>
      <c r="P34" s="57">
        <v>2.98E-2</v>
      </c>
      <c r="Q34" s="59">
        <f t="shared" si="0"/>
        <v>2.1999999999999999E-2</v>
      </c>
      <c r="S34" s="4">
        <v>46107</v>
      </c>
      <c r="T34" s="3" t="s">
        <v>33</v>
      </c>
      <c r="U34" s="3" t="s">
        <v>33</v>
      </c>
      <c r="V34" s="3" t="s">
        <v>33</v>
      </c>
      <c r="W34" s="3" t="s">
        <v>33</v>
      </c>
      <c r="X34" s="6">
        <v>0.03</v>
      </c>
      <c r="Y34" s="3" t="s">
        <v>33</v>
      </c>
      <c r="Z34" s="6">
        <v>1.11E-2</v>
      </c>
      <c r="AA34" s="2">
        <v>46107</v>
      </c>
      <c r="AB34" s="1" t="s">
        <v>33</v>
      </c>
      <c r="AC34" s="1" t="s">
        <v>33</v>
      </c>
      <c r="AD34" s="1" t="s">
        <v>33</v>
      </c>
      <c r="AE34" s="1" t="s">
        <v>33</v>
      </c>
      <c r="AF34" s="1" t="s">
        <v>33</v>
      </c>
      <c r="AG34" s="1" t="s">
        <v>33</v>
      </c>
      <c r="AH34" s="57">
        <v>2.5000000000000001E-2</v>
      </c>
      <c r="AI34" s="12">
        <f t="shared" si="1"/>
        <v>1.3900000000000001E-2</v>
      </c>
      <c r="AK34" s="4">
        <v>46107</v>
      </c>
      <c r="AL34" s="6">
        <v>0.02</v>
      </c>
      <c r="AM34" s="3"/>
      <c r="AN34" s="3"/>
      <c r="AO34" s="3"/>
      <c r="AP34" s="6">
        <v>2.5999999999999999E-2</v>
      </c>
      <c r="AQ34" s="6">
        <v>2.7E-2</v>
      </c>
      <c r="AR34" s="6">
        <v>6.0000000000000001E-3</v>
      </c>
      <c r="AS34" s="2">
        <v>46107</v>
      </c>
      <c r="AT34" s="13">
        <v>0.03</v>
      </c>
      <c r="AU34" s="13">
        <v>3.2000000000000001E-2</v>
      </c>
      <c r="AV34" s="13">
        <v>4.2000000000000003E-2</v>
      </c>
      <c r="AW34" s="13">
        <v>4.3799999999999999E-2</v>
      </c>
      <c r="AX34" s="13">
        <v>6.4899999999999999E-2</v>
      </c>
      <c r="AY34" s="13">
        <v>4.8000000000000001E-2</v>
      </c>
      <c r="AZ34" s="13">
        <v>3.32E-2</v>
      </c>
      <c r="BA34" s="12">
        <f t="shared" si="2"/>
        <v>2.7200000000000002E-2</v>
      </c>
      <c r="BC34" s="4">
        <v>46107</v>
      </c>
      <c r="BD34" s="6">
        <v>7.1000000000000004E-3</v>
      </c>
      <c r="BE34" s="6">
        <v>7.1999999999999998E-3</v>
      </c>
      <c r="BF34" s="6">
        <v>7.4999999999999997E-3</v>
      </c>
      <c r="BG34" s="3"/>
      <c r="BH34" s="3"/>
      <c r="BI34" s="3"/>
      <c r="BJ34" s="6">
        <v>7.4000000000000003E-3</v>
      </c>
      <c r="BK34" s="2">
        <v>46107</v>
      </c>
      <c r="BL34" s="57">
        <v>3.7600000000000001E-2</v>
      </c>
      <c r="BM34" s="1"/>
      <c r="BN34" s="57">
        <v>5.4800000000000001E-2</v>
      </c>
      <c r="BO34" s="1"/>
      <c r="BP34" s="1"/>
      <c r="BQ34" s="1"/>
      <c r="BR34" s="57">
        <v>3.0200000000000001E-2</v>
      </c>
      <c r="BS34" s="12">
        <f t="shared" si="3"/>
        <v>2.2800000000000001E-2</v>
      </c>
    </row>
    <row r="35" spans="1:71" x14ac:dyDescent="0.35">
      <c r="A35" s="4">
        <v>46108</v>
      </c>
      <c r="B35" s="3" t="s">
        <v>33</v>
      </c>
      <c r="C35" s="3" t="s">
        <v>33</v>
      </c>
      <c r="D35" s="3" t="s">
        <v>32</v>
      </c>
      <c r="E35" s="3" t="s">
        <v>33</v>
      </c>
      <c r="F35" s="3" t="s">
        <v>32</v>
      </c>
      <c r="G35" s="3" t="s">
        <v>33</v>
      </c>
      <c r="H35" s="9">
        <v>7.9000000000000008E-3</v>
      </c>
      <c r="I35" s="2">
        <v>46108</v>
      </c>
      <c r="J35" s="1" t="s">
        <v>33</v>
      </c>
      <c r="K35" s="1" t="s">
        <v>33</v>
      </c>
      <c r="L35" s="1" t="s">
        <v>32</v>
      </c>
      <c r="M35" s="1" t="s">
        <v>33</v>
      </c>
      <c r="N35" s="1" t="s">
        <v>32</v>
      </c>
      <c r="O35" s="1" t="s">
        <v>32</v>
      </c>
      <c r="P35" s="57">
        <v>2.9899999999999999E-2</v>
      </c>
      <c r="Q35" s="59">
        <f t="shared" si="0"/>
        <v>2.1999999999999999E-2</v>
      </c>
      <c r="S35" s="4">
        <v>46108</v>
      </c>
      <c r="T35" s="3" t="s">
        <v>33</v>
      </c>
      <c r="U35" s="3" t="s">
        <v>33</v>
      </c>
      <c r="V35" s="3" t="s">
        <v>33</v>
      </c>
      <c r="W35" s="3" t="s">
        <v>33</v>
      </c>
      <c r="X35" s="6">
        <v>0.03</v>
      </c>
      <c r="Y35" s="3" t="s">
        <v>33</v>
      </c>
      <c r="Z35" s="6">
        <v>1.17E-2</v>
      </c>
      <c r="AA35" s="2">
        <v>46108</v>
      </c>
      <c r="AB35" s="1" t="s">
        <v>33</v>
      </c>
      <c r="AC35" s="1" t="s">
        <v>33</v>
      </c>
      <c r="AD35" s="1" t="s">
        <v>33</v>
      </c>
      <c r="AE35" s="1" t="s">
        <v>33</v>
      </c>
      <c r="AF35" s="1" t="s">
        <v>33</v>
      </c>
      <c r="AG35" s="1" t="s">
        <v>33</v>
      </c>
      <c r="AH35" s="57">
        <v>2.5000000000000001E-2</v>
      </c>
      <c r="AI35" s="12">
        <f t="shared" si="1"/>
        <v>1.3300000000000001E-2</v>
      </c>
      <c r="AK35" s="4">
        <v>46108</v>
      </c>
      <c r="AL35" s="6">
        <v>0.02</v>
      </c>
      <c r="AM35" s="3"/>
      <c r="AN35" s="3"/>
      <c r="AO35" s="3"/>
      <c r="AP35" s="6">
        <v>2.5999999999999999E-2</v>
      </c>
      <c r="AQ35" s="6">
        <v>2.7E-2</v>
      </c>
      <c r="AR35" s="6">
        <v>6.0000000000000001E-3</v>
      </c>
      <c r="AS35" s="2">
        <v>46108</v>
      </c>
      <c r="AT35" s="13">
        <v>0.03</v>
      </c>
      <c r="AU35" s="13">
        <v>3.3000000000000002E-2</v>
      </c>
      <c r="AV35" s="13">
        <v>3.49E-2</v>
      </c>
      <c r="AW35" s="13">
        <v>4.3999999999999997E-2</v>
      </c>
      <c r="AX35" s="13">
        <v>5.6500000000000002E-2</v>
      </c>
      <c r="AY35" s="13">
        <v>6.88E-2</v>
      </c>
      <c r="AZ35" s="13">
        <v>3.3799999999999997E-2</v>
      </c>
      <c r="BA35" s="12">
        <f t="shared" si="2"/>
        <v>2.7799999999999998E-2</v>
      </c>
      <c r="BC35" s="4">
        <v>46108</v>
      </c>
      <c r="BD35" s="6">
        <v>7.1000000000000004E-3</v>
      </c>
      <c r="BE35" s="6">
        <v>7.1999999999999998E-3</v>
      </c>
      <c r="BF35" s="6">
        <v>7.4999999999999997E-3</v>
      </c>
      <c r="BG35" s="3"/>
      <c r="BH35" s="3"/>
      <c r="BI35" s="3"/>
      <c r="BJ35" s="6">
        <v>7.4999999999999997E-3</v>
      </c>
      <c r="BK35" s="2">
        <v>46108</v>
      </c>
      <c r="BL35" s="57">
        <v>3.7600000000000001E-2</v>
      </c>
      <c r="BM35" s="1"/>
      <c r="BN35" s="57">
        <v>5.4800000000000001E-2</v>
      </c>
      <c r="BO35" s="1"/>
      <c r="BP35" s="1"/>
      <c r="BQ35" s="1"/>
      <c r="BR35" s="57">
        <v>3.0200000000000001E-2</v>
      </c>
      <c r="BS35" s="12">
        <f t="shared" si="3"/>
        <v>2.2700000000000001E-2</v>
      </c>
    </row>
    <row r="36" spans="1:71" x14ac:dyDescent="0.35">
      <c r="A36" s="4">
        <v>46109</v>
      </c>
      <c r="B36" s="3" t="s">
        <v>33</v>
      </c>
      <c r="C36" s="3" t="s">
        <v>33</v>
      </c>
      <c r="D36" s="3" t="s">
        <v>32</v>
      </c>
      <c r="E36" s="3" t="s">
        <v>33</v>
      </c>
      <c r="F36" s="3" t="s">
        <v>32</v>
      </c>
      <c r="G36" s="3" t="s">
        <v>33</v>
      </c>
      <c r="H36" s="9">
        <v>7.9000000000000008E-3</v>
      </c>
      <c r="I36" s="2">
        <v>46109</v>
      </c>
      <c r="J36" s="1" t="s">
        <v>33</v>
      </c>
      <c r="K36" s="1" t="s">
        <v>33</v>
      </c>
      <c r="L36" s="1" t="s">
        <v>32</v>
      </c>
      <c r="M36" s="1" t="s">
        <v>33</v>
      </c>
      <c r="N36" s="1" t="s">
        <v>32</v>
      </c>
      <c r="O36" s="1" t="s">
        <v>32</v>
      </c>
      <c r="P36" s="57">
        <v>2.98E-2</v>
      </c>
      <c r="Q36" s="59">
        <f t="shared" si="0"/>
        <v>2.1899999999999999E-2</v>
      </c>
      <c r="S36" s="4">
        <v>46109</v>
      </c>
      <c r="T36" s="3" t="s">
        <v>33</v>
      </c>
      <c r="U36" s="3" t="s">
        <v>33</v>
      </c>
      <c r="V36" s="3" t="s">
        <v>33</v>
      </c>
      <c r="W36" s="3" t="s">
        <v>33</v>
      </c>
      <c r="X36" s="6">
        <v>0.03</v>
      </c>
      <c r="Y36" s="3" t="s">
        <v>33</v>
      </c>
      <c r="Z36" s="6">
        <v>1.0800000000000001E-2</v>
      </c>
      <c r="AA36" s="2">
        <v>46109</v>
      </c>
      <c r="AB36" s="1" t="s">
        <v>33</v>
      </c>
      <c r="AC36" s="1" t="s">
        <v>33</v>
      </c>
      <c r="AD36" s="1" t="s">
        <v>33</v>
      </c>
      <c r="AE36" s="1" t="s">
        <v>33</v>
      </c>
      <c r="AF36" s="1" t="s">
        <v>33</v>
      </c>
      <c r="AG36" s="1" t="s">
        <v>33</v>
      </c>
      <c r="AH36" s="57">
        <v>2.5000000000000001E-2</v>
      </c>
      <c r="AI36" s="12">
        <f t="shared" si="1"/>
        <v>1.4200000000000001E-2</v>
      </c>
      <c r="AK36" s="4">
        <v>46109</v>
      </c>
      <c r="AL36" s="6">
        <v>0.02</v>
      </c>
      <c r="AM36" s="3"/>
      <c r="AN36" s="3"/>
      <c r="AO36" s="3"/>
      <c r="AP36" s="3" t="s">
        <v>33</v>
      </c>
      <c r="AQ36" s="6">
        <v>2.7E-2</v>
      </c>
      <c r="AR36" s="6">
        <v>6.0000000000000001E-3</v>
      </c>
      <c r="AS36" s="2">
        <v>46109</v>
      </c>
      <c r="AT36" s="13">
        <v>0.03</v>
      </c>
      <c r="AU36" s="13">
        <v>3.3000000000000002E-2</v>
      </c>
      <c r="AV36" s="13">
        <v>2.5999999999999999E-2</v>
      </c>
      <c r="AW36" s="13">
        <v>4.3999999999999997E-2</v>
      </c>
      <c r="AX36" s="13">
        <v>2.6100000000000002E-2</v>
      </c>
      <c r="AY36" s="13">
        <v>2.5100000000000001E-2</v>
      </c>
      <c r="AZ36" s="13">
        <v>3.39E-2</v>
      </c>
      <c r="BA36" s="12">
        <f t="shared" si="2"/>
        <v>2.7900000000000001E-2</v>
      </c>
      <c r="BC36" s="4">
        <v>46109</v>
      </c>
      <c r="BD36" s="6">
        <v>7.1000000000000004E-3</v>
      </c>
      <c r="BE36" s="6">
        <v>7.1999999999999998E-3</v>
      </c>
      <c r="BF36" s="6">
        <v>7.4999999999999997E-3</v>
      </c>
      <c r="BG36" s="3"/>
      <c r="BH36" s="3"/>
      <c r="BI36" s="3"/>
      <c r="BJ36" s="6">
        <v>7.3000000000000001E-3</v>
      </c>
      <c r="BK36" s="2">
        <v>46109</v>
      </c>
      <c r="BL36" s="57">
        <v>3.7600000000000001E-2</v>
      </c>
      <c r="BM36" s="1"/>
      <c r="BN36" s="57">
        <v>5.4800000000000001E-2</v>
      </c>
      <c r="BO36" s="1"/>
      <c r="BP36" s="1"/>
      <c r="BQ36" s="1"/>
      <c r="BR36" s="57">
        <v>2.98E-2</v>
      </c>
      <c r="BS36" s="12">
        <f t="shared" si="3"/>
        <v>2.2499999999999999E-2</v>
      </c>
    </row>
    <row r="37" spans="1:71" x14ac:dyDescent="0.35">
      <c r="A37" s="4">
        <v>46110</v>
      </c>
      <c r="B37" s="3" t="s">
        <v>33</v>
      </c>
      <c r="C37" s="3" t="s">
        <v>33</v>
      </c>
      <c r="D37" s="3" t="s">
        <v>32</v>
      </c>
      <c r="E37" s="3" t="s">
        <v>33</v>
      </c>
      <c r="F37" s="3" t="s">
        <v>32</v>
      </c>
      <c r="G37" s="3" t="s">
        <v>33</v>
      </c>
      <c r="H37" s="9">
        <v>7.6E-3</v>
      </c>
      <c r="I37" s="2">
        <v>46110</v>
      </c>
      <c r="J37" s="1" t="s">
        <v>33</v>
      </c>
      <c r="K37" s="1" t="s">
        <v>33</v>
      </c>
      <c r="L37" s="1" t="s">
        <v>32</v>
      </c>
      <c r="M37" s="1" t="s">
        <v>33</v>
      </c>
      <c r="N37" s="1" t="s">
        <v>32</v>
      </c>
      <c r="O37" s="1" t="s">
        <v>32</v>
      </c>
      <c r="P37" s="57">
        <v>2.9899999999999999E-2</v>
      </c>
      <c r="Q37" s="59">
        <f t="shared" si="0"/>
        <v>2.23E-2</v>
      </c>
      <c r="S37" s="4">
        <v>46110</v>
      </c>
      <c r="T37" s="3" t="s">
        <v>33</v>
      </c>
      <c r="U37" s="3" t="s">
        <v>33</v>
      </c>
      <c r="V37" s="3" t="s">
        <v>33</v>
      </c>
      <c r="W37" s="3" t="s">
        <v>33</v>
      </c>
      <c r="X37" s="6">
        <v>0.03</v>
      </c>
      <c r="Y37" s="3" t="s">
        <v>33</v>
      </c>
      <c r="Z37" s="6">
        <v>1.0699999999999999E-2</v>
      </c>
      <c r="AA37" s="2">
        <v>46110</v>
      </c>
      <c r="AB37" s="1" t="s">
        <v>33</v>
      </c>
      <c r="AC37" s="1" t="s">
        <v>33</v>
      </c>
      <c r="AD37" s="1" t="s">
        <v>33</v>
      </c>
      <c r="AE37" s="1" t="s">
        <v>33</v>
      </c>
      <c r="AF37" s="1" t="s">
        <v>33</v>
      </c>
      <c r="AG37" s="1" t="s">
        <v>33</v>
      </c>
      <c r="AH37" s="57">
        <v>2.5000000000000001E-2</v>
      </c>
      <c r="AI37" s="12">
        <f t="shared" si="1"/>
        <v>1.4300000000000002E-2</v>
      </c>
      <c r="AK37" s="4">
        <v>46110</v>
      </c>
      <c r="AL37" s="3" t="s">
        <v>33</v>
      </c>
      <c r="AM37" s="3"/>
      <c r="AN37" s="3"/>
      <c r="AO37" s="3"/>
      <c r="AP37" s="3" t="s">
        <v>33</v>
      </c>
      <c r="AQ37" s="6">
        <v>2.7E-2</v>
      </c>
      <c r="AR37" s="6">
        <v>6.0000000000000001E-3</v>
      </c>
      <c r="AS37" s="2">
        <v>46110</v>
      </c>
      <c r="AT37" s="13">
        <v>0.03</v>
      </c>
      <c r="AU37" s="13">
        <v>3.3000000000000002E-2</v>
      </c>
      <c r="AV37" s="13">
        <v>3.2000000000000001E-2</v>
      </c>
      <c r="AW37" s="13">
        <v>4.3999999999999997E-2</v>
      </c>
      <c r="AX37" s="13">
        <v>5.6000000000000001E-2</v>
      </c>
      <c r="AY37" s="13">
        <v>0.06</v>
      </c>
      <c r="AZ37" s="13">
        <v>3.3000000000000002E-2</v>
      </c>
      <c r="BA37" s="12">
        <f t="shared" si="2"/>
        <v>2.7000000000000003E-2</v>
      </c>
      <c r="BC37" s="4">
        <v>46110</v>
      </c>
      <c r="BD37" s="6">
        <v>7.1000000000000004E-3</v>
      </c>
      <c r="BE37" s="6">
        <v>7.1999999999999998E-3</v>
      </c>
      <c r="BF37" s="6">
        <v>7.4000000000000003E-3</v>
      </c>
      <c r="BG37" s="3"/>
      <c r="BH37" s="3"/>
      <c r="BI37" s="3"/>
      <c r="BJ37" s="6">
        <v>7.1000000000000004E-3</v>
      </c>
      <c r="BK37" s="2">
        <v>46110</v>
      </c>
      <c r="BL37" s="57">
        <v>3.7600000000000001E-2</v>
      </c>
      <c r="BM37" s="1"/>
      <c r="BN37" s="57">
        <v>5.4800000000000001E-2</v>
      </c>
      <c r="BO37" s="1"/>
      <c r="BP37" s="1"/>
      <c r="BQ37" s="1"/>
      <c r="BR37" s="57">
        <v>2.9700000000000001E-2</v>
      </c>
      <c r="BS37" s="12">
        <f t="shared" si="3"/>
        <v>2.2600000000000002E-2</v>
      </c>
    </row>
    <row r="38" spans="1:71" x14ac:dyDescent="0.35">
      <c r="A38" s="4">
        <v>46111</v>
      </c>
      <c r="B38" s="3" t="s">
        <v>33</v>
      </c>
      <c r="C38" s="3" t="s">
        <v>33</v>
      </c>
      <c r="D38" s="3" t="s">
        <v>32</v>
      </c>
      <c r="E38" s="3" t="s">
        <v>33</v>
      </c>
      <c r="F38" s="3" t="s">
        <v>32</v>
      </c>
      <c r="G38" s="3" t="s">
        <v>33</v>
      </c>
      <c r="H38" s="9">
        <v>7.9000000000000008E-3</v>
      </c>
      <c r="I38" s="2">
        <v>46111</v>
      </c>
      <c r="J38" s="1" t="s">
        <v>33</v>
      </c>
      <c r="K38" s="1" t="s">
        <v>33</v>
      </c>
      <c r="L38" s="1" t="s">
        <v>32</v>
      </c>
      <c r="M38" s="1" t="s">
        <v>33</v>
      </c>
      <c r="N38" s="1" t="s">
        <v>32</v>
      </c>
      <c r="O38" s="1" t="s">
        <v>32</v>
      </c>
      <c r="P38" s="57">
        <v>2.98E-2</v>
      </c>
      <c r="Q38" s="59">
        <f t="shared" si="0"/>
        <v>2.1899999999999999E-2</v>
      </c>
      <c r="S38" s="4">
        <v>46111</v>
      </c>
      <c r="T38" s="3" t="s">
        <v>33</v>
      </c>
      <c r="U38" s="3" t="s">
        <v>33</v>
      </c>
      <c r="V38" s="3" t="s">
        <v>33</v>
      </c>
      <c r="W38" s="3" t="s">
        <v>33</v>
      </c>
      <c r="X38" s="6">
        <v>0.03</v>
      </c>
      <c r="Y38" s="3" t="s">
        <v>33</v>
      </c>
      <c r="Z38" s="6">
        <v>1.1299999999999999E-2</v>
      </c>
      <c r="AA38" s="2">
        <v>46111</v>
      </c>
      <c r="AB38" s="1" t="s">
        <v>33</v>
      </c>
      <c r="AC38" s="1" t="s">
        <v>33</v>
      </c>
      <c r="AD38" s="1" t="s">
        <v>33</v>
      </c>
      <c r="AE38" s="1" t="s">
        <v>33</v>
      </c>
      <c r="AF38" s="1" t="s">
        <v>33</v>
      </c>
      <c r="AG38" s="1" t="s">
        <v>33</v>
      </c>
      <c r="AH38" s="57">
        <v>2.5000000000000001E-2</v>
      </c>
      <c r="AI38" s="12">
        <f t="shared" si="1"/>
        <v>1.3700000000000002E-2</v>
      </c>
      <c r="AK38" s="4">
        <v>46111</v>
      </c>
      <c r="AL38" s="3" t="s">
        <v>33</v>
      </c>
      <c r="AM38" s="3"/>
      <c r="AN38" s="3"/>
      <c r="AO38" s="3"/>
      <c r="AP38" s="3" t="s">
        <v>33</v>
      </c>
      <c r="AQ38" s="6">
        <v>2.7E-2</v>
      </c>
      <c r="AR38" s="6">
        <v>6.0000000000000001E-3</v>
      </c>
      <c r="AS38" s="2">
        <v>46111</v>
      </c>
      <c r="AT38" s="13">
        <v>0.03</v>
      </c>
      <c r="AU38" s="13">
        <v>3.27E-2</v>
      </c>
      <c r="AV38" s="13">
        <v>3.9899999999999998E-2</v>
      </c>
      <c r="AW38" s="13">
        <v>4.3900000000000002E-2</v>
      </c>
      <c r="AX38" s="13">
        <v>6.4899999999999999E-2</v>
      </c>
      <c r="AY38" s="13">
        <v>6.8699999999999997E-2</v>
      </c>
      <c r="AZ38" s="13">
        <v>3.3399999999999999E-2</v>
      </c>
      <c r="BA38" s="12">
        <f t="shared" si="2"/>
        <v>2.7400000000000001E-2</v>
      </c>
      <c r="BC38" s="4">
        <v>46111</v>
      </c>
      <c r="BD38" s="6">
        <v>7.1000000000000004E-3</v>
      </c>
      <c r="BE38" s="6">
        <v>7.1000000000000004E-3</v>
      </c>
      <c r="BF38" s="6">
        <v>7.4000000000000003E-3</v>
      </c>
      <c r="BG38" s="3"/>
      <c r="BH38" s="3"/>
      <c r="BI38" s="3"/>
      <c r="BJ38" s="6">
        <v>7.3000000000000001E-3</v>
      </c>
      <c r="BK38" s="2">
        <v>46111</v>
      </c>
      <c r="BL38" s="57">
        <v>3.7600000000000001E-2</v>
      </c>
      <c r="BM38" s="1"/>
      <c r="BN38" s="57">
        <v>5.4800000000000001E-2</v>
      </c>
      <c r="BO38" s="1"/>
      <c r="BP38" s="1"/>
      <c r="BQ38" s="1"/>
      <c r="BR38" s="57">
        <v>2.9700000000000001E-2</v>
      </c>
      <c r="BS38" s="12">
        <f t="shared" si="3"/>
        <v>2.24E-2</v>
      </c>
    </row>
    <row r="39" spans="1:71" x14ac:dyDescent="0.35">
      <c r="A39" s="4">
        <v>46112</v>
      </c>
      <c r="B39" s="3" t="s">
        <v>33</v>
      </c>
      <c r="C39" s="3" t="s">
        <v>33</v>
      </c>
      <c r="D39" s="3" t="s">
        <v>32</v>
      </c>
      <c r="E39" s="3" t="s">
        <v>33</v>
      </c>
      <c r="F39" s="3" t="s">
        <v>32</v>
      </c>
      <c r="G39" s="3" t="s">
        <v>33</v>
      </c>
      <c r="H39" s="9">
        <v>8.3000000000000001E-3</v>
      </c>
      <c r="I39" s="2">
        <v>46112</v>
      </c>
      <c r="J39" s="1" t="s">
        <v>33</v>
      </c>
      <c r="K39" s="1" t="s">
        <v>33</v>
      </c>
      <c r="L39" s="1" t="s">
        <v>32</v>
      </c>
      <c r="M39" s="1" t="s">
        <v>33</v>
      </c>
      <c r="N39" s="1" t="s">
        <v>32</v>
      </c>
      <c r="O39" s="1" t="s">
        <v>32</v>
      </c>
      <c r="P39" s="57">
        <v>3.0499999999999999E-2</v>
      </c>
      <c r="Q39" s="59">
        <f>P39-H39</f>
        <v>2.2199999999999998E-2</v>
      </c>
      <c r="S39" s="4">
        <v>46112</v>
      </c>
      <c r="T39" s="3" t="s">
        <v>33</v>
      </c>
      <c r="U39" s="3" t="s">
        <v>33</v>
      </c>
      <c r="V39" s="3" t="s">
        <v>33</v>
      </c>
      <c r="W39" s="3" t="s">
        <v>33</v>
      </c>
      <c r="X39" s="6">
        <v>0.03</v>
      </c>
      <c r="Y39" s="3" t="s">
        <v>33</v>
      </c>
      <c r="Z39" s="6">
        <v>1.0200000000000001E-2</v>
      </c>
      <c r="AA39" s="2">
        <v>46112</v>
      </c>
      <c r="AB39" s="1" t="s">
        <v>33</v>
      </c>
      <c r="AC39" s="1" t="s">
        <v>33</v>
      </c>
      <c r="AD39" s="1" t="s">
        <v>33</v>
      </c>
      <c r="AE39" s="1" t="s">
        <v>33</v>
      </c>
      <c r="AF39" s="1" t="s">
        <v>33</v>
      </c>
      <c r="AG39" s="1" t="s">
        <v>33</v>
      </c>
      <c r="AH39" s="57">
        <v>2.5000000000000001E-2</v>
      </c>
      <c r="AI39" s="12">
        <f t="shared" si="1"/>
        <v>1.4800000000000001E-2</v>
      </c>
      <c r="AK39" s="4">
        <v>46112</v>
      </c>
      <c r="AL39" s="3" t="s">
        <v>33</v>
      </c>
      <c r="AM39" s="3"/>
      <c r="AN39" s="3"/>
      <c r="AO39" s="3"/>
      <c r="AP39" s="3" t="s">
        <v>33</v>
      </c>
      <c r="AQ39" s="6">
        <v>2.7E-2</v>
      </c>
      <c r="AR39" s="6">
        <v>6.0000000000000001E-3</v>
      </c>
      <c r="AS39" s="2">
        <v>46112</v>
      </c>
      <c r="AT39" s="13">
        <v>2.53E-2</v>
      </c>
      <c r="AU39" s="13">
        <v>3.2000000000000001E-2</v>
      </c>
      <c r="AV39" s="13">
        <v>0.04</v>
      </c>
      <c r="AW39" s="13">
        <v>3.15E-2</v>
      </c>
      <c r="AX39" s="13">
        <v>6.4899999999999999E-2</v>
      </c>
      <c r="AY39" s="13">
        <v>6.8400000000000002E-2</v>
      </c>
      <c r="AZ39" s="13">
        <v>3.4099999999999998E-2</v>
      </c>
      <c r="BA39" s="12">
        <f t="shared" si="2"/>
        <v>2.81E-2</v>
      </c>
      <c r="BC39" s="4">
        <v>46112</v>
      </c>
      <c r="BD39" s="6">
        <v>7.1000000000000004E-3</v>
      </c>
      <c r="BE39" s="6">
        <v>7.1000000000000004E-3</v>
      </c>
      <c r="BF39" s="6">
        <v>7.4000000000000003E-3</v>
      </c>
      <c r="BG39" s="3"/>
      <c r="BH39" s="3"/>
      <c r="BI39" s="3"/>
      <c r="BJ39" s="6">
        <v>8.3999999999999995E-3</v>
      </c>
      <c r="BK39" s="2">
        <v>46112</v>
      </c>
      <c r="BL39" s="57">
        <v>3.7600000000000001E-2</v>
      </c>
      <c r="BM39" s="1"/>
      <c r="BN39" s="57">
        <v>5.4800000000000001E-2</v>
      </c>
      <c r="BO39" s="1"/>
      <c r="BP39" s="1"/>
      <c r="BQ39" s="1"/>
      <c r="BR39" s="57">
        <v>3.1099999999999999E-2</v>
      </c>
      <c r="BS39" s="12">
        <f t="shared" si="3"/>
        <v>2.2699999999999998E-2</v>
      </c>
    </row>
    <row r="40" spans="1:71" x14ac:dyDescent="0.35">
      <c r="A40" s="4">
        <v>46113</v>
      </c>
      <c r="B40" s="3" t="s">
        <v>33</v>
      </c>
      <c r="C40" s="3" t="s">
        <v>33</v>
      </c>
      <c r="D40" s="3" t="s">
        <v>32</v>
      </c>
      <c r="E40" s="3" t="s">
        <v>33</v>
      </c>
      <c r="F40" s="3" t="s">
        <v>32</v>
      </c>
      <c r="G40" s="3" t="s">
        <v>33</v>
      </c>
      <c r="H40" s="9">
        <v>8.3000000000000001E-3</v>
      </c>
      <c r="I40" s="2">
        <v>46113</v>
      </c>
      <c r="J40" s="1" t="s">
        <v>33</v>
      </c>
      <c r="K40" s="1" t="s">
        <v>33</v>
      </c>
      <c r="L40" s="1" t="s">
        <v>32</v>
      </c>
      <c r="M40" s="1" t="s">
        <v>33</v>
      </c>
      <c r="N40" s="1" t="s">
        <v>32</v>
      </c>
      <c r="O40" s="1" t="s">
        <v>32</v>
      </c>
      <c r="P40" s="57">
        <v>3.0499999999999999E-2</v>
      </c>
      <c r="Q40" s="59">
        <f>P40-H40</f>
        <v>2.2199999999999998E-2</v>
      </c>
      <c r="S40" s="4">
        <v>46113</v>
      </c>
      <c r="T40" s="3" t="s">
        <v>33</v>
      </c>
      <c r="U40" s="3" t="s">
        <v>33</v>
      </c>
      <c r="V40" s="3" t="s">
        <v>33</v>
      </c>
      <c r="W40" s="3" t="s">
        <v>33</v>
      </c>
      <c r="X40" s="6">
        <v>0.03</v>
      </c>
      <c r="Y40" s="3" t="s">
        <v>33</v>
      </c>
      <c r="Z40" s="6">
        <v>1.0500000000000001E-2</v>
      </c>
      <c r="AA40" s="2">
        <v>46113</v>
      </c>
      <c r="AB40" s="1" t="s">
        <v>33</v>
      </c>
      <c r="AC40" s="1" t="s">
        <v>33</v>
      </c>
      <c r="AD40" s="1" t="s">
        <v>33</v>
      </c>
      <c r="AE40" s="1" t="s">
        <v>33</v>
      </c>
      <c r="AF40" s="1" t="s">
        <v>33</v>
      </c>
      <c r="AG40" s="1" t="s">
        <v>33</v>
      </c>
      <c r="AH40" s="57">
        <v>2.5000000000000001E-2</v>
      </c>
      <c r="AI40" s="12">
        <f t="shared" si="1"/>
        <v>1.4500000000000001E-2</v>
      </c>
      <c r="AK40" s="4">
        <v>46113</v>
      </c>
      <c r="AL40" s="6">
        <v>0.02</v>
      </c>
      <c r="AM40" s="3"/>
      <c r="AN40" s="3"/>
      <c r="AO40" s="3"/>
      <c r="AP40" s="3" t="s">
        <v>33</v>
      </c>
      <c r="AQ40" s="6">
        <v>2.6499999999999999E-2</v>
      </c>
      <c r="AR40" s="6">
        <v>6.0000000000000001E-3</v>
      </c>
      <c r="AS40" s="2">
        <v>46113</v>
      </c>
      <c r="AT40" s="13">
        <v>4.2999999999999997E-2</v>
      </c>
      <c r="AU40" s="13">
        <v>3.2599999999999997E-2</v>
      </c>
      <c r="AV40" s="13">
        <v>0.04</v>
      </c>
      <c r="AW40" s="13">
        <v>4.3799999999999999E-2</v>
      </c>
      <c r="AX40" s="13">
        <v>5.9900000000000002E-2</v>
      </c>
      <c r="AY40" s="13">
        <v>6.6900000000000001E-2</v>
      </c>
      <c r="AZ40" s="13">
        <v>3.39E-2</v>
      </c>
      <c r="BA40" s="12">
        <f t="shared" si="2"/>
        <v>2.7900000000000001E-2</v>
      </c>
      <c r="BC40" s="4">
        <v>46113</v>
      </c>
      <c r="BD40" s="6">
        <v>7.1999999999999998E-3</v>
      </c>
      <c r="BE40" s="6">
        <v>7.1999999999999998E-3</v>
      </c>
      <c r="BF40" s="6">
        <v>7.4000000000000003E-3</v>
      </c>
      <c r="BG40" s="3"/>
      <c r="BH40" s="3"/>
      <c r="BI40" s="3"/>
      <c r="BJ40" s="6">
        <v>8.3000000000000001E-3</v>
      </c>
      <c r="BK40" s="2">
        <v>46113</v>
      </c>
      <c r="BL40" s="57">
        <v>3.7600000000000001E-2</v>
      </c>
      <c r="BM40" s="1"/>
      <c r="BN40" s="57">
        <v>5.4800000000000001E-2</v>
      </c>
      <c r="BO40" s="1"/>
      <c r="BP40" s="1"/>
      <c r="BQ40" s="1"/>
      <c r="BR40" s="57">
        <v>3.0599999999999999E-2</v>
      </c>
      <c r="BS40" s="12">
        <f t="shared" si="3"/>
        <v>2.23E-2</v>
      </c>
    </row>
    <row r="41" spans="1:71" x14ac:dyDescent="0.35">
      <c r="A41" s="4">
        <v>46114</v>
      </c>
      <c r="B41" s="3" t="s">
        <v>33</v>
      </c>
      <c r="C41" s="3" t="s">
        <v>33</v>
      </c>
      <c r="D41" s="3" t="s">
        <v>32</v>
      </c>
      <c r="E41" s="3" t="s">
        <v>33</v>
      </c>
      <c r="F41" s="3" t="s">
        <v>32</v>
      </c>
      <c r="G41" s="3" t="s">
        <v>33</v>
      </c>
      <c r="H41" s="9">
        <v>8.3000000000000001E-3</v>
      </c>
      <c r="I41" s="2">
        <v>46114</v>
      </c>
      <c r="J41" s="1" t="s">
        <v>33</v>
      </c>
      <c r="K41" s="1" t="s">
        <v>33</v>
      </c>
      <c r="L41" s="1" t="s">
        <v>32</v>
      </c>
      <c r="M41" s="1" t="s">
        <v>33</v>
      </c>
      <c r="N41" s="1" t="s">
        <v>32</v>
      </c>
      <c r="O41" s="1" t="s">
        <v>32</v>
      </c>
      <c r="P41" s="57">
        <v>3.0800000000000001E-2</v>
      </c>
      <c r="Q41" s="59">
        <f>P41-H41</f>
        <v>2.2499999999999999E-2</v>
      </c>
      <c r="S41" s="4">
        <v>46114</v>
      </c>
      <c r="T41" s="3" t="s">
        <v>33</v>
      </c>
      <c r="U41" s="3" t="s">
        <v>33</v>
      </c>
      <c r="V41" s="3" t="s">
        <v>33</v>
      </c>
      <c r="W41" s="3" t="s">
        <v>33</v>
      </c>
      <c r="X41" s="6">
        <v>0.03</v>
      </c>
      <c r="Y41" s="3" t="s">
        <v>33</v>
      </c>
      <c r="Z41" s="6">
        <v>1.0500000000000001E-2</v>
      </c>
      <c r="AA41" s="2">
        <v>46114</v>
      </c>
      <c r="AB41" s="1" t="s">
        <v>33</v>
      </c>
      <c r="AC41" s="1" t="s">
        <v>33</v>
      </c>
      <c r="AD41" s="1" t="s">
        <v>33</v>
      </c>
      <c r="AE41" s="1" t="s">
        <v>33</v>
      </c>
      <c r="AF41" s="1" t="s">
        <v>33</v>
      </c>
      <c r="AG41" s="1" t="s">
        <v>33</v>
      </c>
      <c r="AH41" s="57">
        <v>2.5000000000000001E-2</v>
      </c>
      <c r="AI41" s="12">
        <f t="shared" si="1"/>
        <v>1.4500000000000001E-2</v>
      </c>
      <c r="AK41" s="4">
        <v>46114</v>
      </c>
      <c r="AL41" s="6">
        <v>0.02</v>
      </c>
      <c r="AM41" s="3"/>
      <c r="AN41" s="3"/>
      <c r="AO41" s="3"/>
      <c r="AP41" s="3" t="s">
        <v>33</v>
      </c>
      <c r="AQ41" s="6">
        <v>2.6499999999999999E-2</v>
      </c>
      <c r="AR41" s="6">
        <v>6.0000000000000001E-3</v>
      </c>
      <c r="AS41" s="2">
        <v>46114</v>
      </c>
      <c r="AT41" s="13">
        <v>0.04</v>
      </c>
      <c r="AU41" s="13">
        <v>3.3000000000000002E-2</v>
      </c>
      <c r="AV41" s="13">
        <v>4.1000000000000002E-2</v>
      </c>
      <c r="AW41" s="13">
        <v>4.3799999999999999E-2</v>
      </c>
      <c r="AX41" s="13">
        <v>5.9900000000000002E-2</v>
      </c>
      <c r="AY41" s="13">
        <v>6.6000000000000003E-2</v>
      </c>
      <c r="AZ41" s="13">
        <v>3.3000000000000002E-2</v>
      </c>
      <c r="BA41" s="12">
        <f t="shared" si="2"/>
        <v>2.7000000000000003E-2</v>
      </c>
      <c r="BC41" s="4">
        <v>46114</v>
      </c>
      <c r="BD41" s="6">
        <v>8.3999999999999995E-3</v>
      </c>
      <c r="BE41" s="6">
        <v>8.5000000000000006E-3</v>
      </c>
      <c r="BF41" s="6">
        <v>8.6999999999999994E-3</v>
      </c>
      <c r="BG41" s="3"/>
      <c r="BH41" s="3"/>
      <c r="BI41" s="3"/>
      <c r="BJ41" s="6">
        <v>8.3999999999999995E-3</v>
      </c>
      <c r="BK41" s="2">
        <v>46114</v>
      </c>
      <c r="BL41" s="57">
        <v>3.8100000000000002E-2</v>
      </c>
      <c r="BM41" s="1"/>
      <c r="BN41" s="57">
        <v>5.4800000000000001E-2</v>
      </c>
      <c r="BO41" s="1"/>
      <c r="BP41" s="1"/>
      <c r="BQ41" s="1"/>
      <c r="BR41" s="57">
        <v>3.1E-2</v>
      </c>
      <c r="BS41" s="12">
        <f t="shared" si="3"/>
        <v>2.2600000000000002E-2</v>
      </c>
    </row>
    <row r="42" spans="1:71" x14ac:dyDescent="0.35">
      <c r="A42" s="4">
        <v>46115</v>
      </c>
      <c r="B42" s="3" t="s">
        <v>33</v>
      </c>
      <c r="C42" s="3" t="s">
        <v>33</v>
      </c>
      <c r="D42" s="3" t="s">
        <v>32</v>
      </c>
      <c r="E42" s="3" t="s">
        <v>33</v>
      </c>
      <c r="F42" s="3" t="s">
        <v>32</v>
      </c>
      <c r="G42" s="3" t="s">
        <v>33</v>
      </c>
      <c r="H42" s="9">
        <v>8.5000000000000006E-3</v>
      </c>
      <c r="I42" s="2">
        <v>46115</v>
      </c>
      <c r="J42" s="1" t="s">
        <v>33</v>
      </c>
      <c r="K42" s="1" t="s">
        <v>33</v>
      </c>
      <c r="L42" s="1" t="s">
        <v>32</v>
      </c>
      <c r="M42" s="1" t="s">
        <v>33</v>
      </c>
      <c r="N42" s="1" t="s">
        <v>32</v>
      </c>
      <c r="O42" s="1" t="s">
        <v>32</v>
      </c>
      <c r="P42" s="57">
        <v>3.09E-2</v>
      </c>
      <c r="Q42" s="59">
        <f>P42-H42</f>
        <v>2.24E-2</v>
      </c>
      <c r="S42" s="4">
        <v>46115</v>
      </c>
      <c r="T42" s="3" t="s">
        <v>33</v>
      </c>
      <c r="U42" s="3" t="s">
        <v>33</v>
      </c>
      <c r="V42" s="3" t="s">
        <v>33</v>
      </c>
      <c r="W42" s="3" t="s">
        <v>33</v>
      </c>
      <c r="X42" s="6">
        <v>0.03</v>
      </c>
      <c r="Y42" s="3" t="s">
        <v>33</v>
      </c>
      <c r="Z42" s="6">
        <v>1.06E-2</v>
      </c>
      <c r="AA42" s="2">
        <v>46115</v>
      </c>
      <c r="AB42" s="1" t="s">
        <v>33</v>
      </c>
      <c r="AC42" s="1" t="s">
        <v>33</v>
      </c>
      <c r="AD42" s="1" t="s">
        <v>33</v>
      </c>
      <c r="AE42" s="1" t="s">
        <v>33</v>
      </c>
      <c r="AF42" s="1" t="s">
        <v>33</v>
      </c>
      <c r="AG42" s="1" t="s">
        <v>33</v>
      </c>
      <c r="AH42" s="57">
        <v>2.5000000000000001E-2</v>
      </c>
      <c r="AI42" s="12">
        <f t="shared" si="1"/>
        <v>1.4400000000000001E-2</v>
      </c>
      <c r="AK42" s="4">
        <v>46115</v>
      </c>
      <c r="AL42" s="6">
        <v>0.02</v>
      </c>
      <c r="AM42" s="3"/>
      <c r="AN42" s="3"/>
      <c r="AO42" s="3"/>
      <c r="AP42" s="3" t="s">
        <v>33</v>
      </c>
      <c r="AQ42" s="6">
        <v>2.6499999999999999E-2</v>
      </c>
      <c r="AR42" s="6">
        <v>6.0000000000000001E-3</v>
      </c>
      <c r="AS42" s="2">
        <v>46115</v>
      </c>
      <c r="AT42" s="13">
        <v>3.1E-2</v>
      </c>
      <c r="AU42" s="13">
        <v>3.49E-2</v>
      </c>
      <c r="AV42" s="13">
        <v>4.2000000000000003E-2</v>
      </c>
      <c r="AW42" s="13">
        <v>4.3799999999999999E-2</v>
      </c>
      <c r="AX42" s="13">
        <v>5.9700000000000003E-2</v>
      </c>
      <c r="AY42" s="13">
        <v>6.3899999999999998E-2</v>
      </c>
      <c r="AZ42" s="13">
        <v>3.1E-2</v>
      </c>
      <c r="BA42" s="12">
        <f t="shared" si="2"/>
        <v>2.5000000000000001E-2</v>
      </c>
      <c r="BC42" s="4">
        <v>46115</v>
      </c>
      <c r="BD42" s="6">
        <v>8.3999999999999995E-3</v>
      </c>
      <c r="BE42" s="6">
        <v>8.5000000000000006E-3</v>
      </c>
      <c r="BF42" s="6">
        <v>8.6999999999999994E-3</v>
      </c>
      <c r="BG42" s="3"/>
      <c r="BH42" s="3"/>
      <c r="BI42" s="3"/>
      <c r="BJ42" s="6">
        <v>8.5000000000000006E-3</v>
      </c>
      <c r="BK42" s="2">
        <v>46115</v>
      </c>
      <c r="BL42" s="57">
        <v>3.8100000000000002E-2</v>
      </c>
      <c r="BM42" s="1"/>
      <c r="BN42" s="57">
        <v>5.4800000000000001E-2</v>
      </c>
      <c r="BO42" s="1"/>
      <c r="BP42" s="1"/>
      <c r="BQ42" s="1"/>
      <c r="BR42" s="57">
        <v>3.1800000000000002E-2</v>
      </c>
      <c r="BS42" s="12">
        <f t="shared" si="3"/>
        <v>2.3300000000000001E-2</v>
      </c>
    </row>
    <row r="43" spans="1:71" x14ac:dyDescent="0.35">
      <c r="A43" s="4">
        <v>46116</v>
      </c>
      <c r="B43" s="3" t="s">
        <v>33</v>
      </c>
      <c r="C43" s="3" t="s">
        <v>33</v>
      </c>
      <c r="D43" s="3" t="s">
        <v>32</v>
      </c>
      <c r="E43" s="3" t="s">
        <v>33</v>
      </c>
      <c r="F43" s="3" t="s">
        <v>32</v>
      </c>
      <c r="G43" s="3" t="s">
        <v>33</v>
      </c>
      <c r="H43" s="9">
        <v>8.5000000000000006E-3</v>
      </c>
      <c r="I43" s="2">
        <v>46116</v>
      </c>
      <c r="J43" s="1" t="s">
        <v>33</v>
      </c>
      <c r="K43" s="1" t="s">
        <v>33</v>
      </c>
      <c r="L43" s="1" t="s">
        <v>32</v>
      </c>
      <c r="M43" s="1" t="s">
        <v>33</v>
      </c>
      <c r="N43" s="1" t="s">
        <v>32</v>
      </c>
      <c r="O43" s="1" t="s">
        <v>32</v>
      </c>
      <c r="P43" s="57">
        <v>3.1E-2</v>
      </c>
      <c r="Q43" s="59">
        <f>P43-H43</f>
        <v>2.2499999999999999E-2</v>
      </c>
      <c r="S43" s="4">
        <v>46116</v>
      </c>
      <c r="T43" s="3" t="s">
        <v>33</v>
      </c>
      <c r="U43" s="3" t="s">
        <v>33</v>
      </c>
      <c r="V43" s="3" t="s">
        <v>33</v>
      </c>
      <c r="W43" s="3" t="s">
        <v>33</v>
      </c>
      <c r="X43" s="6">
        <v>0.03</v>
      </c>
      <c r="Y43" s="3" t="s">
        <v>33</v>
      </c>
      <c r="Z43" s="6">
        <v>1.06E-2</v>
      </c>
      <c r="AA43" s="2">
        <v>46116</v>
      </c>
      <c r="AB43" s="1" t="s">
        <v>33</v>
      </c>
      <c r="AC43" s="1" t="s">
        <v>33</v>
      </c>
      <c r="AD43" s="1" t="s">
        <v>33</v>
      </c>
      <c r="AE43" s="1" t="s">
        <v>33</v>
      </c>
      <c r="AF43" s="1" t="s">
        <v>33</v>
      </c>
      <c r="AG43" s="1" t="s">
        <v>33</v>
      </c>
      <c r="AH43" s="57">
        <v>2.5000000000000001E-2</v>
      </c>
      <c r="AI43" s="12">
        <f t="shared" si="1"/>
        <v>1.4400000000000001E-2</v>
      </c>
      <c r="AK43" s="4">
        <v>46116</v>
      </c>
      <c r="AL43" s="6">
        <v>0.02</v>
      </c>
      <c r="AM43" s="3"/>
      <c r="AN43" s="3"/>
      <c r="AO43" s="3"/>
      <c r="AP43" s="3" t="s">
        <v>33</v>
      </c>
      <c r="AQ43" s="6">
        <v>2.5000000000000001E-2</v>
      </c>
      <c r="AR43" s="6">
        <v>6.0000000000000001E-3</v>
      </c>
      <c r="AS43" s="2">
        <v>46116</v>
      </c>
      <c r="AT43" s="13">
        <v>3.1E-2</v>
      </c>
      <c r="AU43" s="13">
        <v>0.03</v>
      </c>
      <c r="AV43" s="13">
        <v>4.3999999999999997E-2</v>
      </c>
      <c r="AW43" s="13">
        <v>5.7000000000000002E-2</v>
      </c>
      <c r="AX43" s="13">
        <v>5.9700000000000003E-2</v>
      </c>
      <c r="AY43" s="13">
        <v>6.4899999999999999E-2</v>
      </c>
      <c r="AZ43" s="13">
        <v>3.4200000000000001E-2</v>
      </c>
      <c r="BA43" s="12">
        <f t="shared" si="2"/>
        <v>2.8200000000000003E-2</v>
      </c>
      <c r="BC43" s="4">
        <v>46116</v>
      </c>
      <c r="BD43" s="6">
        <v>8.3999999999999995E-3</v>
      </c>
      <c r="BE43" s="6">
        <v>8.5000000000000006E-3</v>
      </c>
      <c r="BF43" s="6">
        <v>8.6999999999999994E-3</v>
      </c>
      <c r="BG43" s="3"/>
      <c r="BH43" s="3"/>
      <c r="BI43" s="3"/>
      <c r="BJ43" s="6">
        <v>8.0000000000000002E-3</v>
      </c>
      <c r="BK43" s="2">
        <v>46116</v>
      </c>
      <c r="BL43" s="57">
        <v>3.7600000000000001E-2</v>
      </c>
      <c r="BM43" s="1"/>
      <c r="BN43" s="57">
        <v>5.4800000000000001E-2</v>
      </c>
      <c r="BO43" s="1"/>
      <c r="BP43" s="1"/>
      <c r="BQ43" s="1"/>
      <c r="BR43" s="57">
        <v>3.0800000000000001E-2</v>
      </c>
      <c r="BS43" s="12">
        <f t="shared" si="3"/>
        <v>2.2800000000000001E-2</v>
      </c>
    </row>
    <row r="44" spans="1:71" x14ac:dyDescent="0.35">
      <c r="A44" s="4">
        <v>46117</v>
      </c>
      <c r="B44" s="3" t="s">
        <v>33</v>
      </c>
      <c r="C44" s="3" t="s">
        <v>33</v>
      </c>
      <c r="D44" s="3" t="s">
        <v>32</v>
      </c>
      <c r="E44" s="3" t="s">
        <v>33</v>
      </c>
      <c r="F44" s="3" t="s">
        <v>32</v>
      </c>
      <c r="G44" s="3" t="s">
        <v>33</v>
      </c>
      <c r="H44" s="9">
        <v>8.5000000000000006E-3</v>
      </c>
      <c r="I44" s="2">
        <v>46117</v>
      </c>
      <c r="J44" s="1" t="s">
        <v>33</v>
      </c>
      <c r="K44" s="1" t="s">
        <v>33</v>
      </c>
      <c r="L44" s="1" t="s">
        <v>32</v>
      </c>
      <c r="M44" s="1" t="s">
        <v>33</v>
      </c>
      <c r="N44" s="1" t="s">
        <v>32</v>
      </c>
      <c r="O44" s="1" t="s">
        <v>32</v>
      </c>
      <c r="P44" s="57">
        <v>3.1E-2</v>
      </c>
      <c r="Q44" s="59">
        <f t="shared" ref="Q44:Q86" si="4">P44-H44</f>
        <v>2.2499999999999999E-2</v>
      </c>
      <c r="S44" s="4">
        <v>46117</v>
      </c>
      <c r="T44" s="3" t="s">
        <v>33</v>
      </c>
      <c r="U44" s="3" t="s">
        <v>33</v>
      </c>
      <c r="V44" s="3" t="s">
        <v>33</v>
      </c>
      <c r="W44" s="3" t="s">
        <v>33</v>
      </c>
      <c r="X44" s="6">
        <v>0.03</v>
      </c>
      <c r="Y44" s="3" t="s">
        <v>33</v>
      </c>
      <c r="Z44" s="6">
        <v>1.06E-2</v>
      </c>
      <c r="AA44" s="2">
        <v>46117</v>
      </c>
      <c r="AB44" s="1" t="s">
        <v>33</v>
      </c>
      <c r="AC44" s="1" t="s">
        <v>33</v>
      </c>
      <c r="AD44" s="1" t="s">
        <v>33</v>
      </c>
      <c r="AE44" s="1" t="s">
        <v>33</v>
      </c>
      <c r="AF44" s="1" t="s">
        <v>33</v>
      </c>
      <c r="AG44" s="1" t="s">
        <v>33</v>
      </c>
      <c r="AH44" s="57">
        <v>2.5000000000000001E-2</v>
      </c>
      <c r="AI44" s="12">
        <f t="shared" si="1"/>
        <v>1.4400000000000001E-2</v>
      </c>
      <c r="AK44" s="4">
        <v>46117</v>
      </c>
      <c r="AL44" s="6">
        <v>0.02</v>
      </c>
      <c r="AM44" s="3"/>
      <c r="AN44" s="3"/>
      <c r="AO44" s="3"/>
      <c r="AP44" s="3" t="s">
        <v>33</v>
      </c>
      <c r="AQ44" s="6">
        <v>2.5000000000000001E-2</v>
      </c>
      <c r="AR44" s="6">
        <v>6.0000000000000001E-3</v>
      </c>
      <c r="AS44" s="2">
        <v>46117</v>
      </c>
      <c r="AT44" s="13">
        <v>3.1E-2</v>
      </c>
      <c r="AU44" s="13">
        <v>0.03</v>
      </c>
      <c r="AV44" s="13">
        <v>4.3999999999999997E-2</v>
      </c>
      <c r="AW44" s="13">
        <v>5.7000000000000002E-2</v>
      </c>
      <c r="AX44" s="13">
        <v>5.9700000000000003E-2</v>
      </c>
      <c r="AY44" s="13">
        <v>6.4899999999999999E-2</v>
      </c>
      <c r="AZ44" s="13">
        <v>3.4200000000000001E-2</v>
      </c>
      <c r="BA44" s="12">
        <f t="shared" si="2"/>
        <v>2.8200000000000003E-2</v>
      </c>
      <c r="BC44" s="4">
        <v>46117</v>
      </c>
      <c r="BD44" s="6">
        <v>8.3999999999999995E-3</v>
      </c>
      <c r="BE44" s="6">
        <v>8.5000000000000006E-3</v>
      </c>
      <c r="BF44" s="6">
        <v>8.6999999999999994E-3</v>
      </c>
      <c r="BG44" s="3"/>
      <c r="BH44" s="3"/>
      <c r="BI44" s="3"/>
      <c r="BJ44" s="6">
        <v>7.9000000000000008E-3</v>
      </c>
      <c r="BK44" s="2">
        <v>46117</v>
      </c>
      <c r="BL44" s="57">
        <v>3.7600000000000001E-2</v>
      </c>
      <c r="BM44" s="1"/>
      <c r="BN44" s="57">
        <v>5.4800000000000001E-2</v>
      </c>
      <c r="BO44" s="1"/>
      <c r="BP44" s="1"/>
      <c r="BQ44" s="1"/>
      <c r="BR44" s="57">
        <v>3.0800000000000001E-2</v>
      </c>
      <c r="BS44" s="12">
        <f t="shared" si="3"/>
        <v>2.29E-2</v>
      </c>
    </row>
    <row r="45" spans="1:71" x14ac:dyDescent="0.35">
      <c r="A45" s="4">
        <v>46118</v>
      </c>
      <c r="B45" s="3" t="s">
        <v>33</v>
      </c>
      <c r="C45" s="3" t="s">
        <v>33</v>
      </c>
      <c r="D45" s="3" t="s">
        <v>32</v>
      </c>
      <c r="E45" s="3" t="s">
        <v>33</v>
      </c>
      <c r="F45" s="3" t="s">
        <v>32</v>
      </c>
      <c r="G45" s="3" t="s">
        <v>33</v>
      </c>
      <c r="H45" s="9">
        <v>8.5000000000000006E-3</v>
      </c>
      <c r="I45" s="2">
        <v>46118</v>
      </c>
      <c r="J45" s="1" t="s">
        <v>33</v>
      </c>
      <c r="K45" s="1" t="s">
        <v>33</v>
      </c>
      <c r="L45" s="1" t="s">
        <v>32</v>
      </c>
      <c r="M45" s="1" t="s">
        <v>33</v>
      </c>
      <c r="N45" s="1" t="s">
        <v>32</v>
      </c>
      <c r="O45" s="1" t="s">
        <v>32</v>
      </c>
      <c r="P45" s="57">
        <v>3.1E-2</v>
      </c>
      <c r="Q45" s="59">
        <f t="shared" si="4"/>
        <v>2.2499999999999999E-2</v>
      </c>
      <c r="S45" s="4">
        <v>46118</v>
      </c>
      <c r="T45" s="3" t="s">
        <v>33</v>
      </c>
      <c r="U45" s="3" t="s">
        <v>33</v>
      </c>
      <c r="V45" s="3" t="s">
        <v>33</v>
      </c>
      <c r="W45" s="3" t="s">
        <v>33</v>
      </c>
      <c r="X45" s="6">
        <v>0.03</v>
      </c>
      <c r="Y45" s="3" t="s">
        <v>33</v>
      </c>
      <c r="Z45" s="6">
        <v>1.06E-2</v>
      </c>
      <c r="AA45" s="2">
        <v>46118</v>
      </c>
      <c r="AB45" s="1" t="s">
        <v>33</v>
      </c>
      <c r="AC45" s="1" t="s">
        <v>33</v>
      </c>
      <c r="AD45" s="1" t="s">
        <v>33</v>
      </c>
      <c r="AE45" s="1" t="s">
        <v>33</v>
      </c>
      <c r="AF45" s="1" t="s">
        <v>33</v>
      </c>
      <c r="AG45" s="1" t="s">
        <v>33</v>
      </c>
      <c r="AH45" s="57">
        <v>2.5000000000000001E-2</v>
      </c>
      <c r="AI45" s="12">
        <f t="shared" si="1"/>
        <v>1.4400000000000001E-2</v>
      </c>
      <c r="AK45" s="4">
        <v>46118</v>
      </c>
      <c r="AL45" s="6">
        <v>0.02</v>
      </c>
      <c r="AM45" s="3"/>
      <c r="AN45" s="3"/>
      <c r="AO45" s="3"/>
      <c r="AP45" s="3" t="s">
        <v>33</v>
      </c>
      <c r="AQ45" s="6">
        <v>2.5000000000000001E-2</v>
      </c>
      <c r="AR45" s="6">
        <v>6.0000000000000001E-3</v>
      </c>
      <c r="AS45" s="2">
        <v>46118</v>
      </c>
      <c r="AT45" s="13">
        <v>3.1E-2</v>
      </c>
      <c r="AU45" s="13">
        <v>0.03</v>
      </c>
      <c r="AV45" s="13">
        <v>4.3999999999999997E-2</v>
      </c>
      <c r="AW45" s="13">
        <v>5.7000000000000002E-2</v>
      </c>
      <c r="AX45" s="13">
        <v>5.9700000000000003E-2</v>
      </c>
      <c r="AY45" s="13">
        <v>6.4899999999999999E-2</v>
      </c>
      <c r="AZ45" s="13">
        <v>3.4200000000000001E-2</v>
      </c>
      <c r="BA45" s="12">
        <f t="shared" si="2"/>
        <v>2.8200000000000003E-2</v>
      </c>
      <c r="BC45" s="4">
        <v>46118</v>
      </c>
      <c r="BD45" s="6">
        <v>8.3999999999999995E-3</v>
      </c>
      <c r="BE45" s="6">
        <v>8.5000000000000006E-3</v>
      </c>
      <c r="BF45" s="6">
        <v>8.6999999999999994E-3</v>
      </c>
      <c r="BG45" s="6"/>
      <c r="BH45" s="3"/>
      <c r="BI45" s="3"/>
      <c r="BJ45" s="6">
        <v>8.2000000000000007E-3</v>
      </c>
      <c r="BK45" s="2">
        <v>46118</v>
      </c>
      <c r="BL45" s="57">
        <v>3.7600000000000001E-2</v>
      </c>
      <c r="BM45" s="1"/>
      <c r="BN45" s="57">
        <v>5.4800000000000001E-2</v>
      </c>
      <c r="BO45" s="1"/>
      <c r="BP45" s="1"/>
      <c r="BQ45" s="1"/>
      <c r="BR45" s="57">
        <v>3.0800000000000001E-2</v>
      </c>
      <c r="BS45" s="12">
        <f t="shared" si="3"/>
        <v>2.2600000000000002E-2</v>
      </c>
    </row>
    <row r="46" spans="1:71" x14ac:dyDescent="0.35">
      <c r="A46" s="4">
        <v>46119</v>
      </c>
      <c r="B46" s="3" t="s">
        <v>33</v>
      </c>
      <c r="C46" s="3" t="s">
        <v>33</v>
      </c>
      <c r="D46" s="3" t="s">
        <v>32</v>
      </c>
      <c r="E46" s="3" t="s">
        <v>33</v>
      </c>
      <c r="F46" s="3" t="s">
        <v>32</v>
      </c>
      <c r="G46" s="3" t="s">
        <v>33</v>
      </c>
      <c r="H46" s="9">
        <v>8.6999999999999994E-3</v>
      </c>
      <c r="I46" s="2">
        <v>46119</v>
      </c>
      <c r="J46" s="1" t="s">
        <v>33</v>
      </c>
      <c r="K46" s="1" t="s">
        <v>33</v>
      </c>
      <c r="L46" s="1" t="s">
        <v>32</v>
      </c>
      <c r="M46" s="1" t="s">
        <v>33</v>
      </c>
      <c r="N46" s="1" t="s">
        <v>32</v>
      </c>
      <c r="O46" s="1" t="s">
        <v>32</v>
      </c>
      <c r="P46" s="57">
        <v>3.1199999999999999E-2</v>
      </c>
      <c r="Q46" s="59">
        <f t="shared" si="4"/>
        <v>2.2499999999999999E-2</v>
      </c>
      <c r="S46" s="4">
        <v>46119</v>
      </c>
      <c r="T46" s="3" t="s">
        <v>33</v>
      </c>
      <c r="U46" s="3" t="s">
        <v>33</v>
      </c>
      <c r="V46" s="3" t="s">
        <v>33</v>
      </c>
      <c r="W46" s="3" t="s">
        <v>33</v>
      </c>
      <c r="X46" s="6">
        <v>0.03</v>
      </c>
      <c r="Y46" s="3" t="s">
        <v>33</v>
      </c>
      <c r="Z46" s="6">
        <v>1.0800000000000001E-2</v>
      </c>
      <c r="AA46" s="2">
        <v>46119</v>
      </c>
      <c r="AB46" s="1" t="s">
        <v>33</v>
      </c>
      <c r="AC46" s="1" t="s">
        <v>33</v>
      </c>
      <c r="AD46" s="1" t="s">
        <v>33</v>
      </c>
      <c r="AE46" s="1" t="s">
        <v>33</v>
      </c>
      <c r="AF46" s="1" t="s">
        <v>33</v>
      </c>
      <c r="AG46" s="1" t="s">
        <v>33</v>
      </c>
      <c r="AH46" s="57">
        <v>2.5000000000000001E-2</v>
      </c>
      <c r="AI46" s="12">
        <f t="shared" si="1"/>
        <v>1.4200000000000001E-2</v>
      </c>
      <c r="AK46" s="4">
        <v>46119</v>
      </c>
      <c r="AL46" s="6">
        <v>0.02</v>
      </c>
      <c r="AM46" s="3"/>
      <c r="AN46" s="3"/>
      <c r="AO46" s="3"/>
      <c r="AP46" s="3" t="s">
        <v>33</v>
      </c>
      <c r="AQ46" s="6">
        <v>2.5000000000000001E-2</v>
      </c>
      <c r="AR46" s="6">
        <v>6.0000000000000001E-3</v>
      </c>
      <c r="AS46" s="2">
        <v>46119</v>
      </c>
      <c r="AT46" s="13">
        <v>3.39E-2</v>
      </c>
      <c r="AU46" s="13">
        <v>3.4000000000000002E-2</v>
      </c>
      <c r="AV46" s="13">
        <v>4.3900000000000002E-2</v>
      </c>
      <c r="AW46" s="13">
        <v>0.04</v>
      </c>
      <c r="AX46" s="13">
        <v>0.05</v>
      </c>
      <c r="AY46" s="13">
        <v>6.4799999999999996E-2</v>
      </c>
      <c r="AZ46" s="13">
        <v>3.5299999999999998E-2</v>
      </c>
      <c r="BA46" s="12">
        <f t="shared" si="2"/>
        <v>2.93E-2</v>
      </c>
      <c r="BC46" s="4">
        <v>46119</v>
      </c>
      <c r="BD46" s="6">
        <v>8.3999999999999995E-3</v>
      </c>
      <c r="BE46" s="6">
        <v>8.5000000000000006E-3</v>
      </c>
      <c r="BF46" s="6">
        <v>8.6999999999999994E-3</v>
      </c>
      <c r="BG46" s="3"/>
      <c r="BH46" s="3"/>
      <c r="BI46" s="3"/>
      <c r="BJ46" s="6">
        <v>8.5000000000000006E-3</v>
      </c>
      <c r="BK46" s="2">
        <v>46119</v>
      </c>
      <c r="BL46" s="57">
        <v>3.8600000000000002E-2</v>
      </c>
      <c r="BM46" s="1"/>
      <c r="BN46" s="57">
        <v>5.4800000000000001E-2</v>
      </c>
      <c r="BO46" s="1"/>
      <c r="BP46" s="1"/>
      <c r="BQ46" s="1"/>
      <c r="BR46" s="57">
        <v>3.2199999999999999E-2</v>
      </c>
      <c r="BS46" s="12">
        <f t="shared" si="3"/>
        <v>2.3699999999999999E-2</v>
      </c>
    </row>
    <row r="47" spans="1:71" x14ac:dyDescent="0.35">
      <c r="A47" s="4">
        <v>46120</v>
      </c>
      <c r="B47" s="3" t="s">
        <v>33</v>
      </c>
      <c r="C47" s="3" t="s">
        <v>33</v>
      </c>
      <c r="D47" s="3" t="s">
        <v>32</v>
      </c>
      <c r="E47" s="3" t="s">
        <v>33</v>
      </c>
      <c r="F47" s="3" t="s">
        <v>32</v>
      </c>
      <c r="G47" s="3" t="s">
        <v>33</v>
      </c>
      <c r="H47" s="9">
        <v>0.01</v>
      </c>
      <c r="I47" s="2">
        <v>46120</v>
      </c>
      <c r="J47" s="1" t="s">
        <v>33</v>
      </c>
      <c r="K47" s="1" t="s">
        <v>33</v>
      </c>
      <c r="L47" s="1" t="s">
        <v>32</v>
      </c>
      <c r="M47" s="1" t="s">
        <v>33</v>
      </c>
      <c r="N47" s="1" t="s">
        <v>32</v>
      </c>
      <c r="O47" s="1" t="s">
        <v>32</v>
      </c>
      <c r="P47" s="57">
        <v>3.3599999999999998E-2</v>
      </c>
      <c r="Q47" s="59">
        <f t="shared" si="4"/>
        <v>2.3599999999999996E-2</v>
      </c>
      <c r="S47" s="4">
        <v>46120</v>
      </c>
      <c r="T47" s="3" t="s">
        <v>33</v>
      </c>
      <c r="U47" s="3" t="s">
        <v>33</v>
      </c>
      <c r="V47" s="3" t="s">
        <v>33</v>
      </c>
      <c r="W47" s="3" t="s">
        <v>33</v>
      </c>
      <c r="X47" s="6">
        <v>0.03</v>
      </c>
      <c r="Y47" s="3" t="s">
        <v>33</v>
      </c>
      <c r="Z47" s="6">
        <v>1.1599999999999999E-2</v>
      </c>
      <c r="AA47" s="2">
        <v>46120</v>
      </c>
      <c r="AB47" s="1" t="s">
        <v>33</v>
      </c>
      <c r="AC47" s="1" t="s">
        <v>33</v>
      </c>
      <c r="AD47" s="1" t="s">
        <v>33</v>
      </c>
      <c r="AE47" s="1" t="s">
        <v>33</v>
      </c>
      <c r="AF47" s="1" t="s">
        <v>33</v>
      </c>
      <c r="AG47" s="1" t="s">
        <v>33</v>
      </c>
      <c r="AH47" s="57">
        <v>2.5000000000000001E-2</v>
      </c>
      <c r="AI47" s="12">
        <f t="shared" si="1"/>
        <v>1.3400000000000002E-2</v>
      </c>
      <c r="AK47" s="4">
        <v>46120</v>
      </c>
      <c r="AL47" s="6">
        <v>0.02</v>
      </c>
      <c r="AM47" s="3"/>
      <c r="AN47" s="3"/>
      <c r="AO47" s="3"/>
      <c r="AP47" s="3" t="s">
        <v>33</v>
      </c>
      <c r="AQ47" s="6">
        <v>2.5000000000000001E-2</v>
      </c>
      <c r="AR47" s="6">
        <v>7.1999999999999998E-3</v>
      </c>
      <c r="AS47" s="2">
        <v>46120</v>
      </c>
      <c r="AT47" s="13">
        <v>3.39E-2</v>
      </c>
      <c r="AU47" s="13">
        <v>3.49E-2</v>
      </c>
      <c r="AV47" s="13">
        <v>4.3900000000000002E-2</v>
      </c>
      <c r="AW47" s="13">
        <v>4.3999999999999997E-2</v>
      </c>
      <c r="AX47" s="13">
        <v>6.5000000000000002E-2</v>
      </c>
      <c r="AY47" s="13">
        <v>6.5000000000000002E-2</v>
      </c>
      <c r="AZ47" s="13">
        <v>3.6799999999999999E-2</v>
      </c>
      <c r="BA47" s="12">
        <f t="shared" si="2"/>
        <v>2.9600000000000001E-2</v>
      </c>
      <c r="BC47" s="4">
        <v>46120</v>
      </c>
      <c r="BD47" s="6">
        <v>8.3999999999999995E-3</v>
      </c>
      <c r="BE47" s="6">
        <v>8.5000000000000006E-3</v>
      </c>
      <c r="BF47" s="6">
        <v>8.6999999999999994E-3</v>
      </c>
      <c r="BG47" s="3"/>
      <c r="BH47" s="3"/>
      <c r="BI47" s="3"/>
      <c r="BJ47" s="6">
        <v>8.8999999999999999E-3</v>
      </c>
      <c r="BK47" s="2">
        <v>46120</v>
      </c>
      <c r="BL47" s="57">
        <v>4.02E-2</v>
      </c>
      <c r="BM47" s="1"/>
      <c r="BN47" s="57">
        <v>5.4800000000000001E-2</v>
      </c>
      <c r="BO47" s="1"/>
      <c r="BP47" s="1"/>
      <c r="BQ47" s="1"/>
      <c r="BR47" s="57">
        <v>3.3599999999999998E-2</v>
      </c>
      <c r="BS47" s="12">
        <f t="shared" si="3"/>
        <v>2.47E-2</v>
      </c>
    </row>
    <row r="48" spans="1:71" x14ac:dyDescent="0.35">
      <c r="A48" s="4">
        <v>46121</v>
      </c>
      <c r="B48" s="3" t="s">
        <v>33</v>
      </c>
      <c r="C48" s="3" t="s">
        <v>33</v>
      </c>
      <c r="D48" s="3" t="s">
        <v>32</v>
      </c>
      <c r="E48" s="3" t="s">
        <v>33</v>
      </c>
      <c r="F48" s="3" t="s">
        <v>32</v>
      </c>
      <c r="G48" s="3" t="s">
        <v>33</v>
      </c>
      <c r="H48" s="9">
        <v>8.0999999999999996E-3</v>
      </c>
      <c r="I48" s="2">
        <v>46121</v>
      </c>
      <c r="J48" s="1" t="s">
        <v>33</v>
      </c>
      <c r="K48" s="1" t="s">
        <v>33</v>
      </c>
      <c r="L48" s="1" t="s">
        <v>32</v>
      </c>
      <c r="M48" s="1" t="s">
        <v>33</v>
      </c>
      <c r="N48" s="1" t="s">
        <v>32</v>
      </c>
      <c r="O48" s="1" t="s">
        <v>32</v>
      </c>
      <c r="P48" s="57">
        <v>2.76E-2</v>
      </c>
      <c r="Q48" s="59">
        <f t="shared" si="4"/>
        <v>1.95E-2</v>
      </c>
      <c r="S48" s="4">
        <v>46121</v>
      </c>
      <c r="T48" s="3" t="s">
        <v>33</v>
      </c>
      <c r="U48" s="3" t="s">
        <v>33</v>
      </c>
      <c r="V48" s="3" t="s">
        <v>33</v>
      </c>
      <c r="W48" s="3" t="s">
        <v>33</v>
      </c>
      <c r="X48" s="6">
        <v>0.03</v>
      </c>
      <c r="Y48" s="3" t="s">
        <v>33</v>
      </c>
      <c r="Z48" s="6">
        <v>1.18E-2</v>
      </c>
      <c r="AA48" s="2">
        <v>46121</v>
      </c>
      <c r="AB48" s="1" t="s">
        <v>33</v>
      </c>
      <c r="AC48" s="1" t="s">
        <v>33</v>
      </c>
      <c r="AD48" s="1" t="s">
        <v>33</v>
      </c>
      <c r="AE48" s="1" t="s">
        <v>33</v>
      </c>
      <c r="AF48" s="1" t="s">
        <v>33</v>
      </c>
      <c r="AG48" s="1" t="s">
        <v>33</v>
      </c>
      <c r="AH48" s="57">
        <v>2.5000000000000001E-2</v>
      </c>
      <c r="AI48" s="12">
        <f t="shared" si="1"/>
        <v>1.3200000000000002E-2</v>
      </c>
      <c r="AK48" s="4">
        <v>46121</v>
      </c>
      <c r="AL48" s="6">
        <v>0.02</v>
      </c>
      <c r="AM48" s="3"/>
      <c r="AN48" s="3"/>
      <c r="AO48" s="3"/>
      <c r="AP48" s="3" t="s">
        <v>33</v>
      </c>
      <c r="AQ48" s="6">
        <v>2.5000000000000001E-2</v>
      </c>
      <c r="AR48" s="6">
        <v>6.7000000000000002E-3</v>
      </c>
      <c r="AS48" s="2">
        <v>46121</v>
      </c>
      <c r="AT48" s="13">
        <v>0.03</v>
      </c>
      <c r="AU48" s="13">
        <v>0.03</v>
      </c>
      <c r="AV48" s="13">
        <v>4.3900000000000002E-2</v>
      </c>
      <c r="AW48" s="13">
        <v>4.2500000000000003E-2</v>
      </c>
      <c r="AX48" s="13">
        <v>5.2499999999999998E-2</v>
      </c>
      <c r="AY48" s="13">
        <v>6.59E-2</v>
      </c>
      <c r="AZ48" s="13">
        <v>3.2899999999999999E-2</v>
      </c>
      <c r="BA48" s="12">
        <f t="shared" si="2"/>
        <v>2.6199999999999998E-2</v>
      </c>
      <c r="BC48" s="4">
        <v>46121</v>
      </c>
      <c r="BD48" s="6">
        <v>8.3999999999999995E-3</v>
      </c>
      <c r="BE48" s="6">
        <v>8.5000000000000006E-3</v>
      </c>
      <c r="BF48" s="6">
        <v>8.6999999999999994E-3</v>
      </c>
      <c r="BG48" s="3"/>
      <c r="BH48" s="3"/>
      <c r="BI48" s="3"/>
      <c r="BJ48" s="6">
        <v>7.3000000000000001E-3</v>
      </c>
      <c r="BK48" s="2">
        <v>46121</v>
      </c>
      <c r="BL48" s="57">
        <v>3.7499999999999999E-2</v>
      </c>
      <c r="BM48" s="1"/>
      <c r="BN48" s="57">
        <v>5.4800000000000001E-2</v>
      </c>
      <c r="BO48" s="1"/>
      <c r="BP48" s="1"/>
      <c r="BQ48" s="1"/>
      <c r="BR48" s="57">
        <v>2.81E-2</v>
      </c>
      <c r="BS48" s="12">
        <f t="shared" si="3"/>
        <v>2.0799999999999999E-2</v>
      </c>
    </row>
    <row r="49" spans="1:71" x14ac:dyDescent="0.35">
      <c r="A49" s="4">
        <v>46122</v>
      </c>
      <c r="B49" s="3" t="s">
        <v>33</v>
      </c>
      <c r="C49" s="3" t="s">
        <v>33</v>
      </c>
      <c r="D49" s="3" t="s">
        <v>32</v>
      </c>
      <c r="E49" s="3" t="s">
        <v>33</v>
      </c>
      <c r="F49" s="3" t="s">
        <v>32</v>
      </c>
      <c r="G49" s="3" t="s">
        <v>33</v>
      </c>
      <c r="H49" s="9">
        <v>7.7000000000000002E-3</v>
      </c>
      <c r="I49" s="2">
        <v>46122</v>
      </c>
      <c r="J49" s="1" t="s">
        <v>33</v>
      </c>
      <c r="K49" s="1" t="s">
        <v>33</v>
      </c>
      <c r="L49" s="1" t="s">
        <v>32</v>
      </c>
      <c r="M49" s="1" t="s">
        <v>33</v>
      </c>
      <c r="N49" s="1" t="s">
        <v>32</v>
      </c>
      <c r="O49" s="1" t="s">
        <v>32</v>
      </c>
      <c r="P49" s="57">
        <v>2.6800000000000001E-2</v>
      </c>
      <c r="Q49" s="59">
        <f t="shared" si="4"/>
        <v>1.9099999999999999E-2</v>
      </c>
      <c r="S49" s="4">
        <v>46122</v>
      </c>
      <c r="T49" s="3" t="s">
        <v>33</v>
      </c>
      <c r="U49" s="3" t="s">
        <v>33</v>
      </c>
      <c r="V49" s="3" t="s">
        <v>33</v>
      </c>
      <c r="W49" s="3" t="s">
        <v>33</v>
      </c>
      <c r="X49" s="6">
        <v>0.03</v>
      </c>
      <c r="Y49" s="3" t="s">
        <v>33</v>
      </c>
      <c r="Z49" s="6">
        <v>1.18E-2</v>
      </c>
      <c r="AA49" s="2">
        <v>46122</v>
      </c>
      <c r="AB49" s="1" t="s">
        <v>33</v>
      </c>
      <c r="AC49" s="1" t="s">
        <v>33</v>
      </c>
      <c r="AD49" s="1" t="s">
        <v>33</v>
      </c>
      <c r="AE49" s="1" t="s">
        <v>33</v>
      </c>
      <c r="AF49" s="1" t="s">
        <v>33</v>
      </c>
      <c r="AG49" s="1" t="s">
        <v>33</v>
      </c>
      <c r="AH49" s="57">
        <v>2.5000000000000001E-2</v>
      </c>
      <c r="AI49" s="12">
        <f t="shared" si="1"/>
        <v>1.3200000000000002E-2</v>
      </c>
      <c r="AK49" s="4">
        <v>46122</v>
      </c>
      <c r="AL49" s="6">
        <v>0.02</v>
      </c>
      <c r="AM49" s="3"/>
      <c r="AN49" s="3"/>
      <c r="AO49" s="3"/>
      <c r="AP49" s="3" t="s">
        <v>33</v>
      </c>
      <c r="AQ49" s="6">
        <v>2.5000000000000001E-2</v>
      </c>
      <c r="AR49" s="6">
        <v>6.8999999999999999E-3</v>
      </c>
      <c r="AS49" s="2">
        <v>46122</v>
      </c>
      <c r="AT49" s="13">
        <v>0.03</v>
      </c>
      <c r="AU49" s="13">
        <v>3.49E-2</v>
      </c>
      <c r="AV49" s="13">
        <v>4.3999999999999997E-2</v>
      </c>
      <c r="AW49" s="13">
        <v>4.3900000000000002E-2</v>
      </c>
      <c r="AX49" s="13">
        <v>6.3899999999999998E-2</v>
      </c>
      <c r="AY49" s="13">
        <v>6.4899999999999999E-2</v>
      </c>
      <c r="AZ49" s="13">
        <v>3.2899999999999999E-2</v>
      </c>
      <c r="BA49" s="12">
        <f t="shared" si="2"/>
        <v>2.5999999999999999E-2</v>
      </c>
      <c r="BC49" s="4">
        <v>46122</v>
      </c>
      <c r="BD49" s="6">
        <v>8.3999999999999995E-3</v>
      </c>
      <c r="BE49" s="6">
        <v>8.5000000000000006E-3</v>
      </c>
      <c r="BF49" s="6">
        <v>8.6999999999999994E-3</v>
      </c>
      <c r="BG49" s="3"/>
      <c r="BH49" s="3"/>
      <c r="BI49" s="3"/>
      <c r="BJ49" s="6">
        <v>7.3000000000000001E-3</v>
      </c>
      <c r="BK49" s="2">
        <v>46122</v>
      </c>
      <c r="BL49" s="57">
        <v>3.6999999999999998E-2</v>
      </c>
      <c r="BM49" s="1"/>
      <c r="BN49" s="57">
        <v>5.4800000000000001E-2</v>
      </c>
      <c r="BO49" s="1"/>
      <c r="BP49" s="1"/>
      <c r="BQ49" s="1"/>
      <c r="BR49" s="57">
        <v>2.7900000000000001E-2</v>
      </c>
      <c r="BS49" s="12">
        <f t="shared" si="3"/>
        <v>2.06E-2</v>
      </c>
    </row>
    <row r="50" spans="1:71" x14ac:dyDescent="0.35">
      <c r="A50" s="4">
        <v>46123</v>
      </c>
      <c r="B50" s="3" t="s">
        <v>33</v>
      </c>
      <c r="C50" s="3" t="s">
        <v>33</v>
      </c>
      <c r="D50" s="3" t="s">
        <v>32</v>
      </c>
      <c r="E50" s="3" t="s">
        <v>33</v>
      </c>
      <c r="F50" s="3" t="s">
        <v>32</v>
      </c>
      <c r="G50" s="3" t="s">
        <v>33</v>
      </c>
      <c r="H50" s="9">
        <v>7.4000000000000003E-3</v>
      </c>
      <c r="I50" s="2">
        <v>46123</v>
      </c>
      <c r="J50" s="1" t="s">
        <v>33</v>
      </c>
      <c r="K50" s="1" t="s">
        <v>33</v>
      </c>
      <c r="L50" s="1" t="s">
        <v>32</v>
      </c>
      <c r="M50" s="1" t="s">
        <v>33</v>
      </c>
      <c r="N50" s="1" t="s">
        <v>32</v>
      </c>
      <c r="O50" s="1" t="s">
        <v>32</v>
      </c>
      <c r="P50" s="57">
        <v>2.64E-2</v>
      </c>
      <c r="Q50" s="59">
        <f t="shared" si="4"/>
        <v>1.9E-2</v>
      </c>
      <c r="S50" s="4">
        <v>46123</v>
      </c>
      <c r="T50" s="3" t="s">
        <v>33</v>
      </c>
      <c r="U50" s="3" t="s">
        <v>33</v>
      </c>
      <c r="V50" s="3" t="s">
        <v>33</v>
      </c>
      <c r="W50" s="3" t="s">
        <v>33</v>
      </c>
      <c r="X50" s="6">
        <v>0.03</v>
      </c>
      <c r="Y50" s="3" t="s">
        <v>33</v>
      </c>
      <c r="Z50" s="6">
        <v>1.18E-2</v>
      </c>
      <c r="AA50" s="2">
        <v>46123</v>
      </c>
      <c r="AB50" s="1" t="s">
        <v>33</v>
      </c>
      <c r="AC50" s="1" t="s">
        <v>33</v>
      </c>
      <c r="AD50" s="1" t="s">
        <v>33</v>
      </c>
      <c r="AE50" s="1" t="s">
        <v>33</v>
      </c>
      <c r="AF50" s="1" t="s">
        <v>33</v>
      </c>
      <c r="AG50" s="1" t="s">
        <v>33</v>
      </c>
      <c r="AH50" s="57">
        <v>2.5000000000000001E-2</v>
      </c>
      <c r="AI50" s="12">
        <f t="shared" si="1"/>
        <v>1.3200000000000002E-2</v>
      </c>
      <c r="AK50" s="4">
        <v>46123</v>
      </c>
      <c r="AL50" s="6">
        <v>0.02</v>
      </c>
      <c r="AM50" s="3"/>
      <c r="AN50" s="3"/>
      <c r="AO50" s="3"/>
      <c r="AP50" s="3" t="s">
        <v>33</v>
      </c>
      <c r="AQ50" s="6">
        <v>2.5000000000000001E-2</v>
      </c>
      <c r="AR50" s="6">
        <v>6.6E-3</v>
      </c>
      <c r="AS50" s="2">
        <v>46123</v>
      </c>
      <c r="AT50" s="13">
        <v>2.9899999999999999E-2</v>
      </c>
      <c r="AU50" s="13">
        <v>3.44E-2</v>
      </c>
      <c r="AV50" s="13">
        <v>3.49E-2</v>
      </c>
      <c r="AW50" s="13">
        <v>4.3799999999999999E-2</v>
      </c>
      <c r="AX50" s="13">
        <v>0.05</v>
      </c>
      <c r="AY50" s="13">
        <v>5.5E-2</v>
      </c>
      <c r="AZ50" s="13">
        <v>3.2800000000000003E-2</v>
      </c>
      <c r="BA50" s="12">
        <f t="shared" si="2"/>
        <v>2.6200000000000001E-2</v>
      </c>
      <c r="BC50" s="4">
        <v>46123</v>
      </c>
      <c r="BD50" s="6">
        <v>8.3999999999999995E-3</v>
      </c>
      <c r="BE50" s="6">
        <v>8.5000000000000006E-3</v>
      </c>
      <c r="BF50" s="6">
        <v>8.6999999999999994E-3</v>
      </c>
      <c r="BG50" s="3"/>
      <c r="BH50" s="3"/>
      <c r="BI50" s="3"/>
      <c r="BJ50" s="6">
        <v>7.4000000000000003E-3</v>
      </c>
      <c r="BK50" s="2">
        <v>46123</v>
      </c>
      <c r="BL50" s="57">
        <v>3.5700000000000003E-2</v>
      </c>
      <c r="BM50" s="1"/>
      <c r="BN50" s="57">
        <v>5.4800000000000001E-2</v>
      </c>
      <c r="BO50" s="1"/>
      <c r="BP50" s="1"/>
      <c r="BQ50" s="1"/>
      <c r="BR50" s="57">
        <v>2.8199999999999999E-2</v>
      </c>
      <c r="BS50" s="12">
        <f t="shared" si="3"/>
        <v>2.0799999999999999E-2</v>
      </c>
    </row>
    <row r="51" spans="1:71" x14ac:dyDescent="0.35">
      <c r="A51" s="4">
        <v>46124</v>
      </c>
      <c r="B51" s="3" t="s">
        <v>33</v>
      </c>
      <c r="C51" s="3" t="s">
        <v>33</v>
      </c>
      <c r="D51" s="3" t="s">
        <v>32</v>
      </c>
      <c r="E51" s="3" t="s">
        <v>33</v>
      </c>
      <c r="F51" s="3" t="s">
        <v>32</v>
      </c>
      <c r="G51" s="3" t="s">
        <v>33</v>
      </c>
      <c r="H51" s="9">
        <v>7.4999999999999997E-3</v>
      </c>
      <c r="I51" s="2">
        <v>46124</v>
      </c>
      <c r="J51" s="1" t="s">
        <v>33</v>
      </c>
      <c r="K51" s="1" t="s">
        <v>33</v>
      </c>
      <c r="L51" s="1" t="s">
        <v>32</v>
      </c>
      <c r="M51" s="1" t="s">
        <v>33</v>
      </c>
      <c r="N51" s="1" t="s">
        <v>32</v>
      </c>
      <c r="O51" s="1" t="s">
        <v>32</v>
      </c>
      <c r="P51" s="57">
        <v>2.6499999999999999E-2</v>
      </c>
      <c r="Q51" s="59">
        <f t="shared" si="4"/>
        <v>1.9E-2</v>
      </c>
      <c r="S51" s="4">
        <v>46124</v>
      </c>
      <c r="T51" s="3" t="s">
        <v>33</v>
      </c>
      <c r="U51" s="3" t="s">
        <v>33</v>
      </c>
      <c r="V51" s="3" t="s">
        <v>33</v>
      </c>
      <c r="W51" s="3" t="s">
        <v>33</v>
      </c>
      <c r="X51" s="6">
        <v>0.03</v>
      </c>
      <c r="Y51" s="3" t="s">
        <v>33</v>
      </c>
      <c r="Z51" s="6">
        <v>1.17E-2</v>
      </c>
      <c r="AA51" s="2">
        <v>46124</v>
      </c>
      <c r="AB51" s="1" t="s">
        <v>33</v>
      </c>
      <c r="AC51" s="1" t="s">
        <v>33</v>
      </c>
      <c r="AD51" s="1" t="s">
        <v>33</v>
      </c>
      <c r="AE51" s="1" t="s">
        <v>33</v>
      </c>
      <c r="AF51" s="1" t="s">
        <v>33</v>
      </c>
      <c r="AG51" s="1" t="s">
        <v>33</v>
      </c>
      <c r="AH51" s="57">
        <v>2.5000000000000001E-2</v>
      </c>
      <c r="AI51" s="12">
        <f t="shared" si="1"/>
        <v>1.3300000000000001E-2</v>
      </c>
      <c r="AK51" s="4">
        <v>46124</v>
      </c>
      <c r="AL51" s="6">
        <v>0.02</v>
      </c>
      <c r="AM51" s="3"/>
      <c r="AN51" s="3"/>
      <c r="AO51" s="3"/>
      <c r="AP51" s="3" t="s">
        <v>33</v>
      </c>
      <c r="AQ51" s="6">
        <v>2.5000000000000001E-2</v>
      </c>
      <c r="AR51" s="6">
        <v>6.4000000000000003E-3</v>
      </c>
      <c r="AS51" s="2">
        <v>46124</v>
      </c>
      <c r="AT51" s="13">
        <v>2.9899999999999999E-2</v>
      </c>
      <c r="AU51" s="13">
        <v>3.44E-2</v>
      </c>
      <c r="AV51" s="13">
        <v>3.49E-2</v>
      </c>
      <c r="AW51" s="13">
        <v>4.3900000000000002E-2</v>
      </c>
      <c r="AX51" s="13">
        <v>0.05</v>
      </c>
      <c r="AY51" s="13">
        <v>5.5E-2</v>
      </c>
      <c r="AZ51" s="13">
        <v>3.2899999999999999E-2</v>
      </c>
      <c r="BA51" s="12">
        <f t="shared" si="2"/>
        <v>2.6499999999999999E-2</v>
      </c>
      <c r="BC51" s="4">
        <v>46124</v>
      </c>
      <c r="BD51" s="6">
        <v>8.3999999999999995E-3</v>
      </c>
      <c r="BE51" s="6">
        <v>8.5000000000000006E-3</v>
      </c>
      <c r="BF51" s="6">
        <v>8.6999999999999994E-3</v>
      </c>
      <c r="BG51" s="3"/>
      <c r="BH51" s="3"/>
      <c r="BI51" s="3"/>
      <c r="BJ51" s="6">
        <v>7.1000000000000004E-3</v>
      </c>
      <c r="BK51" s="2">
        <v>46124</v>
      </c>
      <c r="BL51" s="57">
        <v>3.5700000000000003E-2</v>
      </c>
      <c r="BM51" s="1"/>
      <c r="BN51" s="57">
        <v>5.4800000000000001E-2</v>
      </c>
      <c r="BO51" s="1"/>
      <c r="BP51" s="1"/>
      <c r="BQ51" s="1"/>
      <c r="BR51" s="57">
        <v>2.7E-2</v>
      </c>
      <c r="BS51" s="12">
        <f t="shared" si="3"/>
        <v>1.9900000000000001E-2</v>
      </c>
    </row>
    <row r="52" spans="1:71" x14ac:dyDescent="0.35">
      <c r="A52" s="4">
        <v>46125</v>
      </c>
      <c r="B52" s="3" t="s">
        <v>33</v>
      </c>
      <c r="C52" s="3" t="s">
        <v>33</v>
      </c>
      <c r="D52" s="3" t="s">
        <v>32</v>
      </c>
      <c r="E52" s="3" t="s">
        <v>33</v>
      </c>
      <c r="F52" s="3" t="s">
        <v>32</v>
      </c>
      <c r="G52" s="3" t="s">
        <v>33</v>
      </c>
      <c r="H52" s="9">
        <v>7.4999999999999997E-3</v>
      </c>
      <c r="I52" s="2">
        <v>46125</v>
      </c>
      <c r="J52" s="1" t="s">
        <v>33</v>
      </c>
      <c r="K52" s="1" t="s">
        <v>33</v>
      </c>
      <c r="L52" s="1" t="s">
        <v>32</v>
      </c>
      <c r="M52" s="1" t="s">
        <v>33</v>
      </c>
      <c r="N52" s="1" t="s">
        <v>32</v>
      </c>
      <c r="O52" s="1" t="s">
        <v>32</v>
      </c>
      <c r="P52" s="57">
        <v>2.6499999999999999E-2</v>
      </c>
      <c r="Q52" s="59">
        <f t="shared" si="4"/>
        <v>1.9E-2</v>
      </c>
      <c r="S52" s="4">
        <v>46125</v>
      </c>
      <c r="T52" s="3" t="s">
        <v>33</v>
      </c>
      <c r="U52" s="3" t="s">
        <v>33</v>
      </c>
      <c r="V52" s="3" t="s">
        <v>33</v>
      </c>
      <c r="W52" s="3" t="s">
        <v>33</v>
      </c>
      <c r="X52" s="6">
        <v>0.03</v>
      </c>
      <c r="Y52" s="3" t="s">
        <v>33</v>
      </c>
      <c r="Z52" s="6">
        <v>1.17E-2</v>
      </c>
      <c r="AA52" s="2">
        <v>46125</v>
      </c>
      <c r="AB52" s="1" t="s">
        <v>33</v>
      </c>
      <c r="AC52" s="1" t="s">
        <v>33</v>
      </c>
      <c r="AD52" s="1" t="s">
        <v>33</v>
      </c>
      <c r="AE52" s="1" t="s">
        <v>33</v>
      </c>
      <c r="AF52" s="1" t="s">
        <v>33</v>
      </c>
      <c r="AG52" s="1" t="s">
        <v>33</v>
      </c>
      <c r="AH52" s="57">
        <v>2.5000000000000001E-2</v>
      </c>
      <c r="AI52" s="12">
        <f t="shared" si="1"/>
        <v>1.3300000000000001E-2</v>
      </c>
      <c r="AK52" s="4">
        <v>46125</v>
      </c>
      <c r="AL52" s="6">
        <v>0.02</v>
      </c>
      <c r="AM52" s="3"/>
      <c r="AN52" s="3"/>
      <c r="AO52" s="3"/>
      <c r="AP52" s="3" t="s">
        <v>33</v>
      </c>
      <c r="AQ52" s="6">
        <v>2.5000000000000001E-2</v>
      </c>
      <c r="AR52" s="6">
        <v>6.6E-3</v>
      </c>
      <c r="AS52" s="2">
        <v>46125</v>
      </c>
      <c r="AT52" s="13">
        <v>2.9899999999999999E-2</v>
      </c>
      <c r="AU52" s="13">
        <v>3.44E-2</v>
      </c>
      <c r="AV52" s="13">
        <v>3.49E-2</v>
      </c>
      <c r="AW52" s="13">
        <v>4.3900000000000002E-2</v>
      </c>
      <c r="AX52" s="13">
        <v>0.05</v>
      </c>
      <c r="AY52" s="13">
        <v>5.5E-2</v>
      </c>
      <c r="AZ52" s="13">
        <v>3.2899999999999999E-2</v>
      </c>
      <c r="BA52" s="12">
        <f t="shared" si="2"/>
        <v>2.6299999999999997E-2</v>
      </c>
      <c r="BC52" s="4">
        <v>46125</v>
      </c>
      <c r="BD52" s="6">
        <v>8.3999999999999995E-3</v>
      </c>
      <c r="BE52" s="6">
        <v>8.5000000000000006E-3</v>
      </c>
      <c r="BF52" s="6">
        <v>8.6999999999999994E-3</v>
      </c>
      <c r="BG52" s="3"/>
      <c r="BH52" s="3"/>
      <c r="BI52" s="3"/>
      <c r="BJ52" s="6">
        <v>7.1000000000000004E-3</v>
      </c>
      <c r="BK52" s="2">
        <v>46125</v>
      </c>
      <c r="BL52" s="57">
        <v>3.5700000000000003E-2</v>
      </c>
      <c r="BM52" s="1"/>
      <c r="BN52" s="57">
        <v>5.4800000000000001E-2</v>
      </c>
      <c r="BO52" s="1"/>
      <c r="BP52" s="1"/>
      <c r="BQ52" s="1"/>
      <c r="BR52" s="57">
        <v>2.7099999999999999E-2</v>
      </c>
      <c r="BS52" s="12">
        <f t="shared" si="3"/>
        <v>1.9999999999999997E-2</v>
      </c>
    </row>
    <row r="53" spans="1:71" x14ac:dyDescent="0.35">
      <c r="A53" s="4">
        <v>46126</v>
      </c>
      <c r="B53" s="3" t="s">
        <v>33</v>
      </c>
      <c r="C53" s="3" t="s">
        <v>33</v>
      </c>
      <c r="D53" s="3" t="s">
        <v>32</v>
      </c>
      <c r="E53" s="3" t="s">
        <v>33</v>
      </c>
      <c r="F53" s="3" t="s">
        <v>32</v>
      </c>
      <c r="G53" s="3" t="s">
        <v>33</v>
      </c>
      <c r="H53" s="9">
        <v>8.6E-3</v>
      </c>
      <c r="I53" s="2">
        <v>46126</v>
      </c>
      <c r="J53" s="1" t="s">
        <v>33</v>
      </c>
      <c r="K53" s="1" t="s">
        <v>33</v>
      </c>
      <c r="L53" s="1" t="s">
        <v>32</v>
      </c>
      <c r="M53" s="1" t="s">
        <v>33</v>
      </c>
      <c r="N53" s="1" t="s">
        <v>32</v>
      </c>
      <c r="O53" s="1" t="s">
        <v>32</v>
      </c>
      <c r="P53" s="57">
        <v>2.8500000000000001E-2</v>
      </c>
      <c r="Q53" s="84">
        <f t="shared" si="4"/>
        <v>1.9900000000000001E-2</v>
      </c>
      <c r="S53" s="4">
        <v>46126</v>
      </c>
      <c r="T53" s="3" t="s">
        <v>33</v>
      </c>
      <c r="U53" s="3" t="s">
        <v>33</v>
      </c>
      <c r="V53" s="3" t="s">
        <v>33</v>
      </c>
      <c r="W53" s="3" t="s">
        <v>33</v>
      </c>
      <c r="X53" s="6">
        <v>0.03</v>
      </c>
      <c r="Y53" s="3" t="s">
        <v>33</v>
      </c>
      <c r="Z53" s="6">
        <v>1.23E-2</v>
      </c>
      <c r="AA53" s="2">
        <v>46126</v>
      </c>
      <c r="AB53" s="1" t="s">
        <v>33</v>
      </c>
      <c r="AC53" s="1" t="s">
        <v>33</v>
      </c>
      <c r="AD53" s="1" t="s">
        <v>33</v>
      </c>
      <c r="AE53" s="1" t="s">
        <v>33</v>
      </c>
      <c r="AF53" s="1" t="s">
        <v>33</v>
      </c>
      <c r="AG53" s="1" t="s">
        <v>33</v>
      </c>
      <c r="AH53" s="57">
        <v>2.5000000000000001E-2</v>
      </c>
      <c r="AI53" s="12">
        <f t="shared" si="1"/>
        <v>1.2700000000000001E-2</v>
      </c>
      <c r="AK53" s="4">
        <v>46126</v>
      </c>
      <c r="AL53" s="6">
        <v>0.02</v>
      </c>
      <c r="AM53" s="3"/>
      <c r="AN53" s="3"/>
      <c r="AO53" s="3"/>
      <c r="AP53" s="3" t="s">
        <v>33</v>
      </c>
      <c r="AQ53" s="6">
        <v>2.7E-2</v>
      </c>
      <c r="AR53" s="6">
        <v>7.3000000000000001E-3</v>
      </c>
      <c r="AS53" s="2">
        <v>46126</v>
      </c>
      <c r="AT53" s="13">
        <v>0.03</v>
      </c>
      <c r="AU53" s="13">
        <v>3.4000000000000002E-2</v>
      </c>
      <c r="AV53" s="13">
        <v>3.5000000000000003E-2</v>
      </c>
      <c r="AW53" s="13">
        <v>4.3900000000000002E-2</v>
      </c>
      <c r="AX53" s="13">
        <v>6.4699999999999994E-2</v>
      </c>
      <c r="AY53" s="13">
        <v>6.5000000000000002E-2</v>
      </c>
      <c r="AZ53" s="13">
        <v>3.2899999999999999E-2</v>
      </c>
      <c r="BA53" s="12">
        <f t="shared" si="2"/>
        <v>2.5599999999999998E-2</v>
      </c>
      <c r="BC53" s="4">
        <v>46126</v>
      </c>
      <c r="BD53" s="6">
        <v>8.3999999999999995E-3</v>
      </c>
      <c r="BE53" s="6">
        <v>8.5000000000000006E-3</v>
      </c>
      <c r="BF53" s="6">
        <v>8.6999999999999994E-3</v>
      </c>
      <c r="BG53" s="3"/>
      <c r="BH53" s="3"/>
      <c r="BI53" s="3"/>
      <c r="BJ53" s="6">
        <v>7.4999999999999997E-3</v>
      </c>
      <c r="BK53" s="2">
        <v>46126</v>
      </c>
      <c r="BL53" s="57">
        <v>3.5700000000000003E-2</v>
      </c>
      <c r="BM53" s="1"/>
      <c r="BN53" s="57">
        <v>5.4800000000000001E-2</v>
      </c>
      <c r="BO53" s="1"/>
      <c r="BP53" s="1"/>
      <c r="BQ53" s="1"/>
      <c r="BR53" s="57">
        <v>2.8500000000000001E-2</v>
      </c>
      <c r="BS53" s="12">
        <f t="shared" si="3"/>
        <v>2.1000000000000001E-2</v>
      </c>
    </row>
    <row r="54" spans="1:71" x14ac:dyDescent="0.35">
      <c r="A54" s="4">
        <v>46127</v>
      </c>
      <c r="B54" s="3" t="s">
        <v>33</v>
      </c>
      <c r="C54" s="3" t="s">
        <v>33</v>
      </c>
      <c r="D54" s="3" t="s">
        <v>32</v>
      </c>
      <c r="E54" s="3" t="s">
        <v>33</v>
      </c>
      <c r="F54" s="3" t="s">
        <v>32</v>
      </c>
      <c r="G54" s="3" t="s">
        <v>33</v>
      </c>
      <c r="H54" s="9">
        <v>7.9000000000000008E-3</v>
      </c>
      <c r="I54" s="2">
        <v>46127</v>
      </c>
      <c r="J54" s="1" t="s">
        <v>33</v>
      </c>
      <c r="K54" s="1" t="s">
        <v>33</v>
      </c>
      <c r="L54" s="1" t="s">
        <v>32</v>
      </c>
      <c r="M54" s="1" t="s">
        <v>33</v>
      </c>
      <c r="N54" s="1" t="s">
        <v>32</v>
      </c>
      <c r="O54" s="1" t="s">
        <v>32</v>
      </c>
      <c r="P54" s="57">
        <v>2.7199999999999998E-2</v>
      </c>
      <c r="Q54" s="84">
        <f t="shared" si="4"/>
        <v>1.9299999999999998E-2</v>
      </c>
      <c r="S54" s="4">
        <v>46127</v>
      </c>
      <c r="T54" s="3" t="s">
        <v>33</v>
      </c>
      <c r="U54" s="3" t="s">
        <v>33</v>
      </c>
      <c r="V54" s="3" t="s">
        <v>33</v>
      </c>
      <c r="W54" s="3" t="s">
        <v>33</v>
      </c>
      <c r="X54" s="6">
        <v>0.03</v>
      </c>
      <c r="Y54" s="3" t="s">
        <v>33</v>
      </c>
      <c r="Z54" s="6">
        <v>1.21E-2</v>
      </c>
      <c r="AA54" s="2">
        <v>46127</v>
      </c>
      <c r="AB54" s="1" t="s">
        <v>33</v>
      </c>
      <c r="AC54" s="1" t="s">
        <v>33</v>
      </c>
      <c r="AD54" s="1" t="s">
        <v>33</v>
      </c>
      <c r="AE54" s="1" t="s">
        <v>33</v>
      </c>
      <c r="AF54" s="1" t="s">
        <v>33</v>
      </c>
      <c r="AG54" s="1" t="s">
        <v>33</v>
      </c>
      <c r="AH54" s="57">
        <v>2.5000000000000001E-2</v>
      </c>
      <c r="AI54" s="12">
        <f t="shared" si="1"/>
        <v>1.2900000000000002E-2</v>
      </c>
      <c r="AK54" s="4">
        <v>46127</v>
      </c>
      <c r="AL54" s="6">
        <v>0.02</v>
      </c>
      <c r="AM54" s="3"/>
      <c r="AN54" s="3"/>
      <c r="AO54" s="3"/>
      <c r="AP54" s="3" t="s">
        <v>33</v>
      </c>
      <c r="AQ54" s="6">
        <v>2.7E-2</v>
      </c>
      <c r="AR54" s="6">
        <v>7.7000000000000002E-3</v>
      </c>
      <c r="AS54" s="2">
        <v>46127</v>
      </c>
      <c r="AT54" s="13">
        <v>4.2000000000000003E-2</v>
      </c>
      <c r="AU54" s="13">
        <v>3.2000000000000001E-2</v>
      </c>
      <c r="AV54" s="13">
        <v>3.5000000000000003E-2</v>
      </c>
      <c r="AW54" s="13">
        <v>4.3499999999999997E-2</v>
      </c>
      <c r="AX54" s="13">
        <v>6.4600000000000005E-2</v>
      </c>
      <c r="AY54" s="13">
        <v>6.5000000000000002E-2</v>
      </c>
      <c r="AZ54" s="13">
        <v>3.2899999999999999E-2</v>
      </c>
      <c r="BA54" s="12">
        <f t="shared" si="2"/>
        <v>2.52E-2</v>
      </c>
      <c r="BC54" s="4">
        <v>46127</v>
      </c>
      <c r="BD54" s="6">
        <v>8.3999999999999995E-3</v>
      </c>
      <c r="BE54" s="6">
        <v>8.5000000000000006E-3</v>
      </c>
      <c r="BF54" s="6">
        <v>8.6999999999999994E-3</v>
      </c>
      <c r="BG54" s="3"/>
      <c r="BH54" s="3"/>
      <c r="BI54" s="3"/>
      <c r="BJ54" s="6">
        <v>6.8999999999999999E-3</v>
      </c>
      <c r="BK54" s="2">
        <v>46127</v>
      </c>
      <c r="BL54" s="57">
        <v>3.5700000000000003E-2</v>
      </c>
      <c r="BM54" s="1"/>
      <c r="BN54" s="57">
        <v>5.4800000000000001E-2</v>
      </c>
      <c r="BO54" s="1"/>
      <c r="BP54" s="1"/>
      <c r="BQ54" s="1"/>
      <c r="BR54" s="57">
        <v>2.7699999999999999E-2</v>
      </c>
      <c r="BS54" s="12">
        <f t="shared" si="3"/>
        <v>2.0799999999999999E-2</v>
      </c>
    </row>
    <row r="55" spans="1:71" x14ac:dyDescent="0.35">
      <c r="A55" s="4">
        <v>46128</v>
      </c>
      <c r="B55" s="3" t="s">
        <v>33</v>
      </c>
      <c r="C55" s="3" t="s">
        <v>33</v>
      </c>
      <c r="D55" s="3" t="s">
        <v>32</v>
      </c>
      <c r="E55" s="3" t="s">
        <v>33</v>
      </c>
      <c r="F55" s="3" t="s">
        <v>32</v>
      </c>
      <c r="G55" s="3" t="s">
        <v>33</v>
      </c>
      <c r="H55" s="9">
        <v>8.0999999999999996E-3</v>
      </c>
      <c r="I55" s="2">
        <v>46128</v>
      </c>
      <c r="J55" s="1" t="s">
        <v>33</v>
      </c>
      <c r="K55" s="1" t="s">
        <v>33</v>
      </c>
      <c r="L55" s="1" t="s">
        <v>32</v>
      </c>
      <c r="M55" s="1" t="s">
        <v>33</v>
      </c>
      <c r="N55" s="1" t="s">
        <v>32</v>
      </c>
      <c r="O55" s="1" t="s">
        <v>32</v>
      </c>
      <c r="P55" s="57">
        <v>2.7400000000000001E-2</v>
      </c>
      <c r="Q55" s="84">
        <f t="shared" si="4"/>
        <v>1.9300000000000001E-2</v>
      </c>
      <c r="S55" s="4">
        <v>46128</v>
      </c>
      <c r="T55" s="3" t="s">
        <v>33</v>
      </c>
      <c r="U55" s="3" t="s">
        <v>33</v>
      </c>
      <c r="V55" s="3" t="s">
        <v>33</v>
      </c>
      <c r="W55" s="3" t="s">
        <v>33</v>
      </c>
      <c r="X55" s="6">
        <v>0.03</v>
      </c>
      <c r="Y55" s="3" t="s">
        <v>33</v>
      </c>
      <c r="Z55" s="6">
        <v>1.24E-2</v>
      </c>
      <c r="AA55" s="2">
        <v>46128</v>
      </c>
      <c r="AB55" s="1" t="s">
        <v>33</v>
      </c>
      <c r="AC55" s="1" t="s">
        <v>33</v>
      </c>
      <c r="AD55" s="1" t="s">
        <v>33</v>
      </c>
      <c r="AE55" s="1" t="s">
        <v>33</v>
      </c>
      <c r="AF55" s="1" t="s">
        <v>33</v>
      </c>
      <c r="AG55" s="1" t="s">
        <v>33</v>
      </c>
      <c r="AH55" s="57">
        <v>2.5000000000000001E-2</v>
      </c>
      <c r="AI55" s="12">
        <f t="shared" si="1"/>
        <v>1.2600000000000002E-2</v>
      </c>
      <c r="AK55" s="4">
        <v>46128</v>
      </c>
      <c r="AL55" s="6">
        <v>0.02</v>
      </c>
      <c r="AM55" s="3"/>
      <c r="AN55" s="3"/>
      <c r="AO55" s="3"/>
      <c r="AP55" s="3" t="s">
        <v>33</v>
      </c>
      <c r="AQ55" s="6">
        <v>2.5000000000000001E-2</v>
      </c>
      <c r="AR55" s="6">
        <v>7.7000000000000002E-3</v>
      </c>
      <c r="AS55" s="2">
        <v>46128</v>
      </c>
      <c r="AT55" s="13">
        <v>0.03</v>
      </c>
      <c r="AU55" s="13">
        <v>3.2000000000000001E-2</v>
      </c>
      <c r="AV55" s="13">
        <v>4.2900000000000001E-2</v>
      </c>
      <c r="AW55" s="13">
        <v>4.3499999999999997E-2</v>
      </c>
      <c r="AX55" s="13">
        <v>6.4899999999999999E-2</v>
      </c>
      <c r="AY55" s="13">
        <v>6.5000000000000002E-2</v>
      </c>
      <c r="AZ55" s="13">
        <v>3.2899999999999999E-2</v>
      </c>
      <c r="BA55" s="12">
        <f t="shared" si="2"/>
        <v>2.52E-2</v>
      </c>
      <c r="BC55" s="4">
        <v>46128</v>
      </c>
      <c r="BD55" s="6">
        <v>8.3999999999999995E-3</v>
      </c>
      <c r="BE55" s="6">
        <v>8.5000000000000006E-3</v>
      </c>
      <c r="BF55" s="6">
        <v>8.6999999999999994E-3</v>
      </c>
      <c r="BG55" s="3"/>
      <c r="BH55" s="3"/>
      <c r="BI55" s="3"/>
      <c r="BJ55" s="6">
        <v>6.7999999999999996E-3</v>
      </c>
      <c r="BK55" s="2">
        <v>46128</v>
      </c>
      <c r="BL55" s="57">
        <v>3.5700000000000003E-2</v>
      </c>
      <c r="BM55" s="1"/>
      <c r="BN55" s="57">
        <v>5.4800000000000001E-2</v>
      </c>
      <c r="BO55" s="1"/>
      <c r="BP55" s="1"/>
      <c r="BQ55" s="1"/>
      <c r="BR55" s="57">
        <v>2.75E-2</v>
      </c>
      <c r="BS55" s="12">
        <f t="shared" si="3"/>
        <v>2.07E-2</v>
      </c>
    </row>
    <row r="56" spans="1:71" x14ac:dyDescent="0.35">
      <c r="A56" s="4">
        <v>46129</v>
      </c>
      <c r="B56" s="3" t="s">
        <v>33</v>
      </c>
      <c r="C56" s="3" t="s">
        <v>33</v>
      </c>
      <c r="D56" s="3" t="s">
        <v>32</v>
      </c>
      <c r="E56" s="3" t="s">
        <v>33</v>
      </c>
      <c r="F56" s="3" t="s">
        <v>32</v>
      </c>
      <c r="G56" s="3" t="s">
        <v>33</v>
      </c>
      <c r="H56" s="9">
        <v>8.3999999999999995E-3</v>
      </c>
      <c r="I56" s="2">
        <v>46129</v>
      </c>
      <c r="J56" s="1" t="s">
        <v>33</v>
      </c>
      <c r="K56" s="1" t="s">
        <v>33</v>
      </c>
      <c r="L56" s="1" t="s">
        <v>32</v>
      </c>
      <c r="M56" s="1" t="s">
        <v>33</v>
      </c>
      <c r="N56" s="1" t="s">
        <v>32</v>
      </c>
      <c r="O56" s="1" t="s">
        <v>32</v>
      </c>
      <c r="P56" s="57">
        <v>2.7900000000000001E-2</v>
      </c>
      <c r="Q56" s="84">
        <f t="shared" si="4"/>
        <v>1.9500000000000003E-2</v>
      </c>
      <c r="S56" s="4">
        <v>46129</v>
      </c>
      <c r="T56" s="3" t="s">
        <v>33</v>
      </c>
      <c r="U56" s="3" t="s">
        <v>33</v>
      </c>
      <c r="V56" s="3" t="s">
        <v>33</v>
      </c>
      <c r="W56" s="3" t="s">
        <v>33</v>
      </c>
      <c r="X56" s="6">
        <v>3.5000000000000003E-2</v>
      </c>
      <c r="Y56" s="3" t="s">
        <v>33</v>
      </c>
      <c r="Z56" s="6">
        <v>1.2699999999999999E-2</v>
      </c>
      <c r="AA56" s="2">
        <v>46129</v>
      </c>
      <c r="AB56" s="1" t="s">
        <v>33</v>
      </c>
      <c r="AC56" s="1" t="s">
        <v>33</v>
      </c>
      <c r="AD56" s="1" t="s">
        <v>33</v>
      </c>
      <c r="AE56" s="1" t="s">
        <v>33</v>
      </c>
      <c r="AF56" s="1" t="s">
        <v>33</v>
      </c>
      <c r="AG56" s="1" t="s">
        <v>33</v>
      </c>
      <c r="AH56" s="57">
        <v>2.5000000000000001E-2</v>
      </c>
      <c r="AI56" s="12">
        <f t="shared" si="1"/>
        <v>1.2300000000000002E-2</v>
      </c>
      <c r="AK56" s="4">
        <v>46129</v>
      </c>
      <c r="AL56" s="6">
        <v>0.02</v>
      </c>
      <c r="AM56" s="3"/>
      <c r="AN56" s="3"/>
      <c r="AO56" s="3"/>
      <c r="AP56" s="3" t="s">
        <v>33</v>
      </c>
      <c r="AQ56" s="6">
        <v>2.5000000000000001E-2</v>
      </c>
      <c r="AR56" s="6">
        <v>7.4999999999999997E-3</v>
      </c>
      <c r="AS56" s="2">
        <v>46129</v>
      </c>
      <c r="AT56" s="13">
        <v>4.2999999999999997E-2</v>
      </c>
      <c r="AU56" s="13">
        <v>3.2000000000000001E-2</v>
      </c>
      <c r="AV56" s="13">
        <v>4.2000000000000003E-2</v>
      </c>
      <c r="AW56" s="13">
        <v>4.3499999999999997E-2</v>
      </c>
      <c r="AX56" s="13">
        <v>6.4000000000000001E-2</v>
      </c>
      <c r="AY56" s="13">
        <v>5.5100000000000003E-2</v>
      </c>
      <c r="AZ56" s="13">
        <v>3.2899999999999999E-2</v>
      </c>
      <c r="BA56" s="12">
        <f t="shared" si="2"/>
        <v>2.5399999999999999E-2</v>
      </c>
      <c r="BC56" s="4">
        <v>46129</v>
      </c>
      <c r="BD56" s="6">
        <v>8.3999999999999995E-3</v>
      </c>
      <c r="BE56" s="6">
        <v>8.5000000000000006E-3</v>
      </c>
      <c r="BF56" s="6">
        <v>8.6999999999999994E-3</v>
      </c>
      <c r="BG56" s="3"/>
      <c r="BH56" s="3"/>
      <c r="BI56" s="3"/>
      <c r="BJ56" s="6">
        <v>7.9000000000000008E-3</v>
      </c>
      <c r="BK56" s="2">
        <v>46129</v>
      </c>
      <c r="BL56" s="57">
        <v>3.5700000000000003E-2</v>
      </c>
      <c r="BM56" s="1"/>
      <c r="BN56" s="57">
        <v>5.4800000000000001E-2</v>
      </c>
      <c r="BO56" s="1"/>
      <c r="BP56" s="1"/>
      <c r="BQ56" s="1"/>
      <c r="BR56" s="57">
        <v>2.7300000000000001E-2</v>
      </c>
      <c r="BS56" s="12">
        <f t="shared" si="3"/>
        <v>1.9400000000000001E-2</v>
      </c>
    </row>
    <row r="57" spans="1:71" x14ac:dyDescent="0.35">
      <c r="A57" s="4">
        <v>46130</v>
      </c>
      <c r="B57" s="3" t="s">
        <v>33</v>
      </c>
      <c r="C57" s="3" t="s">
        <v>33</v>
      </c>
      <c r="D57" s="3" t="s">
        <v>32</v>
      </c>
      <c r="E57" s="3" t="s">
        <v>33</v>
      </c>
      <c r="F57" s="3" t="s">
        <v>32</v>
      </c>
      <c r="G57" s="3" t="s">
        <v>33</v>
      </c>
      <c r="H57" s="9">
        <v>8.0000000000000002E-3</v>
      </c>
      <c r="I57" s="2">
        <v>46130</v>
      </c>
      <c r="J57" s="1" t="s">
        <v>33</v>
      </c>
      <c r="K57" s="1" t="s">
        <v>33</v>
      </c>
      <c r="L57" s="1" t="s">
        <v>32</v>
      </c>
      <c r="M57" s="1" t="s">
        <v>33</v>
      </c>
      <c r="N57" s="1" t="s">
        <v>32</v>
      </c>
      <c r="O57" s="1" t="s">
        <v>32</v>
      </c>
      <c r="P57" s="57">
        <v>2.75E-2</v>
      </c>
      <c r="Q57" s="84">
        <f t="shared" si="4"/>
        <v>1.95E-2</v>
      </c>
      <c r="S57" s="4">
        <v>46130</v>
      </c>
      <c r="T57" s="3" t="s">
        <v>33</v>
      </c>
      <c r="U57" s="3" t="s">
        <v>33</v>
      </c>
      <c r="V57" s="3" t="s">
        <v>33</v>
      </c>
      <c r="W57" s="3" t="s">
        <v>33</v>
      </c>
      <c r="X57" s="6">
        <v>3.5000000000000003E-2</v>
      </c>
      <c r="Y57" s="3" t="s">
        <v>33</v>
      </c>
      <c r="Z57" s="6">
        <v>1.29E-2</v>
      </c>
      <c r="AA57" s="2">
        <v>46130</v>
      </c>
      <c r="AB57" s="1" t="s">
        <v>33</v>
      </c>
      <c r="AC57" s="1" t="s">
        <v>33</v>
      </c>
      <c r="AD57" s="1" t="s">
        <v>33</v>
      </c>
      <c r="AE57" s="1" t="s">
        <v>33</v>
      </c>
      <c r="AF57" s="1" t="s">
        <v>33</v>
      </c>
      <c r="AG57" s="1" t="s">
        <v>33</v>
      </c>
      <c r="AH57" s="57">
        <v>2.5000000000000001E-2</v>
      </c>
      <c r="AI57" s="12">
        <f t="shared" si="1"/>
        <v>1.2100000000000001E-2</v>
      </c>
      <c r="AK57" s="4">
        <v>46130</v>
      </c>
      <c r="AL57" s="6">
        <v>0.02</v>
      </c>
      <c r="AM57" s="3"/>
      <c r="AN57" s="3"/>
      <c r="AO57" s="3"/>
      <c r="AP57" s="3" t="s">
        <v>33</v>
      </c>
      <c r="AQ57" s="6">
        <v>2.5000000000000001E-2</v>
      </c>
      <c r="AR57" s="6">
        <v>7.1000000000000004E-3</v>
      </c>
      <c r="AS57" s="2">
        <v>46130</v>
      </c>
      <c r="AT57" s="13">
        <v>0.03</v>
      </c>
      <c r="AU57" s="13">
        <v>3.44E-2</v>
      </c>
      <c r="AV57" s="13">
        <v>3.5000000000000003E-2</v>
      </c>
      <c r="AW57" s="13">
        <v>5.5E-2</v>
      </c>
      <c r="AX57" s="13">
        <v>5.8900000000000001E-2</v>
      </c>
      <c r="AY57" s="13">
        <v>5.5E-2</v>
      </c>
      <c r="AZ57" s="13">
        <v>3.2899999999999999E-2</v>
      </c>
      <c r="BA57" s="12">
        <f t="shared" si="2"/>
        <v>2.5799999999999997E-2</v>
      </c>
      <c r="BC57" s="4">
        <v>46130</v>
      </c>
      <c r="BD57" s="6">
        <v>8.3999999999999995E-3</v>
      </c>
      <c r="BE57" s="6">
        <v>8.5000000000000006E-3</v>
      </c>
      <c r="BF57" s="6">
        <v>8.6999999999999994E-3</v>
      </c>
      <c r="BG57" s="3"/>
      <c r="BH57" s="3"/>
      <c r="BI57" s="3"/>
      <c r="BJ57" s="6">
        <v>8.0999999999999996E-3</v>
      </c>
      <c r="BK57" s="2">
        <v>46130</v>
      </c>
      <c r="BL57" s="57">
        <v>3.5700000000000003E-2</v>
      </c>
      <c r="BM57" s="1"/>
      <c r="BN57" s="57">
        <v>5.4800000000000001E-2</v>
      </c>
      <c r="BO57" s="1"/>
      <c r="BP57" s="1"/>
      <c r="BQ57" s="1"/>
      <c r="BR57" s="57">
        <v>2.7900000000000001E-2</v>
      </c>
      <c r="BS57" s="12">
        <f t="shared" si="3"/>
        <v>1.9800000000000002E-2</v>
      </c>
    </row>
    <row r="58" spans="1:71" x14ac:dyDescent="0.35">
      <c r="A58" s="4">
        <v>46131</v>
      </c>
      <c r="B58" s="3" t="s">
        <v>33</v>
      </c>
      <c r="C58" s="3" t="s">
        <v>33</v>
      </c>
      <c r="D58" s="3" t="s">
        <v>32</v>
      </c>
      <c r="E58" s="3" t="s">
        <v>33</v>
      </c>
      <c r="F58" s="3" t="s">
        <v>32</v>
      </c>
      <c r="G58" s="3" t="s">
        <v>33</v>
      </c>
      <c r="H58" s="9">
        <v>7.9000000000000008E-3</v>
      </c>
      <c r="I58" s="2">
        <v>46131</v>
      </c>
      <c r="J58" s="1" t="s">
        <v>33</v>
      </c>
      <c r="K58" s="1" t="s">
        <v>33</v>
      </c>
      <c r="L58" s="1" t="s">
        <v>32</v>
      </c>
      <c r="M58" s="1" t="s">
        <v>33</v>
      </c>
      <c r="N58" s="1" t="s">
        <v>32</v>
      </c>
      <c r="O58" s="1" t="s">
        <v>32</v>
      </c>
      <c r="P58" s="57">
        <v>2.7E-2</v>
      </c>
      <c r="Q58" s="84">
        <f t="shared" si="4"/>
        <v>1.9099999999999999E-2</v>
      </c>
      <c r="S58" s="4">
        <v>46131</v>
      </c>
      <c r="T58" s="3" t="s">
        <v>33</v>
      </c>
      <c r="U58" s="3" t="s">
        <v>33</v>
      </c>
      <c r="V58" s="3" t="s">
        <v>33</v>
      </c>
      <c r="W58" s="3" t="s">
        <v>33</v>
      </c>
      <c r="X58" s="6">
        <v>3.5000000000000003E-2</v>
      </c>
      <c r="Y58" s="3" t="s">
        <v>33</v>
      </c>
      <c r="Z58" s="6">
        <v>1.29E-2</v>
      </c>
      <c r="AA58" s="2">
        <v>46131</v>
      </c>
      <c r="AB58" s="1" t="s">
        <v>33</v>
      </c>
      <c r="AC58" s="1" t="s">
        <v>33</v>
      </c>
      <c r="AD58" s="1" t="s">
        <v>33</v>
      </c>
      <c r="AE58" s="1" t="s">
        <v>33</v>
      </c>
      <c r="AF58" s="1" t="s">
        <v>33</v>
      </c>
      <c r="AG58" s="1" t="s">
        <v>33</v>
      </c>
      <c r="AH58" s="57">
        <v>2.5000000000000001E-2</v>
      </c>
      <c r="AI58" s="12">
        <f t="shared" si="1"/>
        <v>1.2100000000000001E-2</v>
      </c>
      <c r="AK58" s="4">
        <v>46131</v>
      </c>
      <c r="AL58" s="6">
        <v>0.02</v>
      </c>
      <c r="AM58" s="3"/>
      <c r="AN58" s="3"/>
      <c r="AO58" s="3"/>
      <c r="AP58" s="3" t="s">
        <v>33</v>
      </c>
      <c r="AQ58" s="6">
        <v>2.5000000000000001E-2</v>
      </c>
      <c r="AR58" s="6">
        <v>7.1000000000000004E-3</v>
      </c>
      <c r="AS58" s="2">
        <v>46131</v>
      </c>
      <c r="AT58" s="13">
        <v>0.03</v>
      </c>
      <c r="AU58" s="13">
        <v>3.44E-2</v>
      </c>
      <c r="AV58" s="13">
        <v>3.5000000000000003E-2</v>
      </c>
      <c r="AW58" s="13">
        <v>5.5E-2</v>
      </c>
      <c r="AX58" s="13">
        <v>5.8900000000000001E-2</v>
      </c>
      <c r="AY58" s="13">
        <v>5.5E-2</v>
      </c>
      <c r="AZ58" s="13">
        <v>3.2899999999999999E-2</v>
      </c>
      <c r="BA58" s="12">
        <f t="shared" si="2"/>
        <v>2.5799999999999997E-2</v>
      </c>
      <c r="BC58" s="4">
        <v>46131</v>
      </c>
      <c r="BD58" s="6">
        <v>8.3999999999999995E-3</v>
      </c>
      <c r="BE58" s="6">
        <v>8.5000000000000006E-3</v>
      </c>
      <c r="BF58" s="6">
        <v>8.6999999999999994E-3</v>
      </c>
      <c r="BG58" s="3"/>
      <c r="BH58" s="3"/>
      <c r="BI58" s="3"/>
      <c r="BJ58" s="6">
        <v>8.3999999999999995E-3</v>
      </c>
      <c r="BK58" s="2">
        <v>46131</v>
      </c>
      <c r="BL58" s="57">
        <v>3.5700000000000003E-2</v>
      </c>
      <c r="BM58" s="1"/>
      <c r="BN58" s="57">
        <v>5.4800000000000001E-2</v>
      </c>
      <c r="BO58" s="1"/>
      <c r="BP58" s="1"/>
      <c r="BQ58" s="1"/>
      <c r="BR58" s="57">
        <v>2.76E-2</v>
      </c>
      <c r="BS58" s="12">
        <f t="shared" si="3"/>
        <v>1.9200000000000002E-2</v>
      </c>
    </row>
    <row r="59" spans="1:71" x14ac:dyDescent="0.35">
      <c r="A59" s="4">
        <v>46132</v>
      </c>
      <c r="B59" s="3" t="s">
        <v>33</v>
      </c>
      <c r="C59" s="3" t="s">
        <v>33</v>
      </c>
      <c r="D59" s="3" t="s">
        <v>32</v>
      </c>
      <c r="E59" s="3" t="s">
        <v>33</v>
      </c>
      <c r="F59" s="3" t="s">
        <v>32</v>
      </c>
      <c r="G59" s="3" t="s">
        <v>33</v>
      </c>
      <c r="H59" s="9">
        <v>7.9000000000000008E-3</v>
      </c>
      <c r="I59" s="2">
        <v>46132</v>
      </c>
      <c r="J59" s="1" t="s">
        <v>33</v>
      </c>
      <c r="K59" s="1" t="s">
        <v>33</v>
      </c>
      <c r="L59" s="1" t="s">
        <v>32</v>
      </c>
      <c r="M59" s="1" t="s">
        <v>33</v>
      </c>
      <c r="N59" s="1" t="s">
        <v>32</v>
      </c>
      <c r="O59" s="1" t="s">
        <v>32</v>
      </c>
      <c r="P59" s="57">
        <v>2.7E-2</v>
      </c>
      <c r="Q59" s="84">
        <f t="shared" si="4"/>
        <v>1.9099999999999999E-2</v>
      </c>
      <c r="S59" s="4">
        <v>46132</v>
      </c>
      <c r="T59" s="3" t="s">
        <v>33</v>
      </c>
      <c r="U59" s="3" t="s">
        <v>33</v>
      </c>
      <c r="V59" s="3" t="s">
        <v>33</v>
      </c>
      <c r="W59" s="3" t="s">
        <v>33</v>
      </c>
      <c r="X59" s="6">
        <v>3.5000000000000003E-2</v>
      </c>
      <c r="Y59" s="3" t="s">
        <v>33</v>
      </c>
      <c r="Z59" s="6">
        <v>1.3100000000000001E-2</v>
      </c>
      <c r="AA59" s="2">
        <v>46132</v>
      </c>
      <c r="AB59" s="1" t="s">
        <v>33</v>
      </c>
      <c r="AC59" s="1" t="s">
        <v>33</v>
      </c>
      <c r="AD59" s="1" t="s">
        <v>33</v>
      </c>
      <c r="AE59" s="1" t="s">
        <v>33</v>
      </c>
      <c r="AF59" s="1" t="s">
        <v>33</v>
      </c>
      <c r="AG59" s="1" t="s">
        <v>33</v>
      </c>
      <c r="AH59" s="57">
        <v>2.5000000000000001E-2</v>
      </c>
      <c r="AI59" s="12">
        <f t="shared" si="1"/>
        <v>1.1900000000000001E-2</v>
      </c>
      <c r="AK59" s="4">
        <v>46132</v>
      </c>
      <c r="AL59" s="6">
        <v>0.02</v>
      </c>
      <c r="AM59" s="3"/>
      <c r="AN59" s="3"/>
      <c r="AO59" s="3"/>
      <c r="AP59" s="3" t="s">
        <v>33</v>
      </c>
      <c r="AQ59" s="6">
        <v>2.5000000000000001E-2</v>
      </c>
      <c r="AR59" s="6">
        <v>7.1999999999999998E-3</v>
      </c>
      <c r="AS59" s="2">
        <v>46132</v>
      </c>
      <c r="AT59" s="13">
        <v>0.03</v>
      </c>
      <c r="AU59" s="13">
        <v>3.44E-2</v>
      </c>
      <c r="AV59" s="13">
        <v>3.5000000000000003E-2</v>
      </c>
      <c r="AW59" s="13">
        <v>5.5E-2</v>
      </c>
      <c r="AX59" s="13">
        <v>5.8900000000000001E-2</v>
      </c>
      <c r="AY59" s="13">
        <v>5.5E-2</v>
      </c>
      <c r="AZ59" s="13">
        <v>3.2899999999999999E-2</v>
      </c>
      <c r="BA59" s="12">
        <f t="shared" si="2"/>
        <v>2.5700000000000001E-2</v>
      </c>
      <c r="BC59" s="4">
        <v>46132</v>
      </c>
      <c r="BD59" s="6">
        <v>8.3999999999999995E-3</v>
      </c>
      <c r="BE59" s="6">
        <v>8.5000000000000006E-3</v>
      </c>
      <c r="BF59" s="6">
        <v>8.6999999999999994E-3</v>
      </c>
      <c r="BG59" s="3"/>
      <c r="BH59" s="3"/>
      <c r="BI59" s="3"/>
      <c r="BJ59" s="6">
        <v>8.2000000000000007E-3</v>
      </c>
      <c r="BK59" s="2">
        <v>46132</v>
      </c>
      <c r="BL59" s="57">
        <v>3.5700000000000003E-2</v>
      </c>
      <c r="BM59" s="1"/>
      <c r="BN59" s="57">
        <v>5.4800000000000001E-2</v>
      </c>
      <c r="BO59" s="1"/>
      <c r="BP59" s="1"/>
      <c r="BQ59" s="1"/>
      <c r="BR59" s="57">
        <v>2.7900000000000001E-2</v>
      </c>
      <c r="BS59" s="12">
        <f t="shared" si="3"/>
        <v>1.9700000000000002E-2</v>
      </c>
    </row>
    <row r="60" spans="1:71" x14ac:dyDescent="0.35">
      <c r="A60" s="4">
        <v>46133</v>
      </c>
      <c r="B60" s="3" t="s">
        <v>33</v>
      </c>
      <c r="C60" s="3" t="s">
        <v>33</v>
      </c>
      <c r="D60" s="3" t="s">
        <v>32</v>
      </c>
      <c r="E60" s="3" t="s">
        <v>33</v>
      </c>
      <c r="F60" s="3" t="s">
        <v>32</v>
      </c>
      <c r="G60" s="3" t="s">
        <v>33</v>
      </c>
      <c r="H60" s="9">
        <v>8.0999999999999996E-3</v>
      </c>
      <c r="I60" s="2">
        <v>46133</v>
      </c>
      <c r="J60" s="1" t="s">
        <v>33</v>
      </c>
      <c r="K60" s="1" t="s">
        <v>33</v>
      </c>
      <c r="L60" s="1" t="s">
        <v>32</v>
      </c>
      <c r="M60" s="1" t="s">
        <v>33</v>
      </c>
      <c r="N60" s="1" t="s">
        <v>32</v>
      </c>
      <c r="O60" s="1" t="s">
        <v>32</v>
      </c>
      <c r="P60" s="57">
        <v>2.7400000000000001E-2</v>
      </c>
      <c r="Q60" s="84">
        <f t="shared" si="4"/>
        <v>1.9300000000000001E-2</v>
      </c>
      <c r="S60" s="4">
        <v>46133</v>
      </c>
      <c r="T60" s="3" t="s">
        <v>33</v>
      </c>
      <c r="U60" s="3" t="s">
        <v>33</v>
      </c>
      <c r="V60" s="3" t="s">
        <v>33</v>
      </c>
      <c r="W60" s="3" t="s">
        <v>33</v>
      </c>
      <c r="X60" s="6">
        <v>3.5000000000000003E-2</v>
      </c>
      <c r="Y60" s="3" t="s">
        <v>33</v>
      </c>
      <c r="Z60" s="6">
        <v>1.29E-2</v>
      </c>
      <c r="AA60" s="2">
        <v>46133</v>
      </c>
      <c r="AB60" s="1" t="s">
        <v>33</v>
      </c>
      <c r="AC60" s="1" t="s">
        <v>33</v>
      </c>
      <c r="AD60" s="1" t="s">
        <v>33</v>
      </c>
      <c r="AE60" s="1" t="s">
        <v>33</v>
      </c>
      <c r="AF60" s="1" t="s">
        <v>33</v>
      </c>
      <c r="AG60" s="1" t="s">
        <v>33</v>
      </c>
      <c r="AH60" s="57">
        <v>2.5000000000000001E-2</v>
      </c>
      <c r="AI60" s="12">
        <f t="shared" si="1"/>
        <v>1.2100000000000001E-2</v>
      </c>
      <c r="AK60" s="4">
        <v>46133</v>
      </c>
      <c r="AL60" s="6">
        <v>0.02</v>
      </c>
      <c r="AM60" s="3"/>
      <c r="AN60" s="3"/>
      <c r="AO60" s="3"/>
      <c r="AP60" s="3" t="s">
        <v>33</v>
      </c>
      <c r="AQ60" s="6">
        <v>2.5000000000000001E-2</v>
      </c>
      <c r="AR60" s="6">
        <v>7.0000000000000001E-3</v>
      </c>
      <c r="AS60" s="2">
        <v>46133</v>
      </c>
      <c r="AT60" s="13">
        <v>4.2999999999999997E-2</v>
      </c>
      <c r="AU60" s="13">
        <v>3.44E-2</v>
      </c>
      <c r="AV60" s="13">
        <v>0.04</v>
      </c>
      <c r="AW60" s="13">
        <v>5.5E-2</v>
      </c>
      <c r="AX60" s="13">
        <v>4.5999999999999999E-2</v>
      </c>
      <c r="AY60" s="13">
        <v>5.6000000000000001E-2</v>
      </c>
      <c r="AZ60" s="13">
        <v>3.2899999999999999E-2</v>
      </c>
      <c r="BA60" s="12">
        <f t="shared" si="2"/>
        <v>2.5899999999999999E-2</v>
      </c>
      <c r="BC60" s="4">
        <v>46133</v>
      </c>
      <c r="BD60" s="6">
        <v>8.3999999999999995E-3</v>
      </c>
      <c r="BE60" s="6">
        <v>8.5000000000000006E-3</v>
      </c>
      <c r="BF60" s="6">
        <v>8.6999999999999994E-3</v>
      </c>
      <c r="BG60" s="3"/>
      <c r="BH60" s="3"/>
      <c r="BI60" s="3"/>
      <c r="BJ60" s="6">
        <v>8.2000000000000007E-3</v>
      </c>
      <c r="BK60" s="2">
        <v>46133</v>
      </c>
      <c r="BL60" s="57">
        <v>3.5700000000000003E-2</v>
      </c>
      <c r="BM60" s="1"/>
      <c r="BN60" s="57">
        <v>5.4800000000000001E-2</v>
      </c>
      <c r="BO60" s="1"/>
      <c r="BP60" s="1"/>
      <c r="BQ60" s="1"/>
      <c r="BR60" s="57">
        <v>2.8000000000000001E-2</v>
      </c>
      <c r="BS60" s="12">
        <f t="shared" si="3"/>
        <v>1.9799999999999998E-2</v>
      </c>
    </row>
    <row r="61" spans="1:71" x14ac:dyDescent="0.35">
      <c r="A61" s="4">
        <v>46134</v>
      </c>
      <c r="B61" s="3" t="s">
        <v>33</v>
      </c>
      <c r="C61" s="3" t="s">
        <v>33</v>
      </c>
      <c r="D61" s="3" t="s">
        <v>32</v>
      </c>
      <c r="E61" s="3" t="s">
        <v>33</v>
      </c>
      <c r="F61" s="3" t="s">
        <v>32</v>
      </c>
      <c r="G61" s="3" t="s">
        <v>33</v>
      </c>
      <c r="H61" s="9">
        <v>8.2000000000000007E-3</v>
      </c>
      <c r="I61" s="2">
        <v>46134</v>
      </c>
      <c r="J61" s="1" t="s">
        <v>33</v>
      </c>
      <c r="K61" s="1" t="s">
        <v>33</v>
      </c>
      <c r="L61" s="1" t="s">
        <v>32</v>
      </c>
      <c r="M61" s="1" t="s">
        <v>33</v>
      </c>
      <c r="N61" s="1" t="s">
        <v>32</v>
      </c>
      <c r="O61" s="1" t="s">
        <v>32</v>
      </c>
      <c r="P61" s="57">
        <v>2.75E-2</v>
      </c>
      <c r="Q61" s="84">
        <f t="shared" si="4"/>
        <v>1.9299999999999998E-2</v>
      </c>
      <c r="S61" s="4">
        <v>46134</v>
      </c>
      <c r="T61" s="3" t="s">
        <v>33</v>
      </c>
      <c r="U61" s="3" t="s">
        <v>33</v>
      </c>
      <c r="V61" s="3" t="s">
        <v>33</v>
      </c>
      <c r="W61" s="3" t="s">
        <v>33</v>
      </c>
      <c r="X61" s="6">
        <v>3.5000000000000003E-2</v>
      </c>
      <c r="Y61" s="3" t="s">
        <v>33</v>
      </c>
      <c r="Z61" s="6">
        <v>1.29E-2</v>
      </c>
      <c r="AA61" s="2">
        <v>46134</v>
      </c>
      <c r="AB61" s="1" t="s">
        <v>33</v>
      </c>
      <c r="AC61" s="1" t="s">
        <v>33</v>
      </c>
      <c r="AD61" s="1" t="s">
        <v>33</v>
      </c>
      <c r="AE61" s="1" t="s">
        <v>33</v>
      </c>
      <c r="AF61" s="1" t="s">
        <v>33</v>
      </c>
      <c r="AG61" s="1" t="s">
        <v>33</v>
      </c>
      <c r="AH61" s="57">
        <v>2.5000000000000001E-2</v>
      </c>
      <c r="AI61" s="12">
        <f t="shared" si="1"/>
        <v>1.2100000000000001E-2</v>
      </c>
      <c r="AK61" s="4">
        <v>46134</v>
      </c>
      <c r="AL61" s="6">
        <v>0.02</v>
      </c>
      <c r="AM61" s="3"/>
      <c r="AN61" s="3"/>
      <c r="AO61" s="3"/>
      <c r="AP61" s="3" t="s">
        <v>33</v>
      </c>
      <c r="AQ61" s="6">
        <v>2.5000000000000001E-2</v>
      </c>
      <c r="AR61" s="6">
        <v>7.4999999999999997E-3</v>
      </c>
      <c r="AS61" s="2">
        <v>46134</v>
      </c>
      <c r="AT61" s="13">
        <v>3.1E-2</v>
      </c>
      <c r="AU61" s="13">
        <v>3.1E-2</v>
      </c>
      <c r="AV61" s="13">
        <v>4.2000000000000003E-2</v>
      </c>
      <c r="AW61" s="13">
        <v>0.05</v>
      </c>
      <c r="AX61" s="13">
        <v>5.8999999999999997E-2</v>
      </c>
      <c r="AY61" s="13">
        <v>5.6000000000000001E-2</v>
      </c>
      <c r="AZ61" s="13">
        <v>3.2899999999999999E-2</v>
      </c>
      <c r="BA61" s="12">
        <f t="shared" si="2"/>
        <v>2.5399999999999999E-2</v>
      </c>
      <c r="BC61" s="4">
        <v>46134</v>
      </c>
      <c r="BD61" s="6">
        <v>8.3999999999999995E-3</v>
      </c>
      <c r="BE61" s="6">
        <v>8.5000000000000006E-3</v>
      </c>
      <c r="BF61" s="6">
        <v>8.6999999999999994E-3</v>
      </c>
      <c r="BG61" s="3"/>
      <c r="BH61" s="3"/>
      <c r="BI61" s="3"/>
      <c r="BJ61" s="6">
        <v>8.0999999999999996E-3</v>
      </c>
      <c r="BK61" s="2">
        <v>46134</v>
      </c>
      <c r="BL61" s="57">
        <v>3.49E-2</v>
      </c>
      <c r="BM61" s="1"/>
      <c r="BN61" s="57">
        <v>5.5100000000000003E-2</v>
      </c>
      <c r="BO61" s="1"/>
      <c r="BP61" s="1"/>
      <c r="BQ61" s="1"/>
      <c r="BR61" s="57">
        <v>2.7699999999999999E-2</v>
      </c>
      <c r="BS61" s="12">
        <f t="shared" si="3"/>
        <v>1.9599999999999999E-2</v>
      </c>
    </row>
    <row r="62" spans="1:71" x14ac:dyDescent="0.35">
      <c r="A62" s="4">
        <v>46135</v>
      </c>
      <c r="B62" s="3" t="s">
        <v>33</v>
      </c>
      <c r="C62" s="3" t="s">
        <v>33</v>
      </c>
      <c r="D62" s="3" t="s">
        <v>32</v>
      </c>
      <c r="E62" s="3" t="s">
        <v>33</v>
      </c>
      <c r="F62" s="3" t="s">
        <v>32</v>
      </c>
      <c r="G62" s="3" t="s">
        <v>33</v>
      </c>
      <c r="H62" s="9">
        <v>8.5000000000000006E-3</v>
      </c>
      <c r="I62" s="2">
        <v>46135</v>
      </c>
      <c r="J62" s="1" t="s">
        <v>33</v>
      </c>
      <c r="K62" s="1" t="s">
        <v>33</v>
      </c>
      <c r="L62" s="1" t="s">
        <v>32</v>
      </c>
      <c r="M62" s="1" t="s">
        <v>33</v>
      </c>
      <c r="N62" s="1" t="s">
        <v>32</v>
      </c>
      <c r="O62" s="1" t="s">
        <v>32</v>
      </c>
      <c r="P62" s="57">
        <v>2.75E-2</v>
      </c>
      <c r="Q62" s="84">
        <f t="shared" si="4"/>
        <v>1.9E-2</v>
      </c>
      <c r="S62" s="4">
        <v>46135</v>
      </c>
      <c r="T62" s="3" t="s">
        <v>33</v>
      </c>
      <c r="U62" s="3" t="s">
        <v>33</v>
      </c>
      <c r="V62" s="3" t="s">
        <v>33</v>
      </c>
      <c r="W62" s="3" t="s">
        <v>33</v>
      </c>
      <c r="X62" s="6">
        <v>3.5000000000000003E-2</v>
      </c>
      <c r="Y62" s="3" t="s">
        <v>33</v>
      </c>
      <c r="Z62" s="6">
        <v>1.2500000000000001E-2</v>
      </c>
      <c r="AA62" s="2">
        <v>46135</v>
      </c>
      <c r="AB62" s="1" t="s">
        <v>33</v>
      </c>
      <c r="AC62" s="1" t="s">
        <v>33</v>
      </c>
      <c r="AD62" s="1" t="s">
        <v>33</v>
      </c>
      <c r="AE62" s="1" t="s">
        <v>33</v>
      </c>
      <c r="AF62" s="1" t="s">
        <v>33</v>
      </c>
      <c r="AG62" s="1" t="s">
        <v>33</v>
      </c>
      <c r="AH62" s="57">
        <v>2.5000000000000001E-2</v>
      </c>
      <c r="AI62" s="12">
        <f t="shared" si="1"/>
        <v>1.2500000000000001E-2</v>
      </c>
      <c r="AK62" s="4">
        <v>46135</v>
      </c>
      <c r="AL62" s="6">
        <v>0.02</v>
      </c>
      <c r="AM62" s="3"/>
      <c r="AN62" s="3"/>
      <c r="AO62" s="3"/>
      <c r="AP62" s="3" t="s">
        <v>33</v>
      </c>
      <c r="AQ62" s="6">
        <v>2.5000000000000001E-2</v>
      </c>
      <c r="AR62" s="6">
        <v>8.0999999999999996E-3</v>
      </c>
      <c r="AS62" s="2">
        <v>46135</v>
      </c>
      <c r="AT62" s="13">
        <v>0.03</v>
      </c>
      <c r="AU62" s="13">
        <v>3.09E-2</v>
      </c>
      <c r="AV62" s="13">
        <v>4.1000000000000002E-2</v>
      </c>
      <c r="AW62" s="13">
        <v>2.8000000000000001E-2</v>
      </c>
      <c r="AX62" s="13">
        <v>5.8700000000000002E-2</v>
      </c>
      <c r="AY62" s="13">
        <v>0.06</v>
      </c>
      <c r="AZ62" s="13">
        <v>3.2899999999999999E-2</v>
      </c>
      <c r="BA62" s="12">
        <f t="shared" si="2"/>
        <v>2.4799999999999999E-2</v>
      </c>
      <c r="BC62" s="4">
        <v>46135</v>
      </c>
      <c r="BD62" s="6">
        <v>8.3999999999999995E-3</v>
      </c>
      <c r="BE62" s="6">
        <v>8.5000000000000006E-3</v>
      </c>
      <c r="BF62" s="6">
        <v>8.6999999999999994E-3</v>
      </c>
      <c r="BG62" s="3"/>
      <c r="BH62" s="3"/>
      <c r="BI62" s="3"/>
      <c r="BJ62" s="6">
        <v>7.6E-3</v>
      </c>
      <c r="BK62" s="2">
        <v>46135</v>
      </c>
      <c r="BL62" s="57">
        <v>3.49E-2</v>
      </c>
      <c r="BM62" s="1"/>
      <c r="BN62" s="57">
        <v>5.5100000000000003E-2</v>
      </c>
      <c r="BO62" s="1"/>
      <c r="BP62" s="1"/>
      <c r="BQ62" s="1"/>
      <c r="BR62" s="57">
        <v>2.7199999999999998E-2</v>
      </c>
      <c r="BS62" s="12">
        <f t="shared" si="3"/>
        <v>1.9599999999999999E-2</v>
      </c>
    </row>
    <row r="63" spans="1:71" x14ac:dyDescent="0.35">
      <c r="A63" s="4">
        <v>46136</v>
      </c>
      <c r="B63" s="3" t="s">
        <v>33</v>
      </c>
      <c r="C63" s="3" t="s">
        <v>33</v>
      </c>
      <c r="D63" s="3" t="s">
        <v>32</v>
      </c>
      <c r="E63" s="3" t="s">
        <v>33</v>
      </c>
      <c r="F63" s="3" t="s">
        <v>32</v>
      </c>
      <c r="G63" s="3" t="s">
        <v>33</v>
      </c>
      <c r="H63" s="9">
        <v>8.0000000000000002E-3</v>
      </c>
      <c r="I63" s="2">
        <v>46136</v>
      </c>
      <c r="J63" s="1" t="s">
        <v>33</v>
      </c>
      <c r="K63" s="1" t="s">
        <v>33</v>
      </c>
      <c r="L63" s="1" t="s">
        <v>32</v>
      </c>
      <c r="M63" s="1" t="s">
        <v>33</v>
      </c>
      <c r="N63" s="1" t="s">
        <v>32</v>
      </c>
      <c r="O63" s="1" t="s">
        <v>32</v>
      </c>
      <c r="P63" s="57">
        <v>2.7300000000000001E-2</v>
      </c>
      <c r="Q63" s="84">
        <f t="shared" si="4"/>
        <v>1.9300000000000001E-2</v>
      </c>
      <c r="S63" s="4">
        <v>46136</v>
      </c>
      <c r="T63" s="3" t="s">
        <v>33</v>
      </c>
      <c r="U63" s="3" t="s">
        <v>33</v>
      </c>
      <c r="V63" s="3" t="s">
        <v>33</v>
      </c>
      <c r="W63" s="3" t="s">
        <v>33</v>
      </c>
      <c r="X63" s="6">
        <v>3.5000000000000003E-2</v>
      </c>
      <c r="Y63" s="3" t="s">
        <v>33</v>
      </c>
      <c r="Z63" s="6">
        <v>1.2500000000000001E-2</v>
      </c>
      <c r="AA63" s="2">
        <v>46136</v>
      </c>
      <c r="AB63" s="1" t="s">
        <v>33</v>
      </c>
      <c r="AC63" s="1" t="s">
        <v>33</v>
      </c>
      <c r="AD63" s="1" t="s">
        <v>33</v>
      </c>
      <c r="AE63" s="1" t="s">
        <v>33</v>
      </c>
      <c r="AF63" s="1" t="s">
        <v>33</v>
      </c>
      <c r="AG63" s="1" t="s">
        <v>33</v>
      </c>
      <c r="AH63" s="57">
        <v>2.5000000000000001E-2</v>
      </c>
      <c r="AI63" s="12">
        <f t="shared" si="1"/>
        <v>1.2500000000000001E-2</v>
      </c>
      <c r="AK63" s="4">
        <v>46136</v>
      </c>
      <c r="AL63" s="6">
        <v>0.02</v>
      </c>
      <c r="AM63" s="3"/>
      <c r="AN63" s="3"/>
      <c r="AO63" s="3"/>
      <c r="AP63" s="3" t="s">
        <v>33</v>
      </c>
      <c r="AQ63" s="6">
        <v>2.5000000000000001E-2</v>
      </c>
      <c r="AR63" s="6">
        <v>7.0000000000000001E-3</v>
      </c>
      <c r="AS63" s="2">
        <v>46136</v>
      </c>
      <c r="AT63" s="13">
        <v>0.03</v>
      </c>
      <c r="AU63" s="13">
        <v>3.09E-2</v>
      </c>
      <c r="AV63" s="13">
        <v>4.1000000000000002E-2</v>
      </c>
      <c r="AW63" s="13">
        <v>2.8000000000000001E-2</v>
      </c>
      <c r="AX63" s="13">
        <v>5.8700000000000002E-2</v>
      </c>
      <c r="AY63" s="13">
        <v>0.06</v>
      </c>
      <c r="AZ63" s="13">
        <v>3.2899999999999999E-2</v>
      </c>
      <c r="BA63" s="12">
        <f t="shared" si="2"/>
        <v>2.5899999999999999E-2</v>
      </c>
      <c r="BC63" s="4">
        <v>46136</v>
      </c>
      <c r="BD63" s="6">
        <v>8.3999999999999995E-3</v>
      </c>
      <c r="BE63" s="6">
        <v>8.5000000000000006E-3</v>
      </c>
      <c r="BF63" s="6">
        <v>8.6999999999999994E-3</v>
      </c>
      <c r="BG63" s="3"/>
      <c r="BH63" s="3"/>
      <c r="BI63" s="3"/>
      <c r="BJ63" s="6">
        <v>7.6E-3</v>
      </c>
      <c r="BK63" s="2">
        <v>46136</v>
      </c>
      <c r="BL63" s="57">
        <v>3.49E-2</v>
      </c>
      <c r="BM63" s="1"/>
      <c r="BN63" s="57">
        <v>5.5100000000000003E-2</v>
      </c>
      <c r="BO63" s="1"/>
      <c r="BP63" s="1"/>
      <c r="BQ63" s="1"/>
      <c r="BR63" s="57">
        <v>2.7199999999999998E-2</v>
      </c>
      <c r="BS63" s="12">
        <f t="shared" si="3"/>
        <v>1.9599999999999999E-2</v>
      </c>
    </row>
    <row r="64" spans="1:71" x14ac:dyDescent="0.35">
      <c r="A64" s="4">
        <v>46137</v>
      </c>
      <c r="B64" s="3" t="s">
        <v>33</v>
      </c>
      <c r="C64" s="3" t="s">
        <v>33</v>
      </c>
      <c r="D64" s="3" t="s">
        <v>32</v>
      </c>
      <c r="E64" s="3" t="s">
        <v>33</v>
      </c>
      <c r="F64" s="3" t="s">
        <v>32</v>
      </c>
      <c r="G64" s="3" t="s">
        <v>33</v>
      </c>
      <c r="H64" s="9">
        <v>8.2000000000000007E-3</v>
      </c>
      <c r="I64" s="2">
        <v>46137</v>
      </c>
      <c r="J64" s="1" t="s">
        <v>33</v>
      </c>
      <c r="K64" s="1" t="s">
        <v>33</v>
      </c>
      <c r="L64" s="1" t="s">
        <v>32</v>
      </c>
      <c r="M64" s="1" t="s">
        <v>33</v>
      </c>
      <c r="N64" s="1" t="s">
        <v>32</v>
      </c>
      <c r="O64" s="1" t="s">
        <v>32</v>
      </c>
      <c r="P64" s="57">
        <v>2.7699999999999999E-2</v>
      </c>
      <c r="Q64" s="84">
        <f t="shared" si="4"/>
        <v>1.9499999999999997E-2</v>
      </c>
      <c r="S64" s="4">
        <v>46137</v>
      </c>
      <c r="T64" s="3" t="s">
        <v>33</v>
      </c>
      <c r="U64" s="3" t="s">
        <v>33</v>
      </c>
      <c r="V64" s="3" t="s">
        <v>33</v>
      </c>
      <c r="W64" s="3" t="s">
        <v>33</v>
      </c>
      <c r="X64" s="6">
        <v>3.5000000000000003E-2</v>
      </c>
      <c r="Y64" s="3" t="s">
        <v>33</v>
      </c>
      <c r="Z64" s="6">
        <v>1.23E-2</v>
      </c>
      <c r="AA64" s="2">
        <v>46137</v>
      </c>
      <c r="AB64" s="1" t="s">
        <v>33</v>
      </c>
      <c r="AC64" s="1" t="s">
        <v>33</v>
      </c>
      <c r="AD64" s="1" t="s">
        <v>33</v>
      </c>
      <c r="AE64" s="1" t="s">
        <v>33</v>
      </c>
      <c r="AF64" s="1" t="s">
        <v>33</v>
      </c>
      <c r="AG64" s="1" t="s">
        <v>33</v>
      </c>
      <c r="AH64" s="57">
        <v>2.5000000000000001E-2</v>
      </c>
      <c r="AI64" s="12">
        <f t="shared" si="1"/>
        <v>1.2700000000000001E-2</v>
      </c>
      <c r="AK64" s="4">
        <v>46137</v>
      </c>
      <c r="AL64" s="6">
        <v>0.02</v>
      </c>
      <c r="AM64" s="3"/>
      <c r="AN64" s="3"/>
      <c r="AO64" s="3"/>
      <c r="AP64" s="3" t="s">
        <v>33</v>
      </c>
      <c r="AQ64" s="3" t="s">
        <v>33</v>
      </c>
      <c r="AR64" s="6">
        <v>6.7000000000000002E-3</v>
      </c>
      <c r="AS64" s="2">
        <v>46137</v>
      </c>
      <c r="AT64" s="13">
        <v>0.03</v>
      </c>
      <c r="AU64" s="13">
        <v>3.09E-2</v>
      </c>
      <c r="AV64" s="13">
        <v>4.1000000000000002E-2</v>
      </c>
      <c r="AW64" s="13">
        <v>2.8000000000000001E-2</v>
      </c>
      <c r="AX64" s="13">
        <v>5.8700000000000002E-2</v>
      </c>
      <c r="AY64" s="13">
        <v>0.06</v>
      </c>
      <c r="AZ64" s="13">
        <v>3.2899999999999999E-2</v>
      </c>
      <c r="BA64" s="12">
        <f t="shared" si="2"/>
        <v>2.6199999999999998E-2</v>
      </c>
      <c r="BC64" s="4">
        <v>46137</v>
      </c>
      <c r="BD64" s="6">
        <v>8.3999999999999995E-3</v>
      </c>
      <c r="BE64" s="6">
        <v>8.5000000000000006E-3</v>
      </c>
      <c r="BF64" s="6">
        <v>8.6999999999999994E-3</v>
      </c>
      <c r="BG64" s="3"/>
      <c r="BH64" s="3"/>
      <c r="BI64" s="3"/>
      <c r="BJ64" s="6">
        <v>7.7999999999999996E-3</v>
      </c>
      <c r="BK64" s="2">
        <v>46137</v>
      </c>
      <c r="BL64" s="57">
        <v>3.49E-2</v>
      </c>
      <c r="BM64" s="1"/>
      <c r="BN64" s="57">
        <v>5.5100000000000003E-2</v>
      </c>
      <c r="BO64" s="1"/>
      <c r="BP64" s="1"/>
      <c r="BQ64" s="1"/>
      <c r="BR64" s="57">
        <v>2.7900000000000001E-2</v>
      </c>
      <c r="BS64" s="12">
        <f t="shared" si="3"/>
        <v>2.01E-2</v>
      </c>
    </row>
    <row r="65" spans="1:71" x14ac:dyDescent="0.35">
      <c r="A65" s="4">
        <v>46138</v>
      </c>
      <c r="B65" s="3" t="s">
        <v>33</v>
      </c>
      <c r="C65" s="3" t="s">
        <v>33</v>
      </c>
      <c r="D65" s="3" t="s">
        <v>32</v>
      </c>
      <c r="E65" s="3" t="s">
        <v>33</v>
      </c>
      <c r="F65" s="3" t="s">
        <v>32</v>
      </c>
      <c r="G65" s="3" t="s">
        <v>33</v>
      </c>
      <c r="H65" s="9">
        <v>8.2000000000000007E-3</v>
      </c>
      <c r="I65" s="2">
        <v>46138</v>
      </c>
      <c r="J65" s="1" t="s">
        <v>33</v>
      </c>
      <c r="K65" s="1" t="s">
        <v>33</v>
      </c>
      <c r="L65" s="1" t="s">
        <v>32</v>
      </c>
      <c r="M65" s="1" t="s">
        <v>33</v>
      </c>
      <c r="N65" s="1" t="s">
        <v>32</v>
      </c>
      <c r="O65" s="1" t="s">
        <v>32</v>
      </c>
      <c r="P65" s="57">
        <v>2.7699999999999999E-2</v>
      </c>
      <c r="Q65" s="84">
        <f t="shared" si="4"/>
        <v>1.9499999999999997E-2</v>
      </c>
      <c r="S65" s="4">
        <v>46138</v>
      </c>
      <c r="T65" s="3" t="s">
        <v>33</v>
      </c>
      <c r="U65" s="3" t="s">
        <v>33</v>
      </c>
      <c r="V65" s="3" t="s">
        <v>33</v>
      </c>
      <c r="W65" s="3" t="s">
        <v>33</v>
      </c>
      <c r="X65" s="6">
        <v>3.5000000000000003E-2</v>
      </c>
      <c r="Y65" s="3" t="s">
        <v>33</v>
      </c>
      <c r="Z65" s="6">
        <v>1.2200000000000001E-2</v>
      </c>
      <c r="AA65" s="2">
        <v>46138</v>
      </c>
      <c r="AB65" s="1" t="s">
        <v>33</v>
      </c>
      <c r="AC65" s="1" t="s">
        <v>33</v>
      </c>
      <c r="AD65" s="1" t="s">
        <v>33</v>
      </c>
      <c r="AE65" s="1" t="s">
        <v>33</v>
      </c>
      <c r="AF65" s="1" t="s">
        <v>33</v>
      </c>
      <c r="AG65" s="1" t="s">
        <v>33</v>
      </c>
      <c r="AH65" s="57">
        <v>2.5000000000000001E-2</v>
      </c>
      <c r="AI65" s="12">
        <f t="shared" si="1"/>
        <v>1.2800000000000001E-2</v>
      </c>
      <c r="AK65" s="4">
        <v>46138</v>
      </c>
      <c r="AL65" s="6">
        <v>0.02</v>
      </c>
      <c r="AM65" s="3"/>
      <c r="AN65" s="3"/>
      <c r="AO65" s="3"/>
      <c r="AP65" s="3" t="s">
        <v>33</v>
      </c>
      <c r="AQ65" s="3" t="s">
        <v>33</v>
      </c>
      <c r="AR65" s="6">
        <v>6.7000000000000002E-3</v>
      </c>
      <c r="AS65" s="2">
        <v>46138</v>
      </c>
      <c r="AT65" s="13">
        <v>0.03</v>
      </c>
      <c r="AU65" s="13">
        <v>3.09E-2</v>
      </c>
      <c r="AV65" s="13">
        <v>4.1000000000000002E-2</v>
      </c>
      <c r="AW65" s="13">
        <v>2.8000000000000001E-2</v>
      </c>
      <c r="AX65" s="13">
        <v>5.8700000000000002E-2</v>
      </c>
      <c r="AY65" s="13">
        <v>0.06</v>
      </c>
      <c r="AZ65" s="13">
        <v>3.2899999999999999E-2</v>
      </c>
      <c r="BA65" s="12">
        <f t="shared" si="2"/>
        <v>2.6199999999999998E-2</v>
      </c>
      <c r="BC65" s="4">
        <v>46138</v>
      </c>
      <c r="BD65" s="6">
        <v>8.3999999999999995E-3</v>
      </c>
      <c r="BE65" s="6">
        <v>8.5000000000000006E-3</v>
      </c>
      <c r="BF65" s="6">
        <v>8.6999999999999994E-3</v>
      </c>
      <c r="BG65" s="3"/>
      <c r="BH65" s="3"/>
      <c r="BI65" s="3"/>
      <c r="BJ65" s="6">
        <v>7.7999999999999996E-3</v>
      </c>
      <c r="BK65" s="2">
        <v>46138</v>
      </c>
      <c r="BL65" s="57">
        <v>3.49E-2</v>
      </c>
      <c r="BM65" s="1"/>
      <c r="BN65" s="57">
        <v>5.5100000000000003E-2</v>
      </c>
      <c r="BO65" s="1"/>
      <c r="BP65" s="1"/>
      <c r="BQ65" s="1"/>
      <c r="BR65" s="57">
        <v>2.81E-2</v>
      </c>
      <c r="BS65" s="12">
        <f t="shared" si="3"/>
        <v>2.0299999999999999E-2</v>
      </c>
    </row>
    <row r="66" spans="1:71" x14ac:dyDescent="0.35">
      <c r="A66" s="4">
        <v>46139</v>
      </c>
      <c r="B66" s="3" t="s">
        <v>33</v>
      </c>
      <c r="C66" s="3" t="s">
        <v>33</v>
      </c>
      <c r="D66" s="3" t="s">
        <v>32</v>
      </c>
      <c r="E66" s="3" t="s">
        <v>33</v>
      </c>
      <c r="F66" s="3" t="s">
        <v>32</v>
      </c>
      <c r="G66" s="3" t="s">
        <v>33</v>
      </c>
      <c r="H66" s="9">
        <v>8.3000000000000001E-3</v>
      </c>
      <c r="I66" s="2">
        <v>46139</v>
      </c>
      <c r="J66" s="1" t="s">
        <v>33</v>
      </c>
      <c r="K66" s="1" t="s">
        <v>33</v>
      </c>
      <c r="L66" s="1" t="s">
        <v>32</v>
      </c>
      <c r="M66" s="1" t="s">
        <v>33</v>
      </c>
      <c r="N66" s="1" t="s">
        <v>32</v>
      </c>
      <c r="O66" s="1" t="s">
        <v>32</v>
      </c>
      <c r="P66" s="57">
        <v>2.7799999999999998E-2</v>
      </c>
      <c r="Q66" s="84">
        <f t="shared" si="4"/>
        <v>1.9499999999999997E-2</v>
      </c>
      <c r="S66" s="4">
        <v>46139</v>
      </c>
      <c r="T66" s="3" t="s">
        <v>33</v>
      </c>
      <c r="U66" s="3" t="s">
        <v>33</v>
      </c>
      <c r="V66" s="3" t="s">
        <v>33</v>
      </c>
      <c r="W66" s="3" t="s">
        <v>33</v>
      </c>
      <c r="X66" s="6">
        <v>3.5000000000000003E-2</v>
      </c>
      <c r="Y66" s="3" t="s">
        <v>33</v>
      </c>
      <c r="Z66" s="6">
        <v>1.2200000000000001E-2</v>
      </c>
      <c r="AA66" s="2">
        <v>46139</v>
      </c>
      <c r="AB66" s="1" t="s">
        <v>33</v>
      </c>
      <c r="AC66" s="1" t="s">
        <v>33</v>
      </c>
      <c r="AD66" s="1" t="s">
        <v>33</v>
      </c>
      <c r="AE66" s="1" t="s">
        <v>33</v>
      </c>
      <c r="AF66" s="1" t="s">
        <v>33</v>
      </c>
      <c r="AG66" s="1" t="s">
        <v>33</v>
      </c>
      <c r="AH66" s="57">
        <v>2.5000000000000001E-2</v>
      </c>
      <c r="AI66" s="12">
        <f t="shared" si="1"/>
        <v>1.2800000000000001E-2</v>
      </c>
      <c r="AK66" s="4">
        <v>46139</v>
      </c>
      <c r="AL66" s="6">
        <v>0.02</v>
      </c>
      <c r="AM66" s="3"/>
      <c r="AN66" s="3"/>
      <c r="AO66" s="3"/>
      <c r="AP66" s="3" t="s">
        <v>33</v>
      </c>
      <c r="AQ66" s="3" t="s">
        <v>33</v>
      </c>
      <c r="AR66" s="6">
        <v>7.0000000000000001E-3</v>
      </c>
      <c r="AS66" s="2">
        <v>46139</v>
      </c>
      <c r="AT66" s="13">
        <v>0.03</v>
      </c>
      <c r="AU66" s="13">
        <v>3.09E-2</v>
      </c>
      <c r="AV66" s="13">
        <v>4.1000000000000002E-2</v>
      </c>
      <c r="AW66" s="13">
        <v>2.8000000000000001E-2</v>
      </c>
      <c r="AX66" s="13">
        <v>5.8700000000000002E-2</v>
      </c>
      <c r="AY66" s="13">
        <v>0.06</v>
      </c>
      <c r="AZ66" s="13">
        <v>3.2899999999999999E-2</v>
      </c>
      <c r="BA66" s="12">
        <f t="shared" si="2"/>
        <v>2.5899999999999999E-2</v>
      </c>
      <c r="BC66" s="4">
        <v>46139</v>
      </c>
      <c r="BD66" s="6">
        <v>8.3999999999999995E-3</v>
      </c>
      <c r="BE66" s="6">
        <v>8.5000000000000006E-3</v>
      </c>
      <c r="BF66" s="6">
        <v>8.6999999999999994E-3</v>
      </c>
      <c r="BG66" s="3"/>
      <c r="BH66" s="3"/>
      <c r="BI66" s="3"/>
      <c r="BJ66" s="6">
        <v>8.0000000000000002E-3</v>
      </c>
      <c r="BK66" s="2">
        <v>46139</v>
      </c>
      <c r="BL66" s="57">
        <v>3.49E-2</v>
      </c>
      <c r="BM66" s="1"/>
      <c r="BN66" s="57">
        <v>5.5100000000000003E-2</v>
      </c>
      <c r="BO66" s="1"/>
      <c r="BP66" s="1"/>
      <c r="BQ66" s="1"/>
      <c r="BR66" s="57">
        <v>2.8400000000000002E-2</v>
      </c>
      <c r="BS66" s="12">
        <f t="shared" si="3"/>
        <v>2.0400000000000001E-2</v>
      </c>
    </row>
    <row r="67" spans="1:71" x14ac:dyDescent="0.35">
      <c r="A67" s="4">
        <v>46140</v>
      </c>
      <c r="B67" s="3" t="s">
        <v>33</v>
      </c>
      <c r="C67" s="3" t="s">
        <v>33</v>
      </c>
      <c r="D67" s="3" t="s">
        <v>32</v>
      </c>
      <c r="E67" s="3" t="s">
        <v>33</v>
      </c>
      <c r="F67" s="3" t="s">
        <v>32</v>
      </c>
      <c r="G67" s="3" t="s">
        <v>33</v>
      </c>
      <c r="H67" s="9">
        <v>8.3999999999999995E-3</v>
      </c>
      <c r="I67" s="2">
        <v>46140</v>
      </c>
      <c r="J67" s="1" t="s">
        <v>33</v>
      </c>
      <c r="K67" s="1" t="s">
        <v>33</v>
      </c>
      <c r="L67" s="1" t="s">
        <v>32</v>
      </c>
      <c r="M67" s="1" t="s">
        <v>33</v>
      </c>
      <c r="N67" s="1" t="s">
        <v>32</v>
      </c>
      <c r="O67" s="1" t="s">
        <v>32</v>
      </c>
      <c r="P67" s="57">
        <v>2.7900000000000001E-2</v>
      </c>
      <c r="Q67" s="84">
        <f t="shared" si="4"/>
        <v>1.9500000000000003E-2</v>
      </c>
      <c r="S67" s="4">
        <v>46140</v>
      </c>
      <c r="T67" s="3" t="s">
        <v>33</v>
      </c>
      <c r="U67" s="3" t="s">
        <v>33</v>
      </c>
      <c r="V67" s="3" t="s">
        <v>33</v>
      </c>
      <c r="W67" s="3" t="s">
        <v>33</v>
      </c>
      <c r="X67" s="6">
        <v>3.5000000000000003E-2</v>
      </c>
      <c r="Y67" s="3" t="s">
        <v>33</v>
      </c>
      <c r="Z67" s="6">
        <v>1.2200000000000001E-2</v>
      </c>
      <c r="AA67" s="2">
        <v>46140</v>
      </c>
      <c r="AB67" s="1" t="s">
        <v>33</v>
      </c>
      <c r="AC67" s="1" t="s">
        <v>33</v>
      </c>
      <c r="AD67" s="1" t="s">
        <v>33</v>
      </c>
      <c r="AE67" s="1" t="s">
        <v>33</v>
      </c>
      <c r="AF67" s="1" t="s">
        <v>33</v>
      </c>
      <c r="AG67" s="1" t="s">
        <v>33</v>
      </c>
      <c r="AH67" s="57">
        <v>2.5000000000000001E-2</v>
      </c>
      <c r="AI67" s="12">
        <f t="shared" si="1"/>
        <v>1.2800000000000001E-2</v>
      </c>
      <c r="AK67" s="4">
        <v>46140</v>
      </c>
      <c r="AL67" s="6">
        <v>0.02</v>
      </c>
      <c r="AM67" s="3"/>
      <c r="AN67" s="3"/>
      <c r="AO67" s="3"/>
      <c r="AP67" s="3" t="s">
        <v>33</v>
      </c>
      <c r="AQ67" s="3" t="s">
        <v>33</v>
      </c>
      <c r="AR67" s="6">
        <v>6.4999999999999997E-3</v>
      </c>
      <c r="AS67" s="2">
        <v>46140</v>
      </c>
      <c r="AT67" s="13">
        <v>2.9399999999999999E-2</v>
      </c>
      <c r="AU67" s="13">
        <v>2.75E-2</v>
      </c>
      <c r="AV67" s="13">
        <v>3.2500000000000001E-2</v>
      </c>
      <c r="AW67" s="13">
        <v>4.99E-2</v>
      </c>
      <c r="AX67" s="13">
        <v>5.9400000000000001E-2</v>
      </c>
      <c r="AY67" s="13">
        <v>3.4000000000000002E-2</v>
      </c>
      <c r="AZ67" s="13">
        <v>3.2899999999999999E-2</v>
      </c>
      <c r="BA67" s="12">
        <f t="shared" si="2"/>
        <v>2.64E-2</v>
      </c>
      <c r="BC67" s="4">
        <v>46140</v>
      </c>
      <c r="BD67" s="6">
        <v>8.3999999999999995E-3</v>
      </c>
      <c r="BE67" s="6">
        <v>8.5000000000000006E-3</v>
      </c>
      <c r="BF67" s="6">
        <v>8.6999999999999994E-3</v>
      </c>
      <c r="BG67" s="3"/>
      <c r="BH67" s="3"/>
      <c r="BI67" s="3"/>
      <c r="BJ67" s="6">
        <v>8.2000000000000007E-3</v>
      </c>
      <c r="BK67" s="2">
        <v>46140</v>
      </c>
      <c r="BL67" s="57">
        <v>3.49E-2</v>
      </c>
      <c r="BM67" s="1"/>
      <c r="BN67" s="57">
        <v>5.5100000000000003E-2</v>
      </c>
      <c r="BO67" s="1"/>
      <c r="BP67" s="1"/>
      <c r="BQ67" s="1"/>
      <c r="BR67" s="57">
        <v>2.86E-2</v>
      </c>
      <c r="BS67" s="12">
        <f t="shared" si="3"/>
        <v>2.0400000000000001E-2</v>
      </c>
    </row>
    <row r="68" spans="1:71" x14ac:dyDescent="0.35">
      <c r="A68" s="4">
        <v>46141</v>
      </c>
      <c r="B68" s="3" t="s">
        <v>33</v>
      </c>
      <c r="C68" s="3" t="s">
        <v>33</v>
      </c>
      <c r="D68" s="3" t="s">
        <v>32</v>
      </c>
      <c r="E68" s="3" t="s">
        <v>33</v>
      </c>
      <c r="F68" s="3" t="s">
        <v>32</v>
      </c>
      <c r="G68" s="3" t="s">
        <v>33</v>
      </c>
      <c r="H68" s="9">
        <v>9.5999999999999992E-3</v>
      </c>
      <c r="I68" s="2">
        <v>46141</v>
      </c>
      <c r="J68" s="1" t="s">
        <v>33</v>
      </c>
      <c r="K68" s="1" t="s">
        <v>33</v>
      </c>
      <c r="L68" s="1" t="s">
        <v>32</v>
      </c>
      <c r="M68" s="1" t="s">
        <v>33</v>
      </c>
      <c r="N68" s="1" t="s">
        <v>32</v>
      </c>
      <c r="O68" s="1" t="s">
        <v>32</v>
      </c>
      <c r="P68" s="57">
        <v>2.9899999999999999E-2</v>
      </c>
      <c r="Q68" s="84">
        <f t="shared" si="4"/>
        <v>2.0299999999999999E-2</v>
      </c>
      <c r="S68" s="4">
        <v>46141</v>
      </c>
      <c r="T68" s="3" t="s">
        <v>33</v>
      </c>
      <c r="U68" s="3" t="s">
        <v>33</v>
      </c>
      <c r="V68" s="3" t="s">
        <v>33</v>
      </c>
      <c r="W68" s="3" t="s">
        <v>33</v>
      </c>
      <c r="X68" s="6">
        <v>3.5000000000000003E-2</v>
      </c>
      <c r="Y68" s="3" t="s">
        <v>33</v>
      </c>
      <c r="Z68" s="6">
        <v>1.24E-2</v>
      </c>
      <c r="AA68" s="2">
        <v>46141</v>
      </c>
      <c r="AB68" s="1" t="s">
        <v>33</v>
      </c>
      <c r="AC68" s="1" t="s">
        <v>33</v>
      </c>
      <c r="AD68" s="1" t="s">
        <v>33</v>
      </c>
      <c r="AE68" s="1" t="s">
        <v>33</v>
      </c>
      <c r="AF68" s="1" t="s">
        <v>33</v>
      </c>
      <c r="AG68" s="1" t="s">
        <v>33</v>
      </c>
      <c r="AH68" s="57">
        <v>2.5000000000000001E-2</v>
      </c>
      <c r="AI68" s="12">
        <f t="shared" si="1"/>
        <v>1.2600000000000002E-2</v>
      </c>
      <c r="AK68" s="4">
        <v>46141</v>
      </c>
      <c r="AL68" s="6">
        <v>0.02</v>
      </c>
      <c r="AM68" s="3"/>
      <c r="AN68" s="3"/>
      <c r="AO68" s="3"/>
      <c r="AP68" s="3" t="s">
        <v>33</v>
      </c>
      <c r="AQ68" s="3" t="s">
        <v>33</v>
      </c>
      <c r="AR68" s="6">
        <v>7.4999999999999997E-3</v>
      </c>
      <c r="AS68" s="2">
        <v>46141</v>
      </c>
      <c r="AT68" s="13">
        <v>2.7E-2</v>
      </c>
      <c r="AU68" s="13">
        <v>2.7400000000000001E-2</v>
      </c>
      <c r="AV68" s="13">
        <v>3.0499999999999999E-2</v>
      </c>
      <c r="AW68" s="13">
        <v>4.4400000000000002E-2</v>
      </c>
      <c r="AX68" s="13">
        <v>5.7799999999999997E-2</v>
      </c>
      <c r="AY68" s="13">
        <v>5.5E-2</v>
      </c>
      <c r="AZ68" s="13">
        <v>3.2899999999999999E-2</v>
      </c>
      <c r="BA68" s="12">
        <f t="shared" si="2"/>
        <v>2.5399999999999999E-2</v>
      </c>
      <c r="BC68" s="4">
        <v>46141</v>
      </c>
      <c r="BD68" s="6">
        <v>8.3999999999999995E-3</v>
      </c>
      <c r="BE68" s="6">
        <v>8.5000000000000006E-3</v>
      </c>
      <c r="BF68" s="6">
        <v>8.6999999999999994E-3</v>
      </c>
      <c r="BG68" s="3"/>
      <c r="BH68" s="3"/>
      <c r="BI68" s="3"/>
      <c r="BJ68" s="6">
        <v>8.6E-3</v>
      </c>
      <c r="BK68" s="2">
        <v>46141</v>
      </c>
      <c r="BL68" s="57">
        <v>3.61E-2</v>
      </c>
      <c r="BM68" s="1"/>
      <c r="BN68" s="57">
        <v>5.5100000000000003E-2</v>
      </c>
      <c r="BO68" s="1"/>
      <c r="BP68" s="1"/>
      <c r="BQ68" s="1"/>
      <c r="BR68" s="57">
        <v>3.0200000000000001E-2</v>
      </c>
      <c r="BS68" s="12">
        <f t="shared" si="3"/>
        <v>2.1600000000000001E-2</v>
      </c>
    </row>
    <row r="69" spans="1:71" x14ac:dyDescent="0.35">
      <c r="A69" s="4">
        <v>46142</v>
      </c>
      <c r="B69" s="3" t="s">
        <v>33</v>
      </c>
      <c r="C69" s="3" t="s">
        <v>33</v>
      </c>
      <c r="D69" s="3" t="s">
        <v>32</v>
      </c>
      <c r="E69" s="3" t="s">
        <v>33</v>
      </c>
      <c r="F69" s="3" t="s">
        <v>32</v>
      </c>
      <c r="G69" s="3" t="s">
        <v>33</v>
      </c>
      <c r="H69" s="9">
        <v>9.1000000000000004E-3</v>
      </c>
      <c r="I69" s="2">
        <v>46142</v>
      </c>
      <c r="J69" s="1" t="s">
        <v>33</v>
      </c>
      <c r="K69" s="1" t="s">
        <v>33</v>
      </c>
      <c r="L69" s="1" t="s">
        <v>32</v>
      </c>
      <c r="M69" s="1" t="s">
        <v>33</v>
      </c>
      <c r="N69" s="1" t="s">
        <v>32</v>
      </c>
      <c r="O69" s="1" t="s">
        <v>32</v>
      </c>
      <c r="P69" s="57">
        <v>2.92E-2</v>
      </c>
      <c r="Q69" s="84">
        <f t="shared" si="4"/>
        <v>2.01E-2</v>
      </c>
      <c r="S69" s="4">
        <v>46142</v>
      </c>
      <c r="T69" s="3" t="s">
        <v>33</v>
      </c>
      <c r="U69" s="3" t="s">
        <v>33</v>
      </c>
      <c r="V69" s="3" t="s">
        <v>33</v>
      </c>
      <c r="W69" s="3" t="s">
        <v>33</v>
      </c>
      <c r="X69" s="6">
        <v>3.5000000000000003E-2</v>
      </c>
      <c r="Y69" s="3" t="s">
        <v>33</v>
      </c>
      <c r="Z69" s="6">
        <v>1.24E-2</v>
      </c>
      <c r="AA69" s="2">
        <v>46142</v>
      </c>
      <c r="AB69" s="1" t="s">
        <v>33</v>
      </c>
      <c r="AC69" s="1" t="s">
        <v>33</v>
      </c>
      <c r="AD69" s="1" t="s">
        <v>33</v>
      </c>
      <c r="AE69" s="1" t="s">
        <v>33</v>
      </c>
      <c r="AF69" s="1" t="s">
        <v>33</v>
      </c>
      <c r="AG69" s="1" t="s">
        <v>33</v>
      </c>
      <c r="AH69" s="57">
        <v>2.5000000000000001E-2</v>
      </c>
      <c r="AI69" s="12">
        <f t="shared" si="1"/>
        <v>1.2600000000000002E-2</v>
      </c>
      <c r="AK69" s="4">
        <v>46142</v>
      </c>
      <c r="AL69" s="6">
        <v>0.02</v>
      </c>
      <c r="AM69" s="3"/>
      <c r="AN69" s="3"/>
      <c r="AO69" s="3"/>
      <c r="AP69" s="3" t="s">
        <v>33</v>
      </c>
      <c r="AQ69" s="3" t="s">
        <v>33</v>
      </c>
      <c r="AR69" s="6">
        <v>7.4999999999999997E-3</v>
      </c>
      <c r="AS69" s="2">
        <v>46142</v>
      </c>
      <c r="AT69" s="13">
        <v>2.6499999999999999E-2</v>
      </c>
      <c r="AU69" s="13">
        <v>2.7E-2</v>
      </c>
      <c r="AV69" s="13">
        <v>2.9499999999999998E-2</v>
      </c>
      <c r="AW69" s="13">
        <v>4.3999999999999997E-2</v>
      </c>
      <c r="AX69" s="13">
        <v>5.7599999999999998E-2</v>
      </c>
      <c r="AY69" s="13">
        <v>3.2000000000000001E-2</v>
      </c>
      <c r="AZ69" s="13">
        <v>3.2899999999999999E-2</v>
      </c>
      <c r="BA69" s="12">
        <f t="shared" si="2"/>
        <v>2.5399999999999999E-2</v>
      </c>
      <c r="BC69" s="4">
        <v>46142</v>
      </c>
      <c r="BD69" s="6">
        <v>8.3999999999999995E-3</v>
      </c>
      <c r="BE69" s="6">
        <v>8.5000000000000006E-3</v>
      </c>
      <c r="BF69" s="6">
        <v>8.6999999999999994E-3</v>
      </c>
      <c r="BG69" s="3"/>
      <c r="BH69" s="3"/>
      <c r="BI69" s="3"/>
      <c r="BJ69" s="6">
        <v>8.3999999999999995E-3</v>
      </c>
      <c r="BK69" s="2">
        <v>46142</v>
      </c>
      <c r="BL69" s="57">
        <v>3.5400000000000001E-2</v>
      </c>
      <c r="BM69" s="1"/>
      <c r="BN69" s="57">
        <v>5.5100000000000003E-2</v>
      </c>
      <c r="BO69" s="1"/>
      <c r="BP69" s="1"/>
      <c r="BQ69" s="1"/>
      <c r="BR69" s="57">
        <v>2.9499999999999998E-2</v>
      </c>
      <c r="BS69" s="12">
        <f t="shared" si="3"/>
        <v>2.1100000000000001E-2</v>
      </c>
    </row>
    <row r="70" spans="1:71" x14ac:dyDescent="0.35">
      <c r="A70" s="4">
        <v>46143</v>
      </c>
      <c r="B70" s="3" t="s">
        <v>33</v>
      </c>
      <c r="C70" s="3" t="s">
        <v>33</v>
      </c>
      <c r="D70" s="3" t="s">
        <v>32</v>
      </c>
      <c r="E70" s="3" t="s">
        <v>33</v>
      </c>
      <c r="F70" s="3" t="s">
        <v>32</v>
      </c>
      <c r="G70" s="3" t="s">
        <v>33</v>
      </c>
      <c r="H70" s="9">
        <v>8.6999999999999994E-3</v>
      </c>
      <c r="I70" s="2">
        <v>46143</v>
      </c>
      <c r="J70" s="1" t="s">
        <v>33</v>
      </c>
      <c r="K70" s="1" t="s">
        <v>33</v>
      </c>
      <c r="L70" s="1" t="s">
        <v>32</v>
      </c>
      <c r="M70" s="1" t="s">
        <v>33</v>
      </c>
      <c r="N70" s="1" t="s">
        <v>32</v>
      </c>
      <c r="O70" s="1" t="s">
        <v>32</v>
      </c>
      <c r="P70" s="57">
        <v>2.9700000000000001E-2</v>
      </c>
      <c r="Q70" s="84">
        <f t="shared" si="4"/>
        <v>2.1000000000000001E-2</v>
      </c>
      <c r="S70" s="4">
        <v>46143</v>
      </c>
      <c r="T70" s="3" t="s">
        <v>33</v>
      </c>
      <c r="U70" s="3" t="s">
        <v>33</v>
      </c>
      <c r="V70" s="3" t="s">
        <v>33</v>
      </c>
      <c r="W70" s="3" t="s">
        <v>33</v>
      </c>
      <c r="X70" s="6">
        <v>3.5000000000000003E-2</v>
      </c>
      <c r="Y70" s="3" t="s">
        <v>33</v>
      </c>
      <c r="Z70" s="6">
        <v>1.24E-2</v>
      </c>
      <c r="AA70" s="2">
        <v>46143</v>
      </c>
      <c r="AB70" s="1" t="s">
        <v>33</v>
      </c>
      <c r="AC70" s="1" t="s">
        <v>33</v>
      </c>
      <c r="AD70" s="1" t="s">
        <v>33</v>
      </c>
      <c r="AE70" s="1" t="s">
        <v>33</v>
      </c>
      <c r="AF70" s="1" t="s">
        <v>33</v>
      </c>
      <c r="AG70" s="1" t="s">
        <v>33</v>
      </c>
      <c r="AH70" s="57">
        <v>2.5000000000000001E-2</v>
      </c>
      <c r="AI70" s="12">
        <f t="shared" si="1"/>
        <v>1.2600000000000002E-2</v>
      </c>
      <c r="AK70" s="4">
        <v>46143</v>
      </c>
      <c r="AL70" s="6">
        <v>0.02</v>
      </c>
      <c r="AM70" s="3"/>
      <c r="AN70" s="3"/>
      <c r="AO70" s="3"/>
      <c r="AP70" s="3" t="s">
        <v>33</v>
      </c>
      <c r="AQ70" s="3" t="s">
        <v>33</v>
      </c>
      <c r="AR70" s="6">
        <v>6.7000000000000002E-3</v>
      </c>
      <c r="AS70" s="2">
        <v>46143</v>
      </c>
      <c r="AT70" s="13">
        <v>2.6800000000000001E-2</v>
      </c>
      <c r="AU70" s="13">
        <v>2.7400000000000001E-2</v>
      </c>
      <c r="AV70" s="13">
        <v>2.8000000000000001E-2</v>
      </c>
      <c r="AW70" s="13">
        <v>4.3900000000000002E-2</v>
      </c>
      <c r="AX70" s="13">
        <v>5.3900000000000003E-2</v>
      </c>
      <c r="AY70" s="13">
        <v>0.05</v>
      </c>
      <c r="AZ70" s="13">
        <v>3.2899999999999999E-2</v>
      </c>
      <c r="BA70" s="12">
        <f t="shared" si="2"/>
        <v>2.6199999999999998E-2</v>
      </c>
      <c r="BC70" s="4">
        <v>46143</v>
      </c>
      <c r="BD70" s="6">
        <v>8.3999999999999995E-3</v>
      </c>
      <c r="BE70" s="6">
        <v>8.5000000000000006E-3</v>
      </c>
      <c r="BF70" s="6">
        <v>8.6999999999999994E-3</v>
      </c>
      <c r="BG70" s="3"/>
      <c r="BH70" s="3"/>
      <c r="BI70" s="3"/>
      <c r="BJ70" s="6">
        <v>8.5000000000000006E-3</v>
      </c>
      <c r="BK70" s="2">
        <v>46143</v>
      </c>
      <c r="BL70" s="57">
        <v>3.49E-2</v>
      </c>
      <c r="BM70" s="1"/>
      <c r="BN70" s="57">
        <v>5.5100000000000003E-2</v>
      </c>
      <c r="BO70" s="1"/>
      <c r="BP70" s="1"/>
      <c r="BQ70" s="1"/>
      <c r="BR70" s="57">
        <v>2.98E-2</v>
      </c>
      <c r="BS70" s="12">
        <f t="shared" si="3"/>
        <v>2.1299999999999999E-2</v>
      </c>
    </row>
    <row r="71" spans="1:71" x14ac:dyDescent="0.35">
      <c r="A71" s="4">
        <v>46144</v>
      </c>
      <c r="B71" s="3" t="s">
        <v>33</v>
      </c>
      <c r="C71" s="3" t="s">
        <v>33</v>
      </c>
      <c r="D71" s="3" t="s">
        <v>32</v>
      </c>
      <c r="E71" s="3" t="s">
        <v>33</v>
      </c>
      <c r="F71" s="3" t="s">
        <v>32</v>
      </c>
      <c r="G71" s="3" t="s">
        <v>33</v>
      </c>
      <c r="H71" s="9">
        <v>8.0999999999999996E-3</v>
      </c>
      <c r="I71" s="2">
        <v>46144</v>
      </c>
      <c r="J71" s="1" t="s">
        <v>33</v>
      </c>
      <c r="K71" s="1" t="s">
        <v>33</v>
      </c>
      <c r="L71" s="1" t="s">
        <v>32</v>
      </c>
      <c r="M71" s="1" t="s">
        <v>33</v>
      </c>
      <c r="N71" s="1" t="s">
        <v>32</v>
      </c>
      <c r="O71" s="1" t="s">
        <v>32</v>
      </c>
      <c r="P71" s="57">
        <v>2.8299999999999999E-2</v>
      </c>
      <c r="Q71" s="84">
        <f t="shared" si="4"/>
        <v>2.0199999999999999E-2</v>
      </c>
      <c r="S71" s="4">
        <v>46144</v>
      </c>
      <c r="T71" s="3" t="s">
        <v>33</v>
      </c>
      <c r="U71" s="3" t="s">
        <v>33</v>
      </c>
      <c r="V71" s="3" t="s">
        <v>33</v>
      </c>
      <c r="W71" s="3" t="s">
        <v>33</v>
      </c>
      <c r="X71" s="6">
        <v>3.5000000000000003E-2</v>
      </c>
      <c r="Y71" s="3" t="s">
        <v>33</v>
      </c>
      <c r="Z71" s="6">
        <v>1.2500000000000001E-2</v>
      </c>
      <c r="AA71" s="2">
        <v>46144</v>
      </c>
      <c r="AB71" s="1" t="s">
        <v>33</v>
      </c>
      <c r="AC71" s="1" t="s">
        <v>33</v>
      </c>
      <c r="AD71" s="1" t="s">
        <v>33</v>
      </c>
      <c r="AE71" s="1" t="s">
        <v>33</v>
      </c>
      <c r="AF71" s="1" t="s">
        <v>33</v>
      </c>
      <c r="AG71" s="1" t="s">
        <v>33</v>
      </c>
      <c r="AH71" s="57">
        <v>2.5000000000000001E-2</v>
      </c>
      <c r="AI71" s="12">
        <f t="shared" si="1"/>
        <v>1.2500000000000001E-2</v>
      </c>
      <c r="AK71" s="4">
        <v>46144</v>
      </c>
      <c r="AL71" s="6">
        <v>0.02</v>
      </c>
      <c r="AM71" s="3"/>
      <c r="AN71" s="3"/>
      <c r="AO71" s="3"/>
      <c r="AP71" s="3" t="s">
        <v>33</v>
      </c>
      <c r="AQ71" s="3" t="s">
        <v>33</v>
      </c>
      <c r="AR71" s="6">
        <v>6.7000000000000002E-3</v>
      </c>
      <c r="AS71" s="2">
        <v>46144</v>
      </c>
      <c r="AT71" s="13">
        <v>2.6800000000000001E-2</v>
      </c>
      <c r="AU71" s="13">
        <v>2.75E-2</v>
      </c>
      <c r="AV71" s="13">
        <v>2.8000000000000001E-2</v>
      </c>
      <c r="AW71" s="13">
        <v>4.3900000000000002E-2</v>
      </c>
      <c r="AX71" s="13">
        <v>5.3900000000000003E-2</v>
      </c>
      <c r="AY71" s="13">
        <v>0.05</v>
      </c>
      <c r="AZ71" s="13">
        <v>3.2899999999999999E-2</v>
      </c>
      <c r="BA71" s="12">
        <f t="shared" ref="BA71:BA132" si="5">AZ71-AR71</f>
        <v>2.6199999999999998E-2</v>
      </c>
      <c r="BC71" s="4">
        <v>46144</v>
      </c>
      <c r="BD71" s="6">
        <v>8.3999999999999995E-3</v>
      </c>
      <c r="BE71" s="6">
        <v>8.5000000000000006E-3</v>
      </c>
      <c r="BF71" s="6">
        <v>8.6999999999999994E-3</v>
      </c>
      <c r="BG71" s="3"/>
      <c r="BH71" s="3"/>
      <c r="BI71" s="3"/>
      <c r="BJ71" s="6">
        <v>7.9000000000000008E-3</v>
      </c>
      <c r="BK71" s="2">
        <v>46144</v>
      </c>
      <c r="BL71" s="57">
        <v>3.49E-2</v>
      </c>
      <c r="BM71" s="1"/>
      <c r="BN71" s="57">
        <v>5.5100000000000003E-2</v>
      </c>
      <c r="BO71" s="1"/>
      <c r="BP71" s="1"/>
      <c r="BQ71" s="1"/>
      <c r="BR71" s="57">
        <v>2.8299999999999999E-2</v>
      </c>
      <c r="BS71" s="12">
        <f t="shared" si="3"/>
        <v>2.0399999999999998E-2</v>
      </c>
    </row>
    <row r="72" spans="1:71" x14ac:dyDescent="0.35">
      <c r="A72" s="4">
        <v>46145</v>
      </c>
      <c r="B72" s="3" t="s">
        <v>33</v>
      </c>
      <c r="C72" s="3" t="s">
        <v>33</v>
      </c>
      <c r="D72" s="3" t="s">
        <v>32</v>
      </c>
      <c r="E72" s="3" t="s">
        <v>33</v>
      </c>
      <c r="F72" s="3" t="s">
        <v>32</v>
      </c>
      <c r="G72" s="3" t="s">
        <v>33</v>
      </c>
      <c r="H72" s="9">
        <v>8.0000000000000002E-3</v>
      </c>
      <c r="I72" s="2">
        <v>46145</v>
      </c>
      <c r="J72" s="1" t="s">
        <v>33</v>
      </c>
      <c r="K72" s="1" t="s">
        <v>33</v>
      </c>
      <c r="L72" s="1" t="s">
        <v>32</v>
      </c>
      <c r="M72" s="1" t="s">
        <v>33</v>
      </c>
      <c r="N72" s="1" t="s">
        <v>32</v>
      </c>
      <c r="O72" s="1" t="s">
        <v>32</v>
      </c>
      <c r="P72" s="57">
        <v>2.81E-2</v>
      </c>
      <c r="Q72" s="84">
        <f t="shared" si="4"/>
        <v>2.01E-2</v>
      </c>
      <c r="S72" s="4">
        <v>46145</v>
      </c>
      <c r="T72" s="3" t="s">
        <v>33</v>
      </c>
      <c r="U72" s="3" t="s">
        <v>33</v>
      </c>
      <c r="V72" s="3" t="s">
        <v>33</v>
      </c>
      <c r="W72" s="3" t="s">
        <v>33</v>
      </c>
      <c r="X72" s="6">
        <v>3.5000000000000003E-2</v>
      </c>
      <c r="Y72" s="3" t="s">
        <v>33</v>
      </c>
      <c r="Z72" s="6">
        <v>1.24E-2</v>
      </c>
      <c r="AA72" s="2">
        <v>46145</v>
      </c>
      <c r="AB72" s="1" t="s">
        <v>33</v>
      </c>
      <c r="AC72" s="1" t="s">
        <v>33</v>
      </c>
      <c r="AD72" s="1" t="s">
        <v>33</v>
      </c>
      <c r="AE72" s="1" t="s">
        <v>33</v>
      </c>
      <c r="AF72" s="1" t="s">
        <v>33</v>
      </c>
      <c r="AG72" s="1" t="s">
        <v>33</v>
      </c>
      <c r="AH72" s="57">
        <v>2.5000000000000001E-2</v>
      </c>
      <c r="AI72" s="12">
        <f t="shared" si="1"/>
        <v>1.2600000000000002E-2</v>
      </c>
      <c r="AK72" s="4">
        <v>46145</v>
      </c>
      <c r="AL72" s="6">
        <v>0.02</v>
      </c>
      <c r="AM72" s="3"/>
      <c r="AN72" s="3"/>
      <c r="AO72" s="3"/>
      <c r="AP72" s="3" t="s">
        <v>33</v>
      </c>
      <c r="AQ72" s="3" t="s">
        <v>33</v>
      </c>
      <c r="AR72" s="6">
        <v>6.7000000000000002E-3</v>
      </c>
      <c r="AS72" s="2">
        <v>46145</v>
      </c>
      <c r="AT72" s="13">
        <v>2.6499999999999999E-2</v>
      </c>
      <c r="AU72" s="13">
        <v>2.75E-2</v>
      </c>
      <c r="AV72" s="13">
        <v>2.8000000000000001E-2</v>
      </c>
      <c r="AW72" s="13">
        <v>4.3900000000000002E-2</v>
      </c>
      <c r="AX72" s="13">
        <v>5.3900000000000003E-2</v>
      </c>
      <c r="AY72" s="13">
        <v>0.05</v>
      </c>
      <c r="AZ72" s="13">
        <v>3.2899999999999999E-2</v>
      </c>
      <c r="BA72" s="12">
        <f t="shared" si="5"/>
        <v>2.6199999999999998E-2</v>
      </c>
      <c r="BC72" s="4">
        <v>46145</v>
      </c>
      <c r="BD72" s="6">
        <v>8.3999999999999995E-3</v>
      </c>
      <c r="BE72" s="6">
        <v>8.5000000000000006E-3</v>
      </c>
      <c r="BF72" s="6">
        <v>8.6999999999999994E-3</v>
      </c>
      <c r="BG72" s="3"/>
      <c r="BH72" s="3"/>
      <c r="BI72" s="3"/>
      <c r="BJ72" s="6">
        <v>7.7999999999999996E-3</v>
      </c>
      <c r="BK72" s="2">
        <v>46145</v>
      </c>
      <c r="BL72" s="57">
        <v>3.49E-2</v>
      </c>
      <c r="BM72" s="1"/>
      <c r="BN72" s="57">
        <v>5.5100000000000003E-2</v>
      </c>
      <c r="BO72" s="1"/>
      <c r="BP72" s="1"/>
      <c r="BQ72" s="1"/>
      <c r="BR72" s="57">
        <v>2.7300000000000001E-2</v>
      </c>
      <c r="BS72" s="12">
        <f t="shared" si="3"/>
        <v>1.9500000000000003E-2</v>
      </c>
    </row>
    <row r="73" spans="1:71" x14ac:dyDescent="0.35">
      <c r="A73" s="4">
        <v>46146</v>
      </c>
      <c r="B73" s="3" t="s">
        <v>33</v>
      </c>
      <c r="C73" s="3" t="s">
        <v>33</v>
      </c>
      <c r="D73" s="3" t="s">
        <v>32</v>
      </c>
      <c r="E73" s="3" t="s">
        <v>33</v>
      </c>
      <c r="F73" s="3" t="s">
        <v>32</v>
      </c>
      <c r="G73" s="3" t="s">
        <v>33</v>
      </c>
      <c r="H73" s="9">
        <v>8.8000000000000005E-3</v>
      </c>
      <c r="I73" s="2">
        <v>46146</v>
      </c>
      <c r="J73" s="1" t="s">
        <v>33</v>
      </c>
      <c r="K73" s="1" t="s">
        <v>33</v>
      </c>
      <c r="L73" s="1" t="s">
        <v>32</v>
      </c>
      <c r="M73" s="1" t="s">
        <v>33</v>
      </c>
      <c r="N73" s="1" t="s">
        <v>32</v>
      </c>
      <c r="O73" s="1" t="s">
        <v>32</v>
      </c>
      <c r="P73" s="57">
        <v>2.86E-2</v>
      </c>
      <c r="Q73" s="84">
        <f t="shared" si="4"/>
        <v>1.9799999999999998E-2</v>
      </c>
      <c r="S73" s="4">
        <v>46146</v>
      </c>
      <c r="T73" s="3" t="s">
        <v>33</v>
      </c>
      <c r="U73" s="3" t="s">
        <v>33</v>
      </c>
      <c r="V73" s="3" t="s">
        <v>33</v>
      </c>
      <c r="W73" s="3" t="s">
        <v>33</v>
      </c>
      <c r="X73" s="6">
        <v>3.5000000000000003E-2</v>
      </c>
      <c r="Y73" s="3" t="s">
        <v>33</v>
      </c>
      <c r="Z73" s="6">
        <v>1.2699999999999999E-2</v>
      </c>
      <c r="AA73" s="2">
        <v>46146</v>
      </c>
      <c r="AB73" s="1" t="s">
        <v>33</v>
      </c>
      <c r="AC73" s="1" t="s">
        <v>33</v>
      </c>
      <c r="AD73" s="1" t="s">
        <v>33</v>
      </c>
      <c r="AE73" s="1" t="s">
        <v>33</v>
      </c>
      <c r="AF73" s="1" t="s">
        <v>33</v>
      </c>
      <c r="AG73" s="1" t="s">
        <v>33</v>
      </c>
      <c r="AH73" s="57">
        <v>2.5000000000000001E-2</v>
      </c>
      <c r="AI73" s="12">
        <f t="shared" si="1"/>
        <v>1.2300000000000002E-2</v>
      </c>
      <c r="AK73" s="4">
        <v>46146</v>
      </c>
      <c r="AL73" s="6">
        <v>0.02</v>
      </c>
      <c r="AM73" s="3"/>
      <c r="AN73" s="3"/>
      <c r="AO73" s="3"/>
      <c r="AP73" s="3" t="s">
        <v>33</v>
      </c>
      <c r="AQ73" s="3" t="s">
        <v>33</v>
      </c>
      <c r="AR73" s="6">
        <v>7.3000000000000001E-3</v>
      </c>
      <c r="AS73" s="2">
        <v>46146</v>
      </c>
      <c r="AT73" s="13">
        <v>2.6800000000000001E-2</v>
      </c>
      <c r="AU73" s="13">
        <v>2.75E-2</v>
      </c>
      <c r="AV73" s="13">
        <v>2.8000000000000001E-2</v>
      </c>
      <c r="AW73" s="13">
        <v>4.3900000000000002E-2</v>
      </c>
      <c r="AX73" s="13">
        <v>5.3900000000000003E-2</v>
      </c>
      <c r="AY73" s="13">
        <v>0.05</v>
      </c>
      <c r="AZ73" s="13">
        <v>3.2899999999999999E-2</v>
      </c>
      <c r="BA73" s="12">
        <f t="shared" si="5"/>
        <v>2.5599999999999998E-2</v>
      </c>
      <c r="BC73" s="4">
        <v>46146</v>
      </c>
      <c r="BD73" s="6">
        <v>8.3999999999999995E-3</v>
      </c>
      <c r="BE73" s="6">
        <v>8.5000000000000006E-3</v>
      </c>
      <c r="BF73" s="6">
        <v>8.6999999999999994E-3</v>
      </c>
      <c r="BG73" s="3"/>
      <c r="BH73" s="3"/>
      <c r="BI73" s="3"/>
      <c r="BJ73" s="6">
        <v>8.0000000000000002E-3</v>
      </c>
      <c r="BK73" s="2">
        <v>46146</v>
      </c>
      <c r="BL73" s="57">
        <v>3.49E-2</v>
      </c>
      <c r="BM73" s="1"/>
      <c r="BN73" s="57">
        <v>5.5100000000000003E-2</v>
      </c>
      <c r="BO73" s="1"/>
      <c r="BP73" s="1"/>
      <c r="BQ73" s="1"/>
      <c r="BR73" s="57">
        <v>2.81E-2</v>
      </c>
      <c r="BS73" s="12">
        <f t="shared" si="3"/>
        <v>2.01E-2</v>
      </c>
    </row>
    <row r="74" spans="1:71" x14ac:dyDescent="0.35">
      <c r="A74" s="4">
        <v>46147</v>
      </c>
      <c r="B74" s="3" t="s">
        <v>33</v>
      </c>
      <c r="C74" s="3" t="s">
        <v>33</v>
      </c>
      <c r="D74" s="3" t="s">
        <v>32</v>
      </c>
      <c r="E74" s="3" t="s">
        <v>33</v>
      </c>
      <c r="F74" s="3" t="s">
        <v>32</v>
      </c>
      <c r="G74" s="3" t="s">
        <v>33</v>
      </c>
      <c r="H74" s="9">
        <v>8.5000000000000006E-3</v>
      </c>
      <c r="I74" s="2">
        <v>46147</v>
      </c>
      <c r="J74" s="1" t="s">
        <v>33</v>
      </c>
      <c r="K74" s="1" t="s">
        <v>33</v>
      </c>
      <c r="L74" s="1" t="s">
        <v>32</v>
      </c>
      <c r="M74" s="1" t="s">
        <v>33</v>
      </c>
      <c r="N74" s="1" t="s">
        <v>32</v>
      </c>
      <c r="O74" s="1" t="s">
        <v>32</v>
      </c>
      <c r="P74" s="57">
        <v>2.81E-2</v>
      </c>
      <c r="Q74" s="84">
        <f t="shared" si="4"/>
        <v>1.9599999999999999E-2</v>
      </c>
      <c r="S74" s="4">
        <v>46147</v>
      </c>
      <c r="T74" s="3" t="s">
        <v>33</v>
      </c>
      <c r="U74" s="3" t="s">
        <v>33</v>
      </c>
      <c r="V74" s="3" t="s">
        <v>33</v>
      </c>
      <c r="W74" s="3" t="s">
        <v>33</v>
      </c>
      <c r="X74" s="6">
        <v>3.5000000000000003E-2</v>
      </c>
      <c r="Y74" s="3" t="s">
        <v>33</v>
      </c>
      <c r="Z74" s="6">
        <v>1.23E-2</v>
      </c>
      <c r="AA74" s="2">
        <v>46147</v>
      </c>
      <c r="AB74" s="1" t="s">
        <v>33</v>
      </c>
      <c r="AC74" s="1" t="s">
        <v>33</v>
      </c>
      <c r="AD74" s="1" t="s">
        <v>33</v>
      </c>
      <c r="AE74" s="1" t="s">
        <v>33</v>
      </c>
      <c r="AF74" s="1" t="s">
        <v>33</v>
      </c>
      <c r="AG74" s="1" t="s">
        <v>33</v>
      </c>
      <c r="AH74" s="57">
        <v>2.5000000000000001E-2</v>
      </c>
      <c r="AI74" s="12">
        <f t="shared" si="1"/>
        <v>1.2700000000000001E-2</v>
      </c>
      <c r="AK74" s="4">
        <v>46147</v>
      </c>
      <c r="AL74" s="6">
        <v>0.02</v>
      </c>
      <c r="AM74" s="3"/>
      <c r="AN74" s="3"/>
      <c r="AO74" s="3"/>
      <c r="AP74" s="3" t="s">
        <v>33</v>
      </c>
      <c r="AQ74" s="3" t="s">
        <v>33</v>
      </c>
      <c r="AR74" s="6">
        <v>6.8999999999999999E-3</v>
      </c>
      <c r="AS74" s="2">
        <v>46147</v>
      </c>
      <c r="AT74" s="13">
        <v>2.5000000000000001E-2</v>
      </c>
      <c r="AU74" s="13">
        <v>2.6499999999999999E-2</v>
      </c>
      <c r="AV74" s="13">
        <v>2.75E-2</v>
      </c>
      <c r="AW74" s="13">
        <v>4.3900000000000002E-2</v>
      </c>
      <c r="AX74" s="13">
        <v>5.3699999999999998E-2</v>
      </c>
      <c r="AY74" s="13">
        <v>0.05</v>
      </c>
      <c r="AZ74" s="13">
        <v>3.2899999999999999E-2</v>
      </c>
      <c r="BA74" s="12">
        <f t="shared" si="5"/>
        <v>2.5999999999999999E-2</v>
      </c>
      <c r="BC74" s="4">
        <v>46147</v>
      </c>
      <c r="BD74" s="6">
        <v>8.3999999999999995E-3</v>
      </c>
      <c r="BE74" s="6">
        <v>8.5000000000000006E-3</v>
      </c>
      <c r="BF74" s="6">
        <v>8.6999999999999994E-3</v>
      </c>
      <c r="BG74" s="3"/>
      <c r="BH74" s="3"/>
      <c r="BI74" s="3"/>
      <c r="BJ74" s="6">
        <v>8.2000000000000007E-3</v>
      </c>
      <c r="BK74" s="2">
        <v>46147</v>
      </c>
      <c r="BL74" s="57">
        <v>3.49E-2</v>
      </c>
      <c r="BM74" s="1"/>
      <c r="BN74" s="57">
        <v>5.5100000000000003E-2</v>
      </c>
      <c r="BO74" s="1"/>
      <c r="BP74" s="1"/>
      <c r="BQ74" s="1"/>
      <c r="BR74" s="57">
        <v>2.8799999999999999E-2</v>
      </c>
      <c r="BS74" s="12">
        <f t="shared" si="3"/>
        <v>2.06E-2</v>
      </c>
    </row>
    <row r="75" spans="1:71" x14ac:dyDescent="0.35">
      <c r="A75" s="4">
        <v>46148</v>
      </c>
      <c r="B75" s="3" t="s">
        <v>33</v>
      </c>
      <c r="C75" s="3" t="s">
        <v>33</v>
      </c>
      <c r="D75" s="3" t="s">
        <v>32</v>
      </c>
      <c r="E75" s="3" t="s">
        <v>33</v>
      </c>
      <c r="F75" s="3" t="s">
        <v>32</v>
      </c>
      <c r="G75" s="3" t="s">
        <v>33</v>
      </c>
      <c r="H75" s="9">
        <v>8.8000000000000005E-3</v>
      </c>
      <c r="I75" s="2">
        <v>46148</v>
      </c>
      <c r="J75" s="1" t="s">
        <v>33</v>
      </c>
      <c r="K75" s="1" t="s">
        <v>33</v>
      </c>
      <c r="L75" s="1" t="s">
        <v>32</v>
      </c>
      <c r="M75" s="1" t="s">
        <v>33</v>
      </c>
      <c r="N75" s="1" t="s">
        <v>32</v>
      </c>
      <c r="O75" s="1" t="s">
        <v>32</v>
      </c>
      <c r="P75" s="57">
        <v>2.86E-2</v>
      </c>
      <c r="Q75" s="84">
        <f t="shared" si="4"/>
        <v>1.9799999999999998E-2</v>
      </c>
      <c r="S75" s="4">
        <v>46148</v>
      </c>
      <c r="T75" s="3" t="s">
        <v>33</v>
      </c>
      <c r="U75" s="3" t="s">
        <v>33</v>
      </c>
      <c r="V75" s="3" t="s">
        <v>33</v>
      </c>
      <c r="W75" s="3" t="s">
        <v>33</v>
      </c>
      <c r="X75" s="6">
        <v>3.5000000000000003E-2</v>
      </c>
      <c r="Y75" s="3" t="s">
        <v>33</v>
      </c>
      <c r="Z75" s="6">
        <v>1.26E-2</v>
      </c>
      <c r="AA75" s="2">
        <v>46148</v>
      </c>
      <c r="AB75" s="1" t="s">
        <v>33</v>
      </c>
      <c r="AC75" s="1" t="s">
        <v>33</v>
      </c>
      <c r="AD75" s="1" t="s">
        <v>33</v>
      </c>
      <c r="AE75" s="1" t="s">
        <v>33</v>
      </c>
      <c r="AF75" s="1" t="s">
        <v>33</v>
      </c>
      <c r="AG75" s="1" t="s">
        <v>33</v>
      </c>
      <c r="AH75" s="57">
        <v>2.5000000000000001E-2</v>
      </c>
      <c r="AI75" s="12">
        <f t="shared" si="1"/>
        <v>1.2400000000000001E-2</v>
      </c>
      <c r="AK75" s="4">
        <v>46148</v>
      </c>
      <c r="AL75" s="6">
        <v>0.02</v>
      </c>
      <c r="AM75" s="3"/>
      <c r="AN75" s="3"/>
      <c r="AO75" s="3"/>
      <c r="AP75" s="3" t="s">
        <v>33</v>
      </c>
      <c r="AQ75" s="3" t="s">
        <v>33</v>
      </c>
      <c r="AR75" s="6">
        <v>7.1000000000000004E-3</v>
      </c>
      <c r="AS75" s="2">
        <v>46148</v>
      </c>
      <c r="AT75" s="13">
        <v>2.7E-2</v>
      </c>
      <c r="AU75" s="13">
        <v>2.75E-2</v>
      </c>
      <c r="AV75" s="13">
        <v>2.75E-2</v>
      </c>
      <c r="AW75" s="13">
        <v>4.3900000000000002E-2</v>
      </c>
      <c r="AX75" s="13">
        <v>5.1900000000000002E-2</v>
      </c>
      <c r="AY75" s="13">
        <v>0.05</v>
      </c>
      <c r="AZ75" s="13">
        <v>3.2899999999999999E-2</v>
      </c>
      <c r="BA75" s="12">
        <f t="shared" si="5"/>
        <v>2.5799999999999997E-2</v>
      </c>
      <c r="BC75" s="4">
        <v>46148</v>
      </c>
      <c r="BD75" s="6">
        <v>8.3999999999999995E-3</v>
      </c>
      <c r="BE75" s="6">
        <v>8.5000000000000006E-3</v>
      </c>
      <c r="BF75" s="6">
        <v>8.6999999999999994E-3</v>
      </c>
      <c r="BG75" s="3"/>
      <c r="BH75" s="3"/>
      <c r="BI75" s="3"/>
      <c r="BJ75" s="6">
        <v>8.2000000000000007E-3</v>
      </c>
      <c r="BK75" s="2">
        <v>46148</v>
      </c>
      <c r="BL75" s="57">
        <v>3.49E-2</v>
      </c>
      <c r="BM75" s="1"/>
      <c r="BN75" s="57">
        <v>5.5100000000000003E-2</v>
      </c>
      <c r="BO75" s="1"/>
      <c r="BP75" s="1"/>
      <c r="BQ75" s="1"/>
      <c r="BR75" s="57">
        <v>2.8899999999999999E-2</v>
      </c>
      <c r="BS75" s="12">
        <f t="shared" si="3"/>
        <v>2.0699999999999996E-2</v>
      </c>
    </row>
    <row r="76" spans="1:71" x14ac:dyDescent="0.35">
      <c r="A76" s="4">
        <v>46149</v>
      </c>
      <c r="B76" s="3" t="s">
        <v>33</v>
      </c>
      <c r="C76" s="3" t="s">
        <v>33</v>
      </c>
      <c r="D76" s="3" t="s">
        <v>32</v>
      </c>
      <c r="E76" s="3" t="s">
        <v>33</v>
      </c>
      <c r="F76" s="3" t="s">
        <v>32</v>
      </c>
      <c r="G76" s="3" t="s">
        <v>33</v>
      </c>
      <c r="H76" s="9">
        <v>9.2999999999999992E-3</v>
      </c>
      <c r="I76" s="2">
        <v>46149</v>
      </c>
      <c r="J76" s="1" t="s">
        <v>33</v>
      </c>
      <c r="K76" s="1" t="s">
        <v>33</v>
      </c>
      <c r="L76" s="1" t="s">
        <v>32</v>
      </c>
      <c r="M76" s="1" t="s">
        <v>33</v>
      </c>
      <c r="N76" s="1" t="s">
        <v>32</v>
      </c>
      <c r="O76" s="1" t="s">
        <v>32</v>
      </c>
      <c r="P76" s="57">
        <v>2.93E-2</v>
      </c>
      <c r="Q76" s="84">
        <f t="shared" si="4"/>
        <v>0.02</v>
      </c>
      <c r="S76" s="4">
        <v>46149</v>
      </c>
      <c r="T76" s="3" t="s">
        <v>33</v>
      </c>
      <c r="U76" s="3" t="s">
        <v>33</v>
      </c>
      <c r="V76" s="3" t="s">
        <v>33</v>
      </c>
      <c r="W76" s="3" t="s">
        <v>33</v>
      </c>
      <c r="X76" s="6">
        <v>3.5000000000000003E-2</v>
      </c>
      <c r="Y76" s="3" t="s">
        <v>33</v>
      </c>
      <c r="Z76" s="6">
        <v>1.2999999999999999E-2</v>
      </c>
      <c r="AA76" s="2">
        <v>46149</v>
      </c>
      <c r="AB76" s="1" t="s">
        <v>33</v>
      </c>
      <c r="AC76" s="1" t="s">
        <v>33</v>
      </c>
      <c r="AD76" s="1" t="s">
        <v>33</v>
      </c>
      <c r="AE76" s="1" t="s">
        <v>33</v>
      </c>
      <c r="AF76" s="1" t="s">
        <v>33</v>
      </c>
      <c r="AG76" s="1" t="s">
        <v>33</v>
      </c>
      <c r="AH76" s="57">
        <v>2.5000000000000001E-2</v>
      </c>
      <c r="AI76" s="12">
        <f t="shared" si="1"/>
        <v>1.2000000000000002E-2</v>
      </c>
      <c r="AK76" s="4">
        <v>46149</v>
      </c>
      <c r="AL76" s="6">
        <v>0.02</v>
      </c>
      <c r="AM76" s="3"/>
      <c r="AN76" s="3"/>
      <c r="AO76" s="3"/>
      <c r="AP76" s="3" t="s">
        <v>33</v>
      </c>
      <c r="AQ76" s="3" t="s">
        <v>33</v>
      </c>
      <c r="AR76" s="6">
        <v>8.9999999999999993E-3</v>
      </c>
      <c r="AS76" s="2">
        <v>46149</v>
      </c>
      <c r="AT76" s="13">
        <v>2.5000000000000001E-2</v>
      </c>
      <c r="AU76" s="13">
        <v>2.6700000000000002E-2</v>
      </c>
      <c r="AV76" s="13">
        <v>2.75E-2</v>
      </c>
      <c r="AW76" s="13">
        <v>4.3900000000000002E-2</v>
      </c>
      <c r="AX76" s="13">
        <v>5.1700000000000003E-2</v>
      </c>
      <c r="AY76" s="13">
        <v>0.05</v>
      </c>
      <c r="AZ76" s="13">
        <v>3.2899999999999999E-2</v>
      </c>
      <c r="BA76" s="12">
        <f t="shared" si="5"/>
        <v>2.3899999999999998E-2</v>
      </c>
      <c r="BC76" s="4">
        <v>46149</v>
      </c>
      <c r="BD76" s="6">
        <v>8.3999999999999995E-3</v>
      </c>
      <c r="BE76" s="6">
        <v>8.5000000000000006E-3</v>
      </c>
      <c r="BF76" s="6">
        <v>8.6999999999999994E-3</v>
      </c>
      <c r="BG76" s="3"/>
      <c r="BH76" s="3"/>
      <c r="BI76" s="3"/>
      <c r="BJ76" s="6">
        <v>8.6E-3</v>
      </c>
      <c r="BK76" s="2">
        <v>46149</v>
      </c>
      <c r="BL76" s="57">
        <v>3.56E-2</v>
      </c>
      <c r="BM76" s="1"/>
      <c r="BN76" s="57">
        <v>5.5100000000000003E-2</v>
      </c>
      <c r="BO76" s="1"/>
      <c r="BP76" s="1"/>
      <c r="BQ76" s="1"/>
      <c r="BR76" s="57">
        <v>2.9700000000000001E-2</v>
      </c>
      <c r="BS76" s="12">
        <f t="shared" si="3"/>
        <v>2.1100000000000001E-2</v>
      </c>
    </row>
    <row r="77" spans="1:71" x14ac:dyDescent="0.35">
      <c r="A77" s="4">
        <v>46150</v>
      </c>
      <c r="B77" s="3" t="s">
        <v>33</v>
      </c>
      <c r="C77" s="3" t="s">
        <v>33</v>
      </c>
      <c r="D77" s="3" t="s">
        <v>32</v>
      </c>
      <c r="E77" s="3" t="s">
        <v>33</v>
      </c>
      <c r="F77" s="3" t="s">
        <v>32</v>
      </c>
      <c r="G77" s="3" t="s">
        <v>33</v>
      </c>
      <c r="H77" s="9">
        <v>9.5999999999999992E-3</v>
      </c>
      <c r="I77" s="2">
        <v>46150</v>
      </c>
      <c r="J77" s="1" t="s">
        <v>33</v>
      </c>
      <c r="K77" s="1" t="s">
        <v>33</v>
      </c>
      <c r="L77" s="1" t="s">
        <v>32</v>
      </c>
      <c r="M77" s="1" t="s">
        <v>33</v>
      </c>
      <c r="N77" s="1" t="s">
        <v>32</v>
      </c>
      <c r="O77" s="1" t="s">
        <v>32</v>
      </c>
      <c r="P77" s="57">
        <v>3.1E-2</v>
      </c>
      <c r="Q77" s="84">
        <f t="shared" si="4"/>
        <v>2.1400000000000002E-2</v>
      </c>
      <c r="S77" s="4">
        <v>46150</v>
      </c>
      <c r="T77" s="3" t="s">
        <v>33</v>
      </c>
      <c r="U77" s="3" t="s">
        <v>33</v>
      </c>
      <c r="V77" s="3" t="s">
        <v>33</v>
      </c>
      <c r="W77" s="3" t="s">
        <v>33</v>
      </c>
      <c r="X77" s="6">
        <v>3.5000000000000003E-2</v>
      </c>
      <c r="Y77" s="3" t="s">
        <v>33</v>
      </c>
      <c r="Z77" s="6">
        <v>1.34E-2</v>
      </c>
      <c r="AA77" s="2">
        <v>46150</v>
      </c>
      <c r="AB77" s="1" t="s">
        <v>33</v>
      </c>
      <c r="AC77" s="1" t="s">
        <v>33</v>
      </c>
      <c r="AD77" s="1" t="s">
        <v>33</v>
      </c>
      <c r="AE77" s="1" t="s">
        <v>33</v>
      </c>
      <c r="AF77" s="1" t="s">
        <v>33</v>
      </c>
      <c r="AG77" s="1" t="s">
        <v>33</v>
      </c>
      <c r="AH77" s="57">
        <v>2.5000000000000001E-2</v>
      </c>
      <c r="AI77" s="12">
        <f t="shared" si="1"/>
        <v>1.1600000000000001E-2</v>
      </c>
      <c r="AK77" s="4">
        <v>46150</v>
      </c>
      <c r="AL77" s="6">
        <v>0.02</v>
      </c>
      <c r="AM77" s="3"/>
      <c r="AN77" s="3"/>
      <c r="AO77" s="3"/>
      <c r="AP77" s="3" t="s">
        <v>33</v>
      </c>
      <c r="AQ77" s="3" t="s">
        <v>33</v>
      </c>
      <c r="AR77" s="6">
        <v>8.6E-3</v>
      </c>
      <c r="AS77" s="2">
        <v>46150</v>
      </c>
      <c r="AT77" s="13">
        <v>2.8899999999999999E-2</v>
      </c>
      <c r="AU77" s="13">
        <v>2.76E-2</v>
      </c>
      <c r="AV77" s="13">
        <v>0.03</v>
      </c>
      <c r="AW77" s="13">
        <v>0.04</v>
      </c>
      <c r="AX77" s="13">
        <v>4.7800000000000002E-2</v>
      </c>
      <c r="AY77" s="13">
        <v>4.2599999999999999E-2</v>
      </c>
      <c r="AZ77" s="13">
        <v>3.3500000000000002E-2</v>
      </c>
      <c r="BA77" s="12">
        <f t="shared" si="5"/>
        <v>2.4900000000000002E-2</v>
      </c>
      <c r="BC77" s="4">
        <v>46150</v>
      </c>
      <c r="BD77" s="6">
        <v>8.3999999999999995E-3</v>
      </c>
      <c r="BE77" s="6">
        <v>8.5000000000000006E-3</v>
      </c>
      <c r="BF77" s="6">
        <v>8.6999999999999994E-3</v>
      </c>
      <c r="BG77" s="3"/>
      <c r="BH77" s="3"/>
      <c r="BI77" s="3"/>
      <c r="BJ77" s="6">
        <v>9.1000000000000004E-3</v>
      </c>
      <c r="BK77" s="2">
        <v>46150</v>
      </c>
      <c r="BL77" s="57">
        <v>4.07E-2</v>
      </c>
      <c r="BM77" s="1"/>
      <c r="BN77" s="57">
        <v>5.5100000000000003E-2</v>
      </c>
      <c r="BO77" s="1"/>
      <c r="BP77" s="1"/>
      <c r="BQ77" s="1"/>
      <c r="BR77" s="57">
        <v>2.98E-2</v>
      </c>
      <c r="BS77" s="12">
        <f t="shared" si="3"/>
        <v>2.07E-2</v>
      </c>
    </row>
    <row r="78" spans="1:71" x14ac:dyDescent="0.35">
      <c r="A78" s="4">
        <v>46151</v>
      </c>
      <c r="B78" s="3" t="s">
        <v>33</v>
      </c>
      <c r="C78" s="3" t="s">
        <v>33</v>
      </c>
      <c r="D78" s="3" t="s">
        <v>32</v>
      </c>
      <c r="E78" s="3" t="s">
        <v>33</v>
      </c>
      <c r="F78" s="3" t="s">
        <v>32</v>
      </c>
      <c r="G78" s="3" t="s">
        <v>33</v>
      </c>
      <c r="H78" s="9">
        <v>0.01</v>
      </c>
      <c r="I78" s="2">
        <v>46151</v>
      </c>
      <c r="J78" s="1" t="s">
        <v>33</v>
      </c>
      <c r="K78" s="1" t="s">
        <v>33</v>
      </c>
      <c r="L78" s="1" t="s">
        <v>32</v>
      </c>
      <c r="M78" s="1" t="s">
        <v>33</v>
      </c>
      <c r="N78" s="1" t="s">
        <v>32</v>
      </c>
      <c r="O78" s="1" t="s">
        <v>32</v>
      </c>
      <c r="P78" s="57">
        <v>3.32E-2</v>
      </c>
      <c r="Q78" s="84">
        <f t="shared" si="4"/>
        <v>2.3199999999999998E-2</v>
      </c>
      <c r="S78" s="4">
        <v>46151</v>
      </c>
      <c r="T78" s="3" t="s">
        <v>33</v>
      </c>
      <c r="U78" s="3" t="s">
        <v>33</v>
      </c>
      <c r="V78" s="3" t="s">
        <v>33</v>
      </c>
      <c r="W78" s="3" t="s">
        <v>33</v>
      </c>
      <c r="X78" s="6">
        <v>3.5000000000000003E-2</v>
      </c>
      <c r="Y78" s="3" t="s">
        <v>33</v>
      </c>
      <c r="Z78" s="6">
        <v>1.35E-2</v>
      </c>
      <c r="AA78" s="2">
        <v>46151</v>
      </c>
      <c r="AB78" s="1" t="s">
        <v>33</v>
      </c>
      <c r="AC78" s="1" t="s">
        <v>33</v>
      </c>
      <c r="AD78" s="1" t="s">
        <v>33</v>
      </c>
      <c r="AE78" s="1" t="s">
        <v>33</v>
      </c>
      <c r="AF78" s="1" t="s">
        <v>33</v>
      </c>
      <c r="AG78" s="1" t="s">
        <v>33</v>
      </c>
      <c r="AH78" s="57">
        <v>2.5000000000000001E-2</v>
      </c>
      <c r="AI78" s="12">
        <f t="shared" ref="AI78:AI132" si="6">AH78-Z78</f>
        <v>1.1500000000000002E-2</v>
      </c>
      <c r="AK78" s="4">
        <v>46151</v>
      </c>
      <c r="AL78" s="6">
        <v>0.02</v>
      </c>
      <c r="AM78" s="3"/>
      <c r="AN78" s="3"/>
      <c r="AO78" s="3"/>
      <c r="AP78" s="3" t="s">
        <v>33</v>
      </c>
      <c r="AQ78" s="3" t="s">
        <v>33</v>
      </c>
      <c r="AR78" s="6">
        <v>8.9999999999999993E-3</v>
      </c>
      <c r="AS78" s="2">
        <v>46151</v>
      </c>
      <c r="AT78" s="13">
        <v>2.8899999999999999E-2</v>
      </c>
      <c r="AU78" s="13">
        <v>2.76E-2</v>
      </c>
      <c r="AV78" s="13">
        <v>0.03</v>
      </c>
      <c r="AW78" s="13">
        <v>0.04</v>
      </c>
      <c r="AX78" s="13">
        <v>4.7800000000000002E-2</v>
      </c>
      <c r="AY78" s="13">
        <v>4.2599999999999999E-2</v>
      </c>
      <c r="AZ78" s="13">
        <v>3.4000000000000002E-2</v>
      </c>
      <c r="BA78" s="12">
        <f t="shared" si="5"/>
        <v>2.5000000000000001E-2</v>
      </c>
      <c r="BC78" s="4">
        <v>46151</v>
      </c>
      <c r="BD78" s="6">
        <v>8.3999999999999995E-3</v>
      </c>
      <c r="BE78" s="6">
        <v>8.5000000000000006E-3</v>
      </c>
      <c r="BF78" s="6">
        <v>8.6999999999999994E-3</v>
      </c>
      <c r="BG78" s="3"/>
      <c r="BH78" s="3"/>
      <c r="BI78" s="3"/>
      <c r="BJ78" s="6">
        <v>9.7000000000000003E-3</v>
      </c>
      <c r="BK78" s="2">
        <v>46151</v>
      </c>
      <c r="BL78" s="57">
        <v>4.07E-2</v>
      </c>
      <c r="BM78" s="1"/>
      <c r="BN78" s="57">
        <v>5.5100000000000003E-2</v>
      </c>
      <c r="BO78" s="1"/>
      <c r="BP78" s="1"/>
      <c r="BQ78" s="1"/>
      <c r="BR78" s="57">
        <v>3.0800000000000001E-2</v>
      </c>
      <c r="BS78" s="12">
        <f t="shared" si="3"/>
        <v>2.1100000000000001E-2</v>
      </c>
    </row>
    <row r="79" spans="1:71" x14ac:dyDescent="0.35">
      <c r="A79" s="4">
        <v>46152</v>
      </c>
      <c r="B79" s="3" t="s">
        <v>33</v>
      </c>
      <c r="C79" s="3" t="s">
        <v>33</v>
      </c>
      <c r="D79" s="3" t="s">
        <v>32</v>
      </c>
      <c r="E79" s="3" t="s">
        <v>33</v>
      </c>
      <c r="F79" s="3" t="s">
        <v>32</v>
      </c>
      <c r="G79" s="3" t="s">
        <v>33</v>
      </c>
      <c r="H79" s="9">
        <v>1.0200000000000001E-2</v>
      </c>
      <c r="I79" s="2">
        <v>46152</v>
      </c>
      <c r="J79" s="1" t="s">
        <v>33</v>
      </c>
      <c r="K79" s="1" t="s">
        <v>33</v>
      </c>
      <c r="L79" s="1" t="s">
        <v>32</v>
      </c>
      <c r="M79" s="1" t="s">
        <v>33</v>
      </c>
      <c r="N79" s="1" t="s">
        <v>32</v>
      </c>
      <c r="O79" s="1" t="s">
        <v>32</v>
      </c>
      <c r="P79" s="57">
        <v>3.3500000000000002E-2</v>
      </c>
      <c r="Q79" s="84">
        <f t="shared" si="4"/>
        <v>2.3300000000000001E-2</v>
      </c>
      <c r="S79" s="4">
        <v>46152</v>
      </c>
      <c r="T79" s="3" t="s">
        <v>33</v>
      </c>
      <c r="U79" s="3" t="s">
        <v>33</v>
      </c>
      <c r="V79" s="3" t="s">
        <v>33</v>
      </c>
      <c r="W79" s="3" t="s">
        <v>33</v>
      </c>
      <c r="X79" s="6">
        <v>3.5000000000000003E-2</v>
      </c>
      <c r="Y79" s="3" t="s">
        <v>33</v>
      </c>
      <c r="Z79" s="6">
        <v>1.41E-2</v>
      </c>
      <c r="AA79" s="2">
        <v>46152</v>
      </c>
      <c r="AB79" s="1" t="s">
        <v>33</v>
      </c>
      <c r="AC79" s="1" t="s">
        <v>33</v>
      </c>
      <c r="AD79" s="1" t="s">
        <v>33</v>
      </c>
      <c r="AE79" s="1" t="s">
        <v>33</v>
      </c>
      <c r="AF79" s="1" t="s">
        <v>33</v>
      </c>
      <c r="AG79" s="1" t="s">
        <v>33</v>
      </c>
      <c r="AH79" s="57">
        <v>2.5000000000000001E-2</v>
      </c>
      <c r="AI79" s="12">
        <f t="shared" si="6"/>
        <v>1.0900000000000002E-2</v>
      </c>
      <c r="AK79" s="4">
        <v>46152</v>
      </c>
      <c r="AL79" s="6">
        <v>0.02</v>
      </c>
      <c r="AM79" s="3"/>
      <c r="AN79" s="3"/>
      <c r="AO79" s="3"/>
      <c r="AP79" s="3" t="s">
        <v>33</v>
      </c>
      <c r="AQ79" s="3" t="s">
        <v>33</v>
      </c>
      <c r="AR79" s="6">
        <v>9.1999999999999998E-3</v>
      </c>
      <c r="AS79" s="2">
        <v>46152</v>
      </c>
      <c r="AT79" s="13">
        <v>2.8899999999999999E-2</v>
      </c>
      <c r="AU79" s="13">
        <v>2.76E-2</v>
      </c>
      <c r="AV79" s="13">
        <v>0.03</v>
      </c>
      <c r="AW79" s="13">
        <v>0.04</v>
      </c>
      <c r="AX79" s="13">
        <v>4.7800000000000002E-2</v>
      </c>
      <c r="AY79" s="13">
        <v>4.2599999999999999E-2</v>
      </c>
      <c r="AZ79" s="13">
        <v>3.4500000000000003E-2</v>
      </c>
      <c r="BA79" s="12">
        <f t="shared" si="5"/>
        <v>2.5300000000000003E-2</v>
      </c>
      <c r="BC79" s="4">
        <v>46152</v>
      </c>
      <c r="BD79" s="6">
        <v>8.3999999999999995E-3</v>
      </c>
      <c r="BE79" s="6">
        <v>8.5000000000000006E-3</v>
      </c>
      <c r="BF79" s="6">
        <v>8.6999999999999994E-3</v>
      </c>
      <c r="BG79" s="3"/>
      <c r="BH79" s="3"/>
      <c r="BI79" s="3"/>
      <c r="BJ79" s="6">
        <v>1.0200000000000001E-2</v>
      </c>
      <c r="BK79" s="2">
        <v>46152</v>
      </c>
      <c r="BL79" s="57">
        <v>4.07E-2</v>
      </c>
      <c r="BM79" s="1"/>
      <c r="BN79" s="57">
        <v>5.5100000000000003E-2</v>
      </c>
      <c r="BO79" s="1"/>
      <c r="BP79" s="1"/>
      <c r="BQ79" s="1"/>
      <c r="BR79" s="57">
        <v>3.1099999999999999E-2</v>
      </c>
      <c r="BS79" s="12">
        <f t="shared" si="3"/>
        <v>2.0899999999999998E-2</v>
      </c>
    </row>
    <row r="80" spans="1:71" x14ac:dyDescent="0.35">
      <c r="A80" s="4">
        <v>46153</v>
      </c>
      <c r="B80" s="3" t="s">
        <v>33</v>
      </c>
      <c r="C80" s="3" t="s">
        <v>33</v>
      </c>
      <c r="D80" s="3" t="s">
        <v>32</v>
      </c>
      <c r="E80" s="3" t="s">
        <v>33</v>
      </c>
      <c r="F80" s="3" t="s">
        <v>32</v>
      </c>
      <c r="G80" s="3" t="s">
        <v>33</v>
      </c>
      <c r="H80" s="9">
        <v>1.0200000000000001E-2</v>
      </c>
      <c r="I80" s="2">
        <v>46153</v>
      </c>
      <c r="J80" s="1" t="s">
        <v>33</v>
      </c>
      <c r="K80" s="1" t="s">
        <v>33</v>
      </c>
      <c r="L80" s="1" t="s">
        <v>32</v>
      </c>
      <c r="M80" s="1" t="s">
        <v>33</v>
      </c>
      <c r="N80" s="1" t="s">
        <v>32</v>
      </c>
      <c r="O80" s="1" t="s">
        <v>32</v>
      </c>
      <c r="P80" s="57">
        <v>3.3500000000000002E-2</v>
      </c>
      <c r="Q80" s="84">
        <f t="shared" si="4"/>
        <v>2.3300000000000001E-2</v>
      </c>
      <c r="S80" s="4">
        <v>46153</v>
      </c>
      <c r="T80" s="3" t="s">
        <v>33</v>
      </c>
      <c r="U80" s="3" t="s">
        <v>33</v>
      </c>
      <c r="V80" s="3" t="s">
        <v>33</v>
      </c>
      <c r="W80" s="3" t="s">
        <v>33</v>
      </c>
      <c r="X80" s="6">
        <v>3.5000000000000003E-2</v>
      </c>
      <c r="Y80" s="3" t="s">
        <v>33</v>
      </c>
      <c r="Z80" s="6">
        <v>1.41E-2</v>
      </c>
      <c r="AA80" s="2">
        <v>46153</v>
      </c>
      <c r="AB80" s="1" t="s">
        <v>33</v>
      </c>
      <c r="AC80" s="1" t="s">
        <v>33</v>
      </c>
      <c r="AD80" s="1" t="s">
        <v>33</v>
      </c>
      <c r="AE80" s="1" t="s">
        <v>33</v>
      </c>
      <c r="AF80" s="1" t="s">
        <v>33</v>
      </c>
      <c r="AG80" s="1" t="s">
        <v>33</v>
      </c>
      <c r="AH80" s="57">
        <v>2.5000000000000001E-2</v>
      </c>
      <c r="AI80" s="12">
        <f t="shared" si="6"/>
        <v>1.0900000000000002E-2</v>
      </c>
      <c r="AK80" s="4">
        <v>46153</v>
      </c>
      <c r="AL80" s="6">
        <v>0.02</v>
      </c>
      <c r="AM80" s="3"/>
      <c r="AN80" s="3"/>
      <c r="AO80" s="3"/>
      <c r="AP80" s="3" t="s">
        <v>33</v>
      </c>
      <c r="AQ80" s="3" t="s">
        <v>33</v>
      </c>
      <c r="AR80" s="6">
        <v>1.11E-2</v>
      </c>
      <c r="AS80" s="2">
        <v>46153</v>
      </c>
      <c r="AT80" s="13">
        <v>2.8899999999999999E-2</v>
      </c>
      <c r="AU80" s="13">
        <v>2.76E-2</v>
      </c>
      <c r="AV80" s="13">
        <v>0.03</v>
      </c>
      <c r="AW80" s="13">
        <v>0.04</v>
      </c>
      <c r="AX80" s="13">
        <v>4.7800000000000002E-2</v>
      </c>
      <c r="AY80" s="13">
        <v>4.2599999999999999E-2</v>
      </c>
      <c r="AZ80" s="13">
        <v>3.6900000000000002E-2</v>
      </c>
      <c r="BA80" s="12">
        <f t="shared" si="5"/>
        <v>2.5800000000000003E-2</v>
      </c>
      <c r="BC80" s="4">
        <v>46153</v>
      </c>
      <c r="BD80" s="6">
        <v>8.3999999999999995E-3</v>
      </c>
      <c r="BE80" s="6">
        <v>8.5000000000000006E-3</v>
      </c>
      <c r="BF80" s="6">
        <v>8.6999999999999994E-3</v>
      </c>
      <c r="BG80" s="3"/>
      <c r="BH80" s="3"/>
      <c r="BI80" s="3"/>
      <c r="BJ80" s="6">
        <v>1.11E-2</v>
      </c>
      <c r="BK80" s="2">
        <v>46153</v>
      </c>
      <c r="BL80" s="57">
        <v>4.07E-2</v>
      </c>
      <c r="BM80" s="1"/>
      <c r="BN80" s="57">
        <v>5.5100000000000003E-2</v>
      </c>
      <c r="BO80" s="1"/>
      <c r="BP80" s="1"/>
      <c r="BQ80" s="1"/>
      <c r="BR80" s="57">
        <v>3.39E-2</v>
      </c>
      <c r="BS80" s="12">
        <f t="shared" si="3"/>
        <v>2.2800000000000001E-2</v>
      </c>
    </row>
    <row r="81" spans="1:71" x14ac:dyDescent="0.35">
      <c r="A81" s="4">
        <v>46154</v>
      </c>
      <c r="B81" s="3" t="s">
        <v>33</v>
      </c>
      <c r="C81" s="3" t="s">
        <v>33</v>
      </c>
      <c r="D81" s="3" t="s">
        <v>32</v>
      </c>
      <c r="E81" s="3" t="s">
        <v>33</v>
      </c>
      <c r="F81" s="3" t="s">
        <v>32</v>
      </c>
      <c r="G81" s="3" t="s">
        <v>33</v>
      </c>
      <c r="H81" s="9">
        <v>1.18E-2</v>
      </c>
      <c r="I81" s="2">
        <v>46154</v>
      </c>
      <c r="J81" s="1" t="s">
        <v>33</v>
      </c>
      <c r="K81" s="1" t="s">
        <v>33</v>
      </c>
      <c r="L81" s="1" t="s">
        <v>32</v>
      </c>
      <c r="M81" s="1" t="s">
        <v>33</v>
      </c>
      <c r="N81" s="1" t="s">
        <v>32</v>
      </c>
      <c r="O81" s="1" t="s">
        <v>32</v>
      </c>
      <c r="P81" s="57">
        <v>3.32E-2</v>
      </c>
      <c r="Q81" s="84">
        <f t="shared" si="4"/>
        <v>2.1400000000000002E-2</v>
      </c>
      <c r="S81" s="4">
        <v>46154</v>
      </c>
      <c r="T81" s="3" t="s">
        <v>33</v>
      </c>
      <c r="U81" s="3" t="s">
        <v>33</v>
      </c>
      <c r="V81" s="3" t="s">
        <v>33</v>
      </c>
      <c r="W81" s="3" t="s">
        <v>33</v>
      </c>
      <c r="X81" s="6">
        <v>3.5000000000000003E-2</v>
      </c>
      <c r="Y81" s="3" t="s">
        <v>33</v>
      </c>
      <c r="Z81" s="6">
        <v>1.41E-2</v>
      </c>
      <c r="AA81" s="2">
        <v>46154</v>
      </c>
      <c r="AB81" s="1" t="s">
        <v>33</v>
      </c>
      <c r="AC81" s="1" t="s">
        <v>33</v>
      </c>
      <c r="AD81" s="1" t="s">
        <v>33</v>
      </c>
      <c r="AE81" s="1" t="s">
        <v>33</v>
      </c>
      <c r="AF81" s="1" t="s">
        <v>33</v>
      </c>
      <c r="AG81" s="1" t="s">
        <v>33</v>
      </c>
      <c r="AH81" s="57">
        <v>2.5000000000000001E-2</v>
      </c>
      <c r="AI81" s="12">
        <f t="shared" si="6"/>
        <v>1.0900000000000002E-2</v>
      </c>
      <c r="AK81" s="4">
        <v>46154</v>
      </c>
      <c r="AL81" s="6">
        <v>0.02</v>
      </c>
      <c r="AM81" s="3"/>
      <c r="AN81" s="6">
        <v>2.5999999999999999E-2</v>
      </c>
      <c r="AO81" s="3"/>
      <c r="AP81" s="3" t="s">
        <v>33</v>
      </c>
      <c r="AQ81" s="3" t="s">
        <v>33</v>
      </c>
      <c r="AR81" s="6">
        <v>1.03E-2</v>
      </c>
      <c r="AS81" s="2">
        <v>46154</v>
      </c>
      <c r="AT81" s="13">
        <v>2.5999999999999999E-2</v>
      </c>
      <c r="AU81" s="13">
        <v>3.1E-2</v>
      </c>
      <c r="AV81" s="13">
        <v>0.04</v>
      </c>
      <c r="AW81" s="13">
        <v>4.1500000000000002E-2</v>
      </c>
      <c r="AX81" s="13">
        <v>4.1000000000000002E-2</v>
      </c>
      <c r="AY81" s="13">
        <v>4.2599999999999999E-2</v>
      </c>
      <c r="AZ81" s="13">
        <v>3.61E-2</v>
      </c>
      <c r="BA81" s="12">
        <f t="shared" si="5"/>
        <v>2.58E-2</v>
      </c>
      <c r="BC81" s="4">
        <v>46154</v>
      </c>
      <c r="BD81" s="6">
        <v>1.1299999999999999E-2</v>
      </c>
      <c r="BE81" s="6">
        <v>1.14E-2</v>
      </c>
      <c r="BF81" s="6">
        <v>1.15E-2</v>
      </c>
      <c r="BG81" s="3"/>
      <c r="BH81" s="3"/>
      <c r="BI81" s="3"/>
      <c r="BJ81" s="6">
        <v>1.12E-2</v>
      </c>
      <c r="BK81" s="2">
        <v>46154</v>
      </c>
      <c r="BL81" s="57">
        <v>4.0399999999999998E-2</v>
      </c>
      <c r="BM81" s="1"/>
      <c r="BN81" s="57">
        <v>5.5100000000000003E-2</v>
      </c>
      <c r="BO81" s="1"/>
      <c r="BP81" s="1"/>
      <c r="BQ81" s="1"/>
      <c r="BR81" s="57">
        <v>3.32E-2</v>
      </c>
      <c r="BS81" s="12">
        <f t="shared" si="3"/>
        <v>2.1999999999999999E-2</v>
      </c>
    </row>
    <row r="82" spans="1:71" x14ac:dyDescent="0.35">
      <c r="A82" s="4">
        <v>46155</v>
      </c>
      <c r="B82" s="3" t="s">
        <v>33</v>
      </c>
      <c r="C82" s="3" t="s">
        <v>33</v>
      </c>
      <c r="D82" s="3" t="s">
        <v>32</v>
      </c>
      <c r="E82" s="3" t="s">
        <v>33</v>
      </c>
      <c r="F82" s="3" t="s">
        <v>32</v>
      </c>
      <c r="G82" s="3" t="s">
        <v>33</v>
      </c>
      <c r="H82" s="9">
        <v>1.2500000000000001E-2</v>
      </c>
      <c r="I82" s="2">
        <v>46155</v>
      </c>
      <c r="J82" s="1" t="s">
        <v>33</v>
      </c>
      <c r="K82" s="1" t="s">
        <v>33</v>
      </c>
      <c r="L82" s="1" t="s">
        <v>32</v>
      </c>
      <c r="M82" s="1" t="s">
        <v>33</v>
      </c>
      <c r="N82" s="1" t="s">
        <v>32</v>
      </c>
      <c r="O82" s="1" t="s">
        <v>32</v>
      </c>
      <c r="P82" s="57">
        <v>3.4200000000000001E-2</v>
      </c>
      <c r="Q82" s="84">
        <f t="shared" si="4"/>
        <v>2.1700000000000001E-2</v>
      </c>
      <c r="S82" s="4">
        <v>46155</v>
      </c>
      <c r="T82" s="3" t="s">
        <v>33</v>
      </c>
      <c r="U82" s="3" t="s">
        <v>33</v>
      </c>
      <c r="V82" s="3" t="s">
        <v>33</v>
      </c>
      <c r="W82" s="3" t="s">
        <v>33</v>
      </c>
      <c r="X82" s="6">
        <v>3.5000000000000003E-2</v>
      </c>
      <c r="Y82" s="3" t="s">
        <v>33</v>
      </c>
      <c r="Z82" s="6">
        <v>1.4200000000000001E-2</v>
      </c>
      <c r="AA82" s="2">
        <v>46155</v>
      </c>
      <c r="AB82" s="1" t="s">
        <v>33</v>
      </c>
      <c r="AC82" s="1" t="s">
        <v>33</v>
      </c>
      <c r="AD82" s="1" t="s">
        <v>33</v>
      </c>
      <c r="AE82" s="1" t="s">
        <v>33</v>
      </c>
      <c r="AF82" s="1" t="s">
        <v>33</v>
      </c>
      <c r="AG82" s="1" t="s">
        <v>33</v>
      </c>
      <c r="AH82" s="57">
        <v>2.5000000000000001E-2</v>
      </c>
      <c r="AI82" s="12">
        <f t="shared" si="6"/>
        <v>1.0800000000000001E-2</v>
      </c>
      <c r="AK82" s="4">
        <v>46155</v>
      </c>
      <c r="AL82" s="6">
        <v>0.02</v>
      </c>
      <c r="AM82" s="3"/>
      <c r="AN82" s="3"/>
      <c r="AO82" s="3"/>
      <c r="AP82" s="3" t="s">
        <v>33</v>
      </c>
      <c r="AQ82" s="3" t="s">
        <v>33</v>
      </c>
      <c r="AR82" s="6">
        <v>1.01E-2</v>
      </c>
      <c r="AS82" s="2">
        <v>46155</v>
      </c>
      <c r="AT82" s="13">
        <v>2.5499999999999998E-2</v>
      </c>
      <c r="AU82" s="13">
        <v>2.75E-2</v>
      </c>
      <c r="AV82" s="13">
        <v>2.9000000000000001E-2</v>
      </c>
      <c r="AW82" s="13">
        <v>3.95E-2</v>
      </c>
      <c r="AX82" s="13">
        <v>4.1000000000000002E-2</v>
      </c>
      <c r="AY82" s="13">
        <v>4.2599999999999999E-2</v>
      </c>
      <c r="AZ82" s="13">
        <v>3.73E-2</v>
      </c>
      <c r="BA82" s="12">
        <f t="shared" si="5"/>
        <v>2.7200000000000002E-2</v>
      </c>
      <c r="BC82" s="4">
        <v>46155</v>
      </c>
      <c r="BD82" s="6">
        <v>8.9999999999999993E-3</v>
      </c>
      <c r="BE82" s="6">
        <v>9.1000000000000004E-3</v>
      </c>
      <c r="BF82" s="6">
        <v>9.2999999999999992E-3</v>
      </c>
      <c r="BG82" s="3"/>
      <c r="BH82" s="3"/>
      <c r="BI82" s="3"/>
      <c r="BJ82" s="6">
        <v>1.17E-2</v>
      </c>
      <c r="BK82" s="2">
        <v>46155</v>
      </c>
      <c r="BL82" s="57">
        <v>4.1399999999999999E-2</v>
      </c>
      <c r="BM82" s="1"/>
      <c r="BN82" s="57">
        <v>4.9599999999999998E-2</v>
      </c>
      <c r="BO82" s="1"/>
      <c r="BP82" s="1"/>
      <c r="BQ82" s="1"/>
      <c r="BR82" s="57">
        <v>3.44E-2</v>
      </c>
      <c r="BS82" s="12">
        <f t="shared" si="3"/>
        <v>2.2699999999999998E-2</v>
      </c>
    </row>
    <row r="83" spans="1:71" x14ac:dyDescent="0.35">
      <c r="A83" s="4">
        <v>46156</v>
      </c>
      <c r="B83" s="3" t="s">
        <v>33</v>
      </c>
      <c r="C83" s="3" t="s">
        <v>33</v>
      </c>
      <c r="D83" s="3" t="s">
        <v>32</v>
      </c>
      <c r="E83" s="3" t="s">
        <v>33</v>
      </c>
      <c r="F83" s="3" t="s">
        <v>32</v>
      </c>
      <c r="G83" s="3" t="s">
        <v>33</v>
      </c>
      <c r="H83" s="9">
        <v>1.21E-2</v>
      </c>
      <c r="I83" s="2">
        <v>46156</v>
      </c>
      <c r="J83" s="1" t="s">
        <v>33</v>
      </c>
      <c r="K83" s="1" t="s">
        <v>33</v>
      </c>
      <c r="L83" s="1" t="s">
        <v>32</v>
      </c>
      <c r="M83" s="1" t="s">
        <v>33</v>
      </c>
      <c r="N83" s="1" t="s">
        <v>32</v>
      </c>
      <c r="O83" s="1" t="s">
        <v>32</v>
      </c>
      <c r="P83" s="57">
        <v>3.3599999999999998E-2</v>
      </c>
      <c r="Q83" s="84">
        <f t="shared" si="4"/>
        <v>2.1499999999999998E-2</v>
      </c>
      <c r="S83" s="4">
        <v>46156</v>
      </c>
      <c r="T83" s="3" t="s">
        <v>33</v>
      </c>
      <c r="U83" s="3" t="s">
        <v>33</v>
      </c>
      <c r="V83" s="3" t="s">
        <v>33</v>
      </c>
      <c r="W83" s="3" t="s">
        <v>33</v>
      </c>
      <c r="X83" s="6">
        <v>3.5000000000000003E-2</v>
      </c>
      <c r="Y83" s="3" t="s">
        <v>33</v>
      </c>
      <c r="Z83" s="6">
        <v>1.4200000000000001E-2</v>
      </c>
      <c r="AA83" s="2">
        <v>46156</v>
      </c>
      <c r="AB83" s="1" t="s">
        <v>33</v>
      </c>
      <c r="AC83" s="1" t="s">
        <v>33</v>
      </c>
      <c r="AD83" s="1" t="s">
        <v>33</v>
      </c>
      <c r="AE83" s="1" t="s">
        <v>33</v>
      </c>
      <c r="AF83" s="1" t="s">
        <v>33</v>
      </c>
      <c r="AG83" s="1" t="s">
        <v>33</v>
      </c>
      <c r="AH83" s="57">
        <v>2.5000000000000001E-2</v>
      </c>
      <c r="AI83" s="12">
        <f t="shared" si="6"/>
        <v>1.0800000000000001E-2</v>
      </c>
      <c r="AK83" s="4">
        <v>46156</v>
      </c>
      <c r="AL83" s="6">
        <v>0.02</v>
      </c>
      <c r="AM83" s="6">
        <v>2.6800000000000001E-2</v>
      </c>
      <c r="AN83" s="3"/>
      <c r="AO83" s="3"/>
      <c r="AP83" s="3" t="s">
        <v>33</v>
      </c>
      <c r="AQ83" s="3" t="s">
        <v>33</v>
      </c>
      <c r="AR83" s="6">
        <v>9.5999999999999992E-3</v>
      </c>
      <c r="AS83" s="2">
        <v>46156</v>
      </c>
      <c r="AT83" s="13">
        <v>2.5000000000000001E-2</v>
      </c>
      <c r="AU83" s="13">
        <v>2.75E-2</v>
      </c>
      <c r="AV83" s="13">
        <v>2.8500000000000001E-2</v>
      </c>
      <c r="AW83" s="13">
        <v>4.1500000000000002E-2</v>
      </c>
      <c r="AX83" s="13">
        <v>4.7500000000000001E-2</v>
      </c>
      <c r="AY83" s="13">
        <v>4.2599999999999999E-2</v>
      </c>
      <c r="AZ83" s="13">
        <v>3.6999999999999998E-2</v>
      </c>
      <c r="BA83" s="12">
        <f t="shared" si="5"/>
        <v>2.7400000000000001E-2</v>
      </c>
      <c r="BC83" s="4">
        <v>46156</v>
      </c>
      <c r="BD83" s="6">
        <v>1.12E-2</v>
      </c>
      <c r="BE83" s="6">
        <v>1.14E-2</v>
      </c>
      <c r="BF83" s="6">
        <v>1.17E-2</v>
      </c>
      <c r="BG83" s="3"/>
      <c r="BH83" s="3"/>
      <c r="BI83" s="3"/>
      <c r="BJ83" s="6">
        <v>1.1599999999999999E-2</v>
      </c>
      <c r="BK83" s="2">
        <v>46156</v>
      </c>
      <c r="BL83" s="57">
        <v>4.1000000000000002E-2</v>
      </c>
      <c r="BM83" s="1"/>
      <c r="BN83" s="57">
        <v>4.9099999999999998E-2</v>
      </c>
      <c r="BO83" s="1"/>
      <c r="BP83" s="1"/>
      <c r="BQ83" s="1"/>
      <c r="BR83" s="57">
        <v>3.4099999999999998E-2</v>
      </c>
      <c r="BS83" s="12">
        <f t="shared" si="3"/>
        <v>2.2499999999999999E-2</v>
      </c>
    </row>
    <row r="84" spans="1:71" x14ac:dyDescent="0.35">
      <c r="A84" s="4">
        <v>46157</v>
      </c>
      <c r="B84" s="3" t="s">
        <v>33</v>
      </c>
      <c r="C84" s="3" t="s">
        <v>33</v>
      </c>
      <c r="D84" s="3" t="s">
        <v>32</v>
      </c>
      <c r="E84" s="3" t="s">
        <v>33</v>
      </c>
      <c r="F84" s="3" t="s">
        <v>32</v>
      </c>
      <c r="G84" s="3" t="s">
        <v>33</v>
      </c>
      <c r="H84" s="9">
        <v>1.12E-2</v>
      </c>
      <c r="I84" s="2">
        <v>46157</v>
      </c>
      <c r="J84" s="1" t="s">
        <v>33</v>
      </c>
      <c r="K84" s="1" t="s">
        <v>33</v>
      </c>
      <c r="L84" s="1" t="s">
        <v>32</v>
      </c>
      <c r="M84" s="1" t="s">
        <v>33</v>
      </c>
      <c r="N84" s="1" t="s">
        <v>32</v>
      </c>
      <c r="O84" s="1" t="s">
        <v>32</v>
      </c>
      <c r="P84" s="57">
        <v>3.2300000000000002E-2</v>
      </c>
      <c r="Q84" s="84">
        <f t="shared" si="4"/>
        <v>2.1100000000000001E-2</v>
      </c>
      <c r="S84" s="4">
        <v>46157</v>
      </c>
      <c r="T84" s="3" t="s">
        <v>33</v>
      </c>
      <c r="U84" s="3" t="s">
        <v>33</v>
      </c>
      <c r="V84" s="3" t="s">
        <v>33</v>
      </c>
      <c r="W84" s="3" t="s">
        <v>33</v>
      </c>
      <c r="X84" s="6">
        <v>3.5000000000000003E-2</v>
      </c>
      <c r="Y84" s="3" t="s">
        <v>33</v>
      </c>
      <c r="Z84" s="6">
        <v>1.46E-2</v>
      </c>
      <c r="AA84" s="2">
        <v>46157</v>
      </c>
      <c r="AB84" s="1" t="s">
        <v>33</v>
      </c>
      <c r="AC84" s="1" t="s">
        <v>33</v>
      </c>
      <c r="AD84" s="1" t="s">
        <v>33</v>
      </c>
      <c r="AE84" s="1" t="s">
        <v>33</v>
      </c>
      <c r="AF84" s="1" t="s">
        <v>33</v>
      </c>
      <c r="AG84" s="1" t="s">
        <v>33</v>
      </c>
      <c r="AH84" s="57">
        <v>2.5000000000000001E-2</v>
      </c>
      <c r="AI84" s="12">
        <f t="shared" si="6"/>
        <v>1.0400000000000001E-2</v>
      </c>
      <c r="AK84" s="4">
        <v>46157</v>
      </c>
      <c r="AL84" s="6">
        <v>0.02</v>
      </c>
      <c r="AM84" s="3"/>
      <c r="AN84" s="3"/>
      <c r="AO84" s="3"/>
      <c r="AP84" s="3" t="s">
        <v>33</v>
      </c>
      <c r="AQ84" s="3" t="s">
        <v>33</v>
      </c>
      <c r="AR84" s="6">
        <v>1.09E-2</v>
      </c>
      <c r="AS84" s="2">
        <v>46157</v>
      </c>
      <c r="AT84" s="13">
        <v>2.5000000000000001E-2</v>
      </c>
      <c r="AU84" s="13">
        <v>2.6800000000000001E-2</v>
      </c>
      <c r="AV84" s="13">
        <v>0.03</v>
      </c>
      <c r="AW84" s="13">
        <v>4.1500000000000002E-2</v>
      </c>
      <c r="AX84" s="13">
        <v>0.05</v>
      </c>
      <c r="AY84" s="13">
        <v>4.7500000000000001E-2</v>
      </c>
      <c r="AZ84" s="13">
        <v>3.5799999999999998E-2</v>
      </c>
      <c r="BA84" s="12">
        <f t="shared" si="5"/>
        <v>2.4899999999999999E-2</v>
      </c>
      <c r="BC84" s="4">
        <v>46157</v>
      </c>
      <c r="BD84" s="6">
        <v>1.12E-2</v>
      </c>
      <c r="BE84" s="6">
        <v>1.14E-2</v>
      </c>
      <c r="BF84" s="6">
        <v>1.17E-2</v>
      </c>
      <c r="BG84" s="3"/>
      <c r="BH84" s="3"/>
      <c r="BI84" s="3"/>
      <c r="BJ84" s="6">
        <v>1.2E-2</v>
      </c>
      <c r="BK84" s="2">
        <v>46157</v>
      </c>
      <c r="BL84" s="57">
        <v>4.1599999999999998E-2</v>
      </c>
      <c r="BM84" s="1"/>
      <c r="BN84" s="57">
        <v>4.99E-2</v>
      </c>
      <c r="BO84" s="1"/>
      <c r="BP84" s="1"/>
      <c r="BQ84" s="1"/>
      <c r="BR84" s="57">
        <v>3.4700000000000002E-2</v>
      </c>
      <c r="BS84" s="12">
        <f t="shared" si="3"/>
        <v>2.2700000000000001E-2</v>
      </c>
    </row>
    <row r="85" spans="1:71" x14ac:dyDescent="0.35">
      <c r="A85" s="4">
        <v>46158</v>
      </c>
      <c r="B85" s="3" t="s">
        <v>33</v>
      </c>
      <c r="C85" s="3" t="s">
        <v>33</v>
      </c>
      <c r="D85" s="3" t="s">
        <v>32</v>
      </c>
      <c r="E85" s="3" t="s">
        <v>33</v>
      </c>
      <c r="F85" s="3" t="s">
        <v>32</v>
      </c>
      <c r="G85" s="3" t="s">
        <v>33</v>
      </c>
      <c r="H85" s="9">
        <v>0.01</v>
      </c>
      <c r="I85" s="2">
        <v>46158</v>
      </c>
      <c r="J85" s="1" t="s">
        <v>33</v>
      </c>
      <c r="K85" s="1" t="s">
        <v>33</v>
      </c>
      <c r="L85" s="1" t="s">
        <v>32</v>
      </c>
      <c r="M85" s="1" t="s">
        <v>33</v>
      </c>
      <c r="N85" s="1" t="s">
        <v>32</v>
      </c>
      <c r="O85" s="1" t="s">
        <v>32</v>
      </c>
      <c r="P85" s="57">
        <v>3.2300000000000002E-2</v>
      </c>
      <c r="Q85" s="84">
        <f t="shared" si="4"/>
        <v>2.23E-2</v>
      </c>
      <c r="S85" s="4">
        <v>46158</v>
      </c>
      <c r="T85" s="3" t="s">
        <v>33</v>
      </c>
      <c r="U85" s="3" t="s">
        <v>33</v>
      </c>
      <c r="V85" s="3" t="s">
        <v>33</v>
      </c>
      <c r="W85" s="3" t="s">
        <v>33</v>
      </c>
      <c r="X85" s="6">
        <v>3.5000000000000003E-2</v>
      </c>
      <c r="Y85" s="3" t="s">
        <v>33</v>
      </c>
      <c r="Z85" s="6">
        <v>1.41E-2</v>
      </c>
      <c r="AA85" s="2">
        <v>46158</v>
      </c>
      <c r="AB85" s="1" t="s">
        <v>33</v>
      </c>
      <c r="AC85" s="1" t="s">
        <v>33</v>
      </c>
      <c r="AD85" s="1" t="s">
        <v>33</v>
      </c>
      <c r="AE85" s="1" t="s">
        <v>33</v>
      </c>
      <c r="AF85" s="1" t="s">
        <v>33</v>
      </c>
      <c r="AG85" s="1" t="s">
        <v>33</v>
      </c>
      <c r="AH85" s="57">
        <v>2.5000000000000001E-2</v>
      </c>
      <c r="AI85" s="12">
        <f t="shared" si="6"/>
        <v>1.0900000000000002E-2</v>
      </c>
      <c r="AK85" s="4">
        <v>46158</v>
      </c>
      <c r="AL85" s="6">
        <v>0.02</v>
      </c>
      <c r="AM85" s="3"/>
      <c r="AN85" s="3"/>
      <c r="AO85" s="3"/>
      <c r="AP85" s="3" t="s">
        <v>33</v>
      </c>
      <c r="AQ85" s="3" t="s">
        <v>33</v>
      </c>
      <c r="AR85" s="6">
        <v>8.8000000000000005E-3</v>
      </c>
      <c r="AS85" s="2">
        <v>46158</v>
      </c>
      <c r="AT85" s="13">
        <v>2.5000000000000001E-2</v>
      </c>
      <c r="AU85" s="13">
        <v>2.8199999999999999E-2</v>
      </c>
      <c r="AV85" s="13">
        <v>3.0200000000000001E-2</v>
      </c>
      <c r="AW85" s="13">
        <v>4.1500000000000002E-2</v>
      </c>
      <c r="AX85" s="13">
        <v>0.05</v>
      </c>
      <c r="AY85" s="13">
        <v>4.7500000000000001E-2</v>
      </c>
      <c r="AZ85" s="13">
        <v>3.5999999999999997E-2</v>
      </c>
      <c r="BA85" s="12">
        <f t="shared" si="5"/>
        <v>2.7199999999999995E-2</v>
      </c>
      <c r="BC85" s="4">
        <v>46158</v>
      </c>
      <c r="BD85" s="6">
        <v>1.12E-2</v>
      </c>
      <c r="BE85" s="6">
        <v>1.14E-2</v>
      </c>
      <c r="BF85" s="6">
        <v>1.17E-2</v>
      </c>
      <c r="BG85" s="3"/>
      <c r="BH85" s="3"/>
      <c r="BI85" s="3"/>
      <c r="BJ85" s="6">
        <v>1.14E-2</v>
      </c>
      <c r="BK85" s="2">
        <v>46158</v>
      </c>
      <c r="BL85" s="57">
        <v>4.1599999999999998E-2</v>
      </c>
      <c r="BM85" s="1"/>
      <c r="BN85" s="57">
        <v>4.99E-2</v>
      </c>
      <c r="BO85" s="1"/>
      <c r="BP85" s="1"/>
      <c r="BQ85" s="1"/>
      <c r="BR85" s="57">
        <v>3.2599999999999997E-2</v>
      </c>
      <c r="BS85" s="12">
        <f t="shared" si="3"/>
        <v>2.1199999999999997E-2</v>
      </c>
    </row>
    <row r="86" spans="1:71" x14ac:dyDescent="0.35">
      <c r="A86" s="4">
        <v>46159</v>
      </c>
      <c r="B86" s="3" t="s">
        <v>33</v>
      </c>
      <c r="C86" s="3" t="s">
        <v>33</v>
      </c>
      <c r="D86" s="3" t="s">
        <v>32</v>
      </c>
      <c r="E86" s="3" t="s">
        <v>33</v>
      </c>
      <c r="F86" s="3" t="s">
        <v>32</v>
      </c>
      <c r="G86" s="3" t="s">
        <v>33</v>
      </c>
      <c r="H86" s="9">
        <v>9.7000000000000003E-3</v>
      </c>
      <c r="I86" s="2">
        <v>46159</v>
      </c>
      <c r="J86" s="1" t="s">
        <v>33</v>
      </c>
      <c r="K86" s="1" t="s">
        <v>33</v>
      </c>
      <c r="L86" s="1" t="s">
        <v>32</v>
      </c>
      <c r="M86" s="1" t="s">
        <v>33</v>
      </c>
      <c r="N86" s="1" t="s">
        <v>32</v>
      </c>
      <c r="O86" s="1" t="s">
        <v>32</v>
      </c>
      <c r="P86" s="57">
        <v>3.2300000000000002E-2</v>
      </c>
      <c r="Q86" s="84">
        <f t="shared" si="4"/>
        <v>2.2600000000000002E-2</v>
      </c>
      <c r="S86" s="4">
        <v>46159</v>
      </c>
      <c r="T86" s="3" t="s">
        <v>33</v>
      </c>
      <c r="U86" s="3" t="s">
        <v>33</v>
      </c>
      <c r="V86" s="3" t="s">
        <v>33</v>
      </c>
      <c r="W86" s="3" t="s">
        <v>33</v>
      </c>
      <c r="X86" s="6">
        <v>3.5000000000000003E-2</v>
      </c>
      <c r="Y86" s="3" t="s">
        <v>33</v>
      </c>
      <c r="Z86" s="6">
        <v>1.3899999999999999E-2</v>
      </c>
      <c r="AA86" s="2">
        <v>46159</v>
      </c>
      <c r="AB86" s="1" t="s">
        <v>33</v>
      </c>
      <c r="AC86" s="1" t="s">
        <v>33</v>
      </c>
      <c r="AD86" s="1" t="s">
        <v>33</v>
      </c>
      <c r="AE86" s="1" t="s">
        <v>33</v>
      </c>
      <c r="AF86" s="1" t="s">
        <v>33</v>
      </c>
      <c r="AG86" s="1" t="s">
        <v>33</v>
      </c>
      <c r="AH86" s="57">
        <v>2.5000000000000001E-2</v>
      </c>
      <c r="AI86" s="12">
        <f t="shared" si="6"/>
        <v>1.1100000000000002E-2</v>
      </c>
      <c r="AK86" s="4">
        <v>46159</v>
      </c>
      <c r="AL86" s="6">
        <v>0.02</v>
      </c>
      <c r="AM86" s="3"/>
      <c r="AN86" s="3"/>
      <c r="AO86" s="3"/>
      <c r="AP86" s="3" t="s">
        <v>33</v>
      </c>
      <c r="AQ86" s="3" t="s">
        <v>33</v>
      </c>
      <c r="AR86" s="6">
        <v>8.6E-3</v>
      </c>
      <c r="AS86" s="2">
        <v>46159</v>
      </c>
      <c r="AT86" s="13">
        <v>0.04</v>
      </c>
      <c r="AU86" s="13">
        <v>3.15E-2</v>
      </c>
      <c r="AV86" s="13">
        <v>3.2500000000000001E-2</v>
      </c>
      <c r="AW86" s="13">
        <v>4.1500000000000002E-2</v>
      </c>
      <c r="AX86" s="13">
        <v>0.05</v>
      </c>
      <c r="AY86" s="13">
        <v>4.7500000000000001E-2</v>
      </c>
      <c r="AZ86" s="13">
        <v>3.6499999999999998E-2</v>
      </c>
      <c r="BA86" s="12">
        <f t="shared" si="5"/>
        <v>2.7899999999999998E-2</v>
      </c>
      <c r="BC86" s="4">
        <v>46159</v>
      </c>
      <c r="BD86" s="6">
        <v>1.12E-2</v>
      </c>
      <c r="BE86" s="6">
        <v>1.14E-2</v>
      </c>
      <c r="BF86" s="6">
        <v>1.17E-2</v>
      </c>
      <c r="BG86" s="3"/>
      <c r="BH86" s="3"/>
      <c r="BI86" s="3"/>
      <c r="BJ86" s="6">
        <v>1.11E-2</v>
      </c>
      <c r="BK86" s="2">
        <v>46159</v>
      </c>
      <c r="BL86" s="57">
        <v>4.1000000000000002E-2</v>
      </c>
      <c r="BM86" s="1"/>
      <c r="BN86" s="57">
        <v>4.9099999999999998E-2</v>
      </c>
      <c r="BO86" s="1"/>
      <c r="BP86" s="1"/>
      <c r="BQ86" s="1"/>
      <c r="BR86" s="57">
        <v>3.1600000000000003E-2</v>
      </c>
      <c r="BS86" s="12">
        <f t="shared" si="3"/>
        <v>2.0500000000000004E-2</v>
      </c>
    </row>
    <row r="87" spans="1:71" x14ac:dyDescent="0.35">
      <c r="A87" s="4">
        <v>46160</v>
      </c>
      <c r="B87" s="3" t="s">
        <v>33</v>
      </c>
      <c r="C87" s="3" t="s">
        <v>33</v>
      </c>
      <c r="D87" s="3" t="s">
        <v>32</v>
      </c>
      <c r="E87" s="3" t="s">
        <v>33</v>
      </c>
      <c r="F87" s="3" t="s">
        <v>32</v>
      </c>
      <c r="G87" s="3" t="s">
        <v>33</v>
      </c>
      <c r="H87" s="9">
        <v>9.9000000000000008E-3</v>
      </c>
      <c r="I87" s="2">
        <v>46160</v>
      </c>
      <c r="J87" s="1" t="s">
        <v>33</v>
      </c>
      <c r="K87" s="1" t="s">
        <v>33</v>
      </c>
      <c r="L87" s="1" t="s">
        <v>32</v>
      </c>
      <c r="M87" s="1" t="s">
        <v>33</v>
      </c>
      <c r="N87" s="1" t="s">
        <v>32</v>
      </c>
      <c r="O87" s="1" t="s">
        <v>32</v>
      </c>
      <c r="P87" s="57">
        <v>3.2300000000000002E-2</v>
      </c>
      <c r="Q87" s="84">
        <f t="shared" ref="Q87:Q93" si="7">P87-H87</f>
        <v>2.2400000000000003E-2</v>
      </c>
      <c r="S87" s="4">
        <v>46160</v>
      </c>
      <c r="T87" s="3" t="s">
        <v>33</v>
      </c>
      <c r="U87" s="3" t="s">
        <v>33</v>
      </c>
      <c r="V87" s="3" t="s">
        <v>33</v>
      </c>
      <c r="W87" s="3" t="s">
        <v>33</v>
      </c>
      <c r="X87" s="6">
        <v>3.5000000000000003E-2</v>
      </c>
      <c r="Y87" s="3" t="s">
        <v>33</v>
      </c>
      <c r="Z87" s="6">
        <v>1.4E-2</v>
      </c>
      <c r="AA87" s="2">
        <v>46160</v>
      </c>
      <c r="AB87" s="1" t="s">
        <v>33</v>
      </c>
      <c r="AC87" s="1" t="s">
        <v>33</v>
      </c>
      <c r="AD87" s="1" t="s">
        <v>33</v>
      </c>
      <c r="AE87" s="1" t="s">
        <v>33</v>
      </c>
      <c r="AF87" s="1" t="s">
        <v>33</v>
      </c>
      <c r="AG87" s="1" t="s">
        <v>33</v>
      </c>
      <c r="AH87" s="57">
        <v>2.5000000000000001E-2</v>
      </c>
      <c r="AI87" s="12">
        <f t="shared" si="6"/>
        <v>1.1000000000000001E-2</v>
      </c>
      <c r="AK87" s="4">
        <v>46160</v>
      </c>
      <c r="AL87" s="6">
        <v>0.02</v>
      </c>
      <c r="AM87" s="3"/>
      <c r="AN87" s="3"/>
      <c r="AO87" s="3"/>
      <c r="AP87" s="3" t="s">
        <v>33</v>
      </c>
      <c r="AQ87" s="3" t="s">
        <v>33</v>
      </c>
      <c r="AR87" s="6">
        <v>8.8999999999999999E-3</v>
      </c>
      <c r="AS87" s="2">
        <v>46160</v>
      </c>
      <c r="AT87" s="13">
        <v>0.04</v>
      </c>
      <c r="AU87" s="13">
        <v>3.2500000000000001E-2</v>
      </c>
      <c r="AV87" s="13">
        <v>3.5000000000000003E-2</v>
      </c>
      <c r="AW87" s="13">
        <v>4.1500000000000002E-2</v>
      </c>
      <c r="AX87" s="13">
        <v>0.05</v>
      </c>
      <c r="AY87" s="13">
        <v>4.7500000000000001E-2</v>
      </c>
      <c r="AZ87" s="13">
        <v>3.4200000000000001E-2</v>
      </c>
      <c r="BA87" s="12">
        <f t="shared" si="5"/>
        <v>2.5300000000000003E-2</v>
      </c>
      <c r="BC87" s="4">
        <v>46160</v>
      </c>
      <c r="BD87" s="6">
        <v>1.0999999999999999E-2</v>
      </c>
      <c r="BE87" s="6">
        <v>1.12E-2</v>
      </c>
      <c r="BF87" s="6">
        <v>1.14E-2</v>
      </c>
      <c r="BG87" s="3"/>
      <c r="BH87" s="3"/>
      <c r="BI87" s="3"/>
      <c r="BJ87" s="6">
        <v>9.5999999999999992E-3</v>
      </c>
      <c r="BK87" s="2">
        <v>46160</v>
      </c>
      <c r="BL87" s="57">
        <v>4.1000000000000002E-2</v>
      </c>
      <c r="BM87" s="1"/>
      <c r="BN87" s="57">
        <v>4.9099999999999998E-2</v>
      </c>
      <c r="BO87" s="1"/>
      <c r="BP87" s="1"/>
      <c r="BQ87" s="1"/>
      <c r="BR87" s="57">
        <v>3.04E-2</v>
      </c>
      <c r="BS87" s="12">
        <f t="shared" si="3"/>
        <v>2.0799999999999999E-2</v>
      </c>
    </row>
    <row r="88" spans="1:71" x14ac:dyDescent="0.35">
      <c r="A88" s="4">
        <v>46161</v>
      </c>
      <c r="B88" s="3" t="s">
        <v>33</v>
      </c>
      <c r="C88" s="3" t="s">
        <v>33</v>
      </c>
      <c r="D88" s="3" t="s">
        <v>32</v>
      </c>
      <c r="E88" s="3" t="s">
        <v>33</v>
      </c>
      <c r="F88" s="3" t="s">
        <v>32</v>
      </c>
      <c r="G88" s="3" t="s">
        <v>33</v>
      </c>
      <c r="H88" s="9">
        <v>1.0999999999999999E-2</v>
      </c>
      <c r="I88" s="2">
        <v>46161</v>
      </c>
      <c r="J88" s="1" t="s">
        <v>33</v>
      </c>
      <c r="K88" s="1" t="s">
        <v>33</v>
      </c>
      <c r="L88" s="1" t="s">
        <v>32</v>
      </c>
      <c r="M88" s="1" t="s">
        <v>33</v>
      </c>
      <c r="N88" s="1" t="s">
        <v>32</v>
      </c>
      <c r="O88" s="1" t="s">
        <v>32</v>
      </c>
      <c r="P88" s="57">
        <v>3.3000000000000002E-2</v>
      </c>
      <c r="Q88" s="84">
        <f t="shared" si="7"/>
        <v>2.2000000000000002E-2</v>
      </c>
      <c r="S88" s="4">
        <v>46161</v>
      </c>
      <c r="T88" s="3" t="s">
        <v>33</v>
      </c>
      <c r="U88" s="3" t="s">
        <v>33</v>
      </c>
      <c r="V88" s="3" t="s">
        <v>33</v>
      </c>
      <c r="W88" s="3" t="s">
        <v>33</v>
      </c>
      <c r="X88" s="6">
        <v>3.5000000000000003E-2</v>
      </c>
      <c r="Y88" s="3" t="s">
        <v>33</v>
      </c>
      <c r="Z88" s="6">
        <v>1.4E-2</v>
      </c>
      <c r="AA88" s="2">
        <v>46161</v>
      </c>
      <c r="AB88" s="1" t="s">
        <v>33</v>
      </c>
      <c r="AC88" s="1" t="s">
        <v>33</v>
      </c>
      <c r="AD88" s="1" t="s">
        <v>33</v>
      </c>
      <c r="AE88" s="1" t="s">
        <v>33</v>
      </c>
      <c r="AF88" s="1" t="s">
        <v>33</v>
      </c>
      <c r="AG88" s="1" t="s">
        <v>33</v>
      </c>
      <c r="AH88" s="57">
        <v>2.5000000000000001E-2</v>
      </c>
      <c r="AI88" s="12">
        <f t="shared" si="6"/>
        <v>1.1000000000000001E-2</v>
      </c>
      <c r="AK88" s="4">
        <v>46161</v>
      </c>
      <c r="AL88" s="6">
        <v>0.02</v>
      </c>
      <c r="AM88" s="3"/>
      <c r="AN88" s="3"/>
      <c r="AO88" s="3"/>
      <c r="AP88" s="3" t="s">
        <v>33</v>
      </c>
      <c r="AQ88" s="3" t="s">
        <v>33</v>
      </c>
      <c r="AR88" s="6">
        <v>0.01</v>
      </c>
      <c r="AS88" s="2">
        <v>46161</v>
      </c>
      <c r="AT88" s="13">
        <v>0.04</v>
      </c>
      <c r="AU88" s="13">
        <v>0.04</v>
      </c>
      <c r="AV88" s="13">
        <v>3.5000000000000003E-2</v>
      </c>
      <c r="AW88" s="13">
        <v>0.04</v>
      </c>
      <c r="AX88" s="13">
        <v>0.05</v>
      </c>
      <c r="AY88" s="13">
        <v>0.05</v>
      </c>
      <c r="AZ88" s="13">
        <v>3.5499999999999997E-2</v>
      </c>
      <c r="BA88" s="12">
        <f t="shared" si="5"/>
        <v>2.5499999999999995E-2</v>
      </c>
      <c r="BC88" s="4">
        <v>46161</v>
      </c>
      <c r="BD88" s="6">
        <v>1.0999999999999999E-2</v>
      </c>
      <c r="BE88" s="6">
        <v>1.12E-2</v>
      </c>
      <c r="BF88" s="6">
        <v>1.14E-2</v>
      </c>
      <c r="BG88" s="3"/>
      <c r="BH88" s="3"/>
      <c r="BI88" s="3"/>
      <c r="BJ88" s="6">
        <v>1.0800000000000001E-2</v>
      </c>
      <c r="BK88" s="2">
        <v>46161</v>
      </c>
      <c r="BL88" s="57">
        <v>3.2899999999999999E-2</v>
      </c>
      <c r="BM88" s="1"/>
      <c r="BN88" s="57">
        <v>4.7399999999999998E-2</v>
      </c>
      <c r="BO88" s="1"/>
      <c r="BP88" s="1"/>
      <c r="BQ88" s="1"/>
      <c r="BR88" s="57">
        <v>3.2599999999999997E-2</v>
      </c>
      <c r="BS88" s="12">
        <f t="shared" si="3"/>
        <v>2.1799999999999996E-2</v>
      </c>
    </row>
    <row r="89" spans="1:71" x14ac:dyDescent="0.35">
      <c r="A89" s="4">
        <v>46162</v>
      </c>
      <c r="B89" s="3" t="s">
        <v>33</v>
      </c>
      <c r="C89" s="3" t="s">
        <v>33</v>
      </c>
      <c r="D89" s="3" t="s">
        <v>32</v>
      </c>
      <c r="E89" s="3" t="s">
        <v>33</v>
      </c>
      <c r="F89" s="3" t="s">
        <v>32</v>
      </c>
      <c r="G89" s="3" t="s">
        <v>33</v>
      </c>
      <c r="H89" s="9">
        <v>1.18E-2</v>
      </c>
      <c r="I89" s="2">
        <v>46162</v>
      </c>
      <c r="J89" s="1" t="s">
        <v>33</v>
      </c>
      <c r="K89" s="1" t="s">
        <v>33</v>
      </c>
      <c r="L89" s="1" t="s">
        <v>32</v>
      </c>
      <c r="M89" s="1" t="s">
        <v>33</v>
      </c>
      <c r="N89" s="1" t="s">
        <v>32</v>
      </c>
      <c r="O89" s="1" t="s">
        <v>32</v>
      </c>
      <c r="P89" s="57">
        <v>3.32E-2</v>
      </c>
      <c r="Q89" s="84">
        <f t="shared" si="7"/>
        <v>2.1400000000000002E-2</v>
      </c>
      <c r="S89" s="4">
        <v>46162</v>
      </c>
      <c r="T89" s="3" t="s">
        <v>33</v>
      </c>
      <c r="U89" s="3" t="s">
        <v>33</v>
      </c>
      <c r="V89" s="3" t="s">
        <v>33</v>
      </c>
      <c r="W89" s="3" t="s">
        <v>33</v>
      </c>
      <c r="X89" s="6">
        <v>3.5000000000000003E-2</v>
      </c>
      <c r="Y89" s="3" t="s">
        <v>33</v>
      </c>
      <c r="Z89" s="6">
        <v>1.2999999999999999E-2</v>
      </c>
      <c r="AA89" s="2">
        <v>46162</v>
      </c>
      <c r="AB89" s="1" t="s">
        <v>33</v>
      </c>
      <c r="AC89" s="1" t="s">
        <v>33</v>
      </c>
      <c r="AD89" s="1" t="s">
        <v>33</v>
      </c>
      <c r="AE89" s="1" t="s">
        <v>33</v>
      </c>
      <c r="AF89" s="1" t="s">
        <v>33</v>
      </c>
      <c r="AG89" s="1" t="s">
        <v>33</v>
      </c>
      <c r="AH89" s="57">
        <v>2.5000000000000001E-2</v>
      </c>
      <c r="AI89" s="12">
        <f t="shared" si="6"/>
        <v>1.2000000000000002E-2</v>
      </c>
      <c r="AK89" s="4">
        <v>46162</v>
      </c>
      <c r="AL89" s="6">
        <v>0.02</v>
      </c>
      <c r="AM89" s="3"/>
      <c r="AN89" s="3"/>
      <c r="AO89" s="3"/>
      <c r="AP89" s="3" t="s">
        <v>33</v>
      </c>
      <c r="AQ89" s="3" t="s">
        <v>33</v>
      </c>
      <c r="AR89" s="6">
        <v>1.15E-2</v>
      </c>
      <c r="AS89" s="2">
        <v>46162</v>
      </c>
      <c r="AT89" s="13">
        <v>4.2099999999999999E-2</v>
      </c>
      <c r="AU89" s="13">
        <v>3.4200000000000001E-2</v>
      </c>
      <c r="AV89" s="13">
        <v>3.5000000000000003E-2</v>
      </c>
      <c r="AW89" s="13">
        <v>0.04</v>
      </c>
      <c r="AX89" s="13">
        <v>4.9500000000000002E-2</v>
      </c>
      <c r="AY89" s="13">
        <v>0.05</v>
      </c>
      <c r="AZ89" s="13">
        <v>3.6600000000000001E-2</v>
      </c>
      <c r="BA89" s="12">
        <f t="shared" si="5"/>
        <v>2.5100000000000001E-2</v>
      </c>
      <c r="BC89" s="4">
        <v>46162</v>
      </c>
      <c r="BD89" s="6">
        <v>1.0999999999999999E-2</v>
      </c>
      <c r="BE89" s="6">
        <v>1.12E-2</v>
      </c>
      <c r="BF89" s="6">
        <v>1.14E-2</v>
      </c>
      <c r="BG89" s="3"/>
      <c r="BH89" s="3"/>
      <c r="BI89" s="3"/>
      <c r="BJ89" s="6">
        <v>1.11E-2</v>
      </c>
      <c r="BK89" s="2">
        <v>46162</v>
      </c>
      <c r="BL89" s="57">
        <v>3.2899999999999999E-2</v>
      </c>
      <c r="BM89" s="1"/>
      <c r="BN89" s="57">
        <v>4.7399999999999998E-2</v>
      </c>
      <c r="BO89" s="1"/>
      <c r="BP89" s="1"/>
      <c r="BQ89" s="1"/>
      <c r="BR89" s="57">
        <v>3.2899999999999999E-2</v>
      </c>
      <c r="BS89" s="12">
        <f t="shared" si="3"/>
        <v>2.18E-2</v>
      </c>
    </row>
    <row r="90" spans="1:71" x14ac:dyDescent="0.35">
      <c r="A90" s="4">
        <v>46163</v>
      </c>
      <c r="B90" s="3" t="s">
        <v>33</v>
      </c>
      <c r="C90" s="3" t="s">
        <v>33</v>
      </c>
      <c r="D90" s="3" t="s">
        <v>32</v>
      </c>
      <c r="E90" s="3" t="s">
        <v>33</v>
      </c>
      <c r="F90" s="3" t="s">
        <v>32</v>
      </c>
      <c r="G90" s="3" t="s">
        <v>33</v>
      </c>
      <c r="H90" s="9">
        <v>1.1900000000000001E-2</v>
      </c>
      <c r="I90" s="2">
        <v>46163</v>
      </c>
      <c r="J90" s="1" t="s">
        <v>33</v>
      </c>
      <c r="K90" s="1" t="s">
        <v>33</v>
      </c>
      <c r="L90" s="1" t="s">
        <v>32</v>
      </c>
      <c r="M90" s="1" t="s">
        <v>33</v>
      </c>
      <c r="N90" s="1" t="s">
        <v>32</v>
      </c>
      <c r="O90" s="1" t="s">
        <v>32</v>
      </c>
      <c r="P90" s="57">
        <v>3.3399999999999999E-2</v>
      </c>
      <c r="Q90" s="84">
        <f t="shared" si="7"/>
        <v>2.1499999999999998E-2</v>
      </c>
      <c r="S90" s="4">
        <v>46163</v>
      </c>
      <c r="T90" s="3" t="s">
        <v>33</v>
      </c>
      <c r="U90" s="3" t="s">
        <v>33</v>
      </c>
      <c r="V90" s="3" t="s">
        <v>33</v>
      </c>
      <c r="W90" s="3" t="s">
        <v>33</v>
      </c>
      <c r="X90" s="6">
        <v>3.5000000000000003E-2</v>
      </c>
      <c r="Y90" s="3" t="s">
        <v>33</v>
      </c>
      <c r="Z90" s="6">
        <v>1.3899999999999999E-2</v>
      </c>
      <c r="AA90" s="2">
        <v>46163</v>
      </c>
      <c r="AB90" s="1" t="s">
        <v>33</v>
      </c>
      <c r="AC90" s="1" t="s">
        <v>33</v>
      </c>
      <c r="AD90" s="1" t="s">
        <v>33</v>
      </c>
      <c r="AE90" s="1" t="s">
        <v>33</v>
      </c>
      <c r="AF90" s="1" t="s">
        <v>33</v>
      </c>
      <c r="AG90" s="1" t="s">
        <v>33</v>
      </c>
      <c r="AH90" s="57">
        <v>2.5000000000000001E-2</v>
      </c>
      <c r="AI90" s="12">
        <f t="shared" si="6"/>
        <v>1.1100000000000002E-2</v>
      </c>
      <c r="AK90" s="4">
        <v>46163</v>
      </c>
      <c r="AL90" s="6">
        <v>0.02</v>
      </c>
      <c r="AM90" s="3"/>
      <c r="AN90" s="3"/>
      <c r="AO90" s="3"/>
      <c r="AP90" s="3" t="s">
        <v>33</v>
      </c>
      <c r="AQ90" s="3" t="s">
        <v>33</v>
      </c>
      <c r="AR90" s="6">
        <v>1.2200000000000001E-2</v>
      </c>
      <c r="AS90" s="2">
        <v>46163</v>
      </c>
      <c r="AT90" s="13">
        <v>4.2099999999999999E-2</v>
      </c>
      <c r="AU90" s="13">
        <v>3.4500000000000003E-2</v>
      </c>
      <c r="AV90" s="13">
        <v>3.5000000000000003E-2</v>
      </c>
      <c r="AW90" s="13">
        <v>0.04</v>
      </c>
      <c r="AX90" s="13">
        <v>4.9500000000000002E-2</v>
      </c>
      <c r="AY90" s="13">
        <v>4.7399999999999998E-2</v>
      </c>
      <c r="AZ90" s="13">
        <v>3.7100000000000001E-2</v>
      </c>
      <c r="BA90" s="12">
        <f t="shared" si="5"/>
        <v>2.4899999999999999E-2</v>
      </c>
      <c r="BC90" s="4">
        <v>46163</v>
      </c>
      <c r="BD90" s="6">
        <v>1.0999999999999999E-2</v>
      </c>
      <c r="BE90" s="6">
        <v>1.12E-2</v>
      </c>
      <c r="BF90" s="6">
        <v>1.14E-2</v>
      </c>
      <c r="BG90" s="3"/>
      <c r="BH90" s="3"/>
      <c r="BI90" s="3"/>
      <c r="BJ90" s="6">
        <v>1.14E-2</v>
      </c>
      <c r="BK90" s="2">
        <v>46163</v>
      </c>
      <c r="BL90" s="57">
        <v>4.1099999999999998E-2</v>
      </c>
      <c r="BM90" s="1"/>
      <c r="BN90" s="57">
        <v>4.9399999999999999E-2</v>
      </c>
      <c r="BO90" s="1"/>
      <c r="BP90" s="1"/>
      <c r="BQ90" s="1"/>
      <c r="BR90" s="57">
        <v>3.4299999999999997E-2</v>
      </c>
      <c r="BS90" s="12">
        <f t="shared" si="3"/>
        <v>2.2899999999999997E-2</v>
      </c>
    </row>
    <row r="91" spans="1:71" x14ac:dyDescent="0.35">
      <c r="A91" s="4">
        <v>46164</v>
      </c>
      <c r="B91" s="3" t="s">
        <v>33</v>
      </c>
      <c r="C91" s="3" t="s">
        <v>33</v>
      </c>
      <c r="D91" s="3" t="s">
        <v>32</v>
      </c>
      <c r="E91" s="3" t="s">
        <v>33</v>
      </c>
      <c r="F91" s="3" t="s">
        <v>32</v>
      </c>
      <c r="G91" s="3" t="s">
        <v>33</v>
      </c>
      <c r="H91" s="9">
        <v>1.18E-2</v>
      </c>
      <c r="I91" s="2">
        <v>46164</v>
      </c>
      <c r="J91" s="1" t="s">
        <v>33</v>
      </c>
      <c r="K91" s="1" t="s">
        <v>33</v>
      </c>
      <c r="L91" s="1" t="s">
        <v>32</v>
      </c>
      <c r="M91" s="1" t="s">
        <v>33</v>
      </c>
      <c r="N91" s="1" t="s">
        <v>32</v>
      </c>
      <c r="O91" s="1" t="s">
        <v>32</v>
      </c>
      <c r="P91" s="57">
        <v>3.32E-2</v>
      </c>
      <c r="Q91" s="84">
        <f t="shared" si="7"/>
        <v>2.1400000000000002E-2</v>
      </c>
      <c r="S91" s="4">
        <v>46164</v>
      </c>
      <c r="T91" s="3" t="s">
        <v>33</v>
      </c>
      <c r="U91" s="3" t="s">
        <v>33</v>
      </c>
      <c r="V91" s="3" t="s">
        <v>33</v>
      </c>
      <c r="W91" s="3" t="s">
        <v>33</v>
      </c>
      <c r="X91" s="6">
        <v>3.5000000000000003E-2</v>
      </c>
      <c r="Y91" s="3" t="s">
        <v>33</v>
      </c>
      <c r="Z91" s="6">
        <v>1.3899999999999999E-2</v>
      </c>
      <c r="AA91" s="2">
        <v>46164</v>
      </c>
      <c r="AB91" s="1" t="s">
        <v>33</v>
      </c>
      <c r="AC91" s="1" t="s">
        <v>33</v>
      </c>
      <c r="AD91" s="1" t="s">
        <v>33</v>
      </c>
      <c r="AE91" s="1" t="s">
        <v>33</v>
      </c>
      <c r="AF91" s="1" t="s">
        <v>33</v>
      </c>
      <c r="AG91" s="1" t="s">
        <v>33</v>
      </c>
      <c r="AH91" s="57">
        <v>2.5000000000000001E-2</v>
      </c>
      <c r="AI91" s="12">
        <f t="shared" si="6"/>
        <v>1.1100000000000002E-2</v>
      </c>
      <c r="AK91" s="4">
        <v>46164</v>
      </c>
      <c r="AL91" s="6">
        <v>0.02</v>
      </c>
      <c r="AM91" s="3"/>
      <c r="AN91" s="3"/>
      <c r="AO91" s="3"/>
      <c r="AP91" s="3" t="s">
        <v>33</v>
      </c>
      <c r="AQ91" s="3" t="s">
        <v>33</v>
      </c>
      <c r="AR91" s="6">
        <v>1.29E-2</v>
      </c>
      <c r="AS91" s="2">
        <v>46164</v>
      </c>
      <c r="AT91" s="13">
        <v>0.04</v>
      </c>
      <c r="AU91" s="13">
        <v>3.49E-2</v>
      </c>
      <c r="AV91" s="13">
        <v>3.5000000000000003E-2</v>
      </c>
      <c r="AW91" s="13">
        <v>4.99E-2</v>
      </c>
      <c r="AX91" s="13">
        <v>4.9000000000000002E-2</v>
      </c>
      <c r="AY91" s="13">
        <v>4.7699999999999999E-2</v>
      </c>
      <c r="AZ91" s="13">
        <v>3.6999999999999998E-2</v>
      </c>
      <c r="BA91" s="12">
        <f t="shared" si="5"/>
        <v>2.4099999999999996E-2</v>
      </c>
      <c r="BC91" s="4">
        <v>46164</v>
      </c>
      <c r="BD91" s="6">
        <v>1.0999999999999999E-2</v>
      </c>
      <c r="BE91" s="6">
        <v>1.12E-2</v>
      </c>
      <c r="BF91" s="6">
        <v>1.14E-2</v>
      </c>
      <c r="BG91" s="3"/>
      <c r="BH91" s="3"/>
      <c r="BI91" s="3"/>
      <c r="BJ91" s="6">
        <v>1.1599999999999999E-2</v>
      </c>
      <c r="BK91" s="2">
        <v>46164</v>
      </c>
      <c r="BL91" s="57">
        <v>4.1000000000000002E-2</v>
      </c>
      <c r="BM91" s="1"/>
      <c r="BN91" s="57">
        <v>4.9299999999999997E-2</v>
      </c>
      <c r="BO91" s="1"/>
      <c r="BP91" s="1"/>
      <c r="BQ91" s="1"/>
      <c r="BR91" s="57">
        <v>3.4299999999999997E-2</v>
      </c>
      <c r="BS91" s="12">
        <f t="shared" si="3"/>
        <v>2.2699999999999998E-2</v>
      </c>
    </row>
    <row r="92" spans="1:71" x14ac:dyDescent="0.35">
      <c r="A92" s="4">
        <v>46165</v>
      </c>
      <c r="B92" s="3" t="s">
        <v>33</v>
      </c>
      <c r="C92" s="3" t="s">
        <v>33</v>
      </c>
      <c r="D92" s="3" t="s">
        <v>32</v>
      </c>
      <c r="E92" s="3" t="s">
        <v>33</v>
      </c>
      <c r="F92" s="3" t="s">
        <v>32</v>
      </c>
      <c r="G92" s="3" t="s">
        <v>33</v>
      </c>
      <c r="H92" s="9">
        <v>1.12E-2</v>
      </c>
      <c r="I92" s="2">
        <v>46165</v>
      </c>
      <c r="J92" s="1" t="s">
        <v>33</v>
      </c>
      <c r="K92" s="1" t="s">
        <v>33</v>
      </c>
      <c r="L92" s="1" t="s">
        <v>32</v>
      </c>
      <c r="M92" s="1" t="s">
        <v>33</v>
      </c>
      <c r="N92" s="1" t="s">
        <v>32</v>
      </c>
      <c r="O92" s="1" t="s">
        <v>32</v>
      </c>
      <c r="P92" s="57">
        <v>3.3799999999999997E-2</v>
      </c>
      <c r="Q92" s="84">
        <f t="shared" si="7"/>
        <v>2.2599999999999995E-2</v>
      </c>
      <c r="S92" s="4">
        <v>46165</v>
      </c>
      <c r="T92" s="3" t="s">
        <v>33</v>
      </c>
      <c r="U92" s="3" t="s">
        <v>33</v>
      </c>
      <c r="V92" s="3" t="s">
        <v>33</v>
      </c>
      <c r="W92" s="3" t="s">
        <v>33</v>
      </c>
      <c r="X92" s="6">
        <v>3.5000000000000003E-2</v>
      </c>
      <c r="Y92" s="3" t="s">
        <v>33</v>
      </c>
      <c r="Z92" s="6">
        <v>1.35E-2</v>
      </c>
      <c r="AA92" s="2">
        <v>46165</v>
      </c>
      <c r="AB92" s="1" t="s">
        <v>33</v>
      </c>
      <c r="AC92" s="1" t="s">
        <v>33</v>
      </c>
      <c r="AD92" s="1" t="s">
        <v>33</v>
      </c>
      <c r="AE92" s="1" t="s">
        <v>33</v>
      </c>
      <c r="AF92" s="1" t="s">
        <v>33</v>
      </c>
      <c r="AG92" s="1" t="s">
        <v>33</v>
      </c>
      <c r="AH92" s="57">
        <v>2.5000000000000001E-2</v>
      </c>
      <c r="AI92" s="12">
        <f t="shared" si="6"/>
        <v>1.1500000000000002E-2</v>
      </c>
      <c r="AK92" s="4">
        <v>46165</v>
      </c>
      <c r="AL92" s="6">
        <v>0.02</v>
      </c>
      <c r="AM92" s="3"/>
      <c r="AN92" s="3"/>
      <c r="AO92" s="3"/>
      <c r="AP92" s="3" t="s">
        <v>33</v>
      </c>
      <c r="AQ92" s="3" t="s">
        <v>33</v>
      </c>
      <c r="AR92" s="6">
        <v>1.15E-2</v>
      </c>
      <c r="AS92" s="2">
        <v>46165</v>
      </c>
      <c r="AT92" s="13">
        <v>0.04</v>
      </c>
      <c r="AU92" s="13">
        <v>3.49E-2</v>
      </c>
      <c r="AV92" s="13">
        <v>3.5000000000000003E-2</v>
      </c>
      <c r="AW92" s="13">
        <v>4.99E-2</v>
      </c>
      <c r="AX92" s="13">
        <v>4.9000000000000002E-2</v>
      </c>
      <c r="AY92" s="13">
        <v>4.7699999999999999E-2</v>
      </c>
      <c r="AZ92" s="13">
        <v>3.6999999999999998E-2</v>
      </c>
      <c r="BA92" s="12">
        <f t="shared" si="5"/>
        <v>2.5499999999999998E-2</v>
      </c>
      <c r="BC92" s="4">
        <v>46165</v>
      </c>
      <c r="BD92" s="6">
        <v>1.0999999999999999E-2</v>
      </c>
      <c r="BE92" s="6">
        <v>1.12E-2</v>
      </c>
      <c r="BF92" s="6">
        <v>1.14E-2</v>
      </c>
      <c r="BG92" s="3"/>
      <c r="BH92" s="3"/>
      <c r="BI92" s="3"/>
      <c r="BJ92" s="6">
        <v>1.15E-2</v>
      </c>
      <c r="BK92" s="2">
        <v>46165</v>
      </c>
      <c r="BL92" s="57">
        <v>4.1000000000000002E-2</v>
      </c>
      <c r="BM92" s="1"/>
      <c r="BN92" s="57">
        <v>4.9299999999999997E-2</v>
      </c>
      <c r="BO92" s="1"/>
      <c r="BP92" s="1"/>
      <c r="BQ92" s="1"/>
      <c r="BR92" s="57">
        <v>3.39E-2</v>
      </c>
      <c r="BS92" s="12">
        <f t="shared" si="3"/>
        <v>2.24E-2</v>
      </c>
    </row>
    <row r="93" spans="1:71" x14ac:dyDescent="0.35">
      <c r="A93" s="4">
        <v>46166</v>
      </c>
      <c r="B93" s="3" t="s">
        <v>33</v>
      </c>
      <c r="C93" s="3" t="s">
        <v>33</v>
      </c>
      <c r="D93" s="3" t="s">
        <v>32</v>
      </c>
      <c r="E93" s="3" t="s">
        <v>33</v>
      </c>
      <c r="F93" s="3" t="s">
        <v>32</v>
      </c>
      <c r="G93" s="3" t="s">
        <v>33</v>
      </c>
      <c r="H93" s="9">
        <v>1.1900000000000001E-2</v>
      </c>
      <c r="I93" s="2">
        <v>46166</v>
      </c>
      <c r="J93" s="1" t="s">
        <v>33</v>
      </c>
      <c r="K93" s="1" t="s">
        <v>33</v>
      </c>
      <c r="L93" s="1" t="s">
        <v>32</v>
      </c>
      <c r="M93" s="1" t="s">
        <v>33</v>
      </c>
      <c r="N93" s="1" t="s">
        <v>32</v>
      </c>
      <c r="O93" s="1" t="s">
        <v>32</v>
      </c>
      <c r="P93" s="57">
        <v>3.4200000000000001E-2</v>
      </c>
      <c r="Q93" s="84">
        <f t="shared" si="7"/>
        <v>2.23E-2</v>
      </c>
      <c r="S93" s="4">
        <v>46166</v>
      </c>
      <c r="T93" s="3" t="s">
        <v>33</v>
      </c>
      <c r="U93" s="3" t="s">
        <v>33</v>
      </c>
      <c r="V93" s="3" t="s">
        <v>33</v>
      </c>
      <c r="W93" s="3" t="s">
        <v>33</v>
      </c>
      <c r="X93" s="6">
        <v>3.5000000000000003E-2</v>
      </c>
      <c r="Y93" s="3" t="s">
        <v>33</v>
      </c>
      <c r="Z93" s="6">
        <v>1.35E-2</v>
      </c>
      <c r="AA93" s="2">
        <v>46166</v>
      </c>
      <c r="AB93" s="1" t="s">
        <v>33</v>
      </c>
      <c r="AC93" s="1" t="s">
        <v>33</v>
      </c>
      <c r="AD93" s="1" t="s">
        <v>33</v>
      </c>
      <c r="AE93" s="1" t="s">
        <v>33</v>
      </c>
      <c r="AF93" s="1" t="s">
        <v>33</v>
      </c>
      <c r="AG93" s="1" t="s">
        <v>33</v>
      </c>
      <c r="AH93" s="57">
        <v>2.5000000000000001E-2</v>
      </c>
      <c r="AI93" s="12">
        <f t="shared" si="6"/>
        <v>1.1500000000000002E-2</v>
      </c>
      <c r="AK93" s="4">
        <v>46166</v>
      </c>
      <c r="AL93" s="6">
        <v>0.02</v>
      </c>
      <c r="AM93" s="3"/>
      <c r="AN93" s="3"/>
      <c r="AO93" s="3"/>
      <c r="AP93" s="3" t="s">
        <v>33</v>
      </c>
      <c r="AQ93" s="3" t="s">
        <v>33</v>
      </c>
      <c r="AR93" s="6">
        <v>1.17E-2</v>
      </c>
      <c r="AS93" s="2">
        <v>46166</v>
      </c>
      <c r="AT93" s="13">
        <v>0.04</v>
      </c>
      <c r="AU93" s="13">
        <v>3.49E-2</v>
      </c>
      <c r="AV93" s="13">
        <v>3.5000000000000003E-2</v>
      </c>
      <c r="AW93" s="13">
        <v>4.99E-2</v>
      </c>
      <c r="AX93" s="13">
        <v>4.9000000000000002E-2</v>
      </c>
      <c r="AY93" s="13">
        <v>4.7699999999999999E-2</v>
      </c>
      <c r="AZ93" s="13">
        <v>3.6999999999999998E-2</v>
      </c>
      <c r="BA93" s="12">
        <f t="shared" si="5"/>
        <v>2.5299999999999996E-2</v>
      </c>
      <c r="BC93" s="4">
        <v>46166</v>
      </c>
      <c r="BD93" s="6">
        <v>1.0999999999999999E-2</v>
      </c>
      <c r="BE93" s="6">
        <v>1.12E-2</v>
      </c>
      <c r="BF93" s="6">
        <v>1.14E-2</v>
      </c>
      <c r="BG93" s="3"/>
      <c r="BH93" s="3"/>
      <c r="BI93" s="3"/>
      <c r="BJ93" s="6">
        <v>1.14E-2</v>
      </c>
      <c r="BK93" s="2">
        <v>46166</v>
      </c>
      <c r="BL93" s="57">
        <v>4.1000000000000002E-2</v>
      </c>
      <c r="BM93" s="1"/>
      <c r="BN93" s="57">
        <v>4.9299999999999997E-2</v>
      </c>
      <c r="BO93" s="1"/>
      <c r="BP93" s="1"/>
      <c r="BQ93" s="1"/>
      <c r="BR93" s="57">
        <v>3.3799999999999997E-2</v>
      </c>
      <c r="BS93" s="12">
        <f t="shared" si="3"/>
        <v>2.2399999999999996E-2</v>
      </c>
    </row>
    <row r="94" spans="1:71" x14ac:dyDescent="0.35">
      <c r="A94" s="4">
        <v>46167</v>
      </c>
      <c r="B94" s="3" t="s">
        <v>33</v>
      </c>
      <c r="C94" s="3" t="s">
        <v>33</v>
      </c>
      <c r="D94" s="3" t="s">
        <v>32</v>
      </c>
      <c r="E94" s="3" t="s">
        <v>33</v>
      </c>
      <c r="F94" s="3" t="s">
        <v>32</v>
      </c>
      <c r="G94" s="3" t="s">
        <v>33</v>
      </c>
      <c r="H94" s="9">
        <v>1.23E-2</v>
      </c>
      <c r="I94" s="2">
        <v>46167</v>
      </c>
      <c r="J94" s="1" t="s">
        <v>33</v>
      </c>
      <c r="K94" s="1" t="s">
        <v>33</v>
      </c>
      <c r="L94" s="1" t="s">
        <v>32</v>
      </c>
      <c r="M94" s="1" t="s">
        <v>33</v>
      </c>
      <c r="N94" s="1" t="s">
        <v>32</v>
      </c>
      <c r="O94" s="1" t="s">
        <v>32</v>
      </c>
      <c r="P94" s="57">
        <v>3.44E-2</v>
      </c>
      <c r="Q94" s="84">
        <f t="shared" ref="Q94:Q117" si="8">P94-H94</f>
        <v>2.2100000000000002E-2</v>
      </c>
      <c r="S94" s="4">
        <v>46167</v>
      </c>
      <c r="T94" s="3" t="s">
        <v>33</v>
      </c>
      <c r="U94" s="3" t="s">
        <v>33</v>
      </c>
      <c r="V94" s="3" t="s">
        <v>33</v>
      </c>
      <c r="W94" s="3" t="s">
        <v>33</v>
      </c>
      <c r="X94" s="6">
        <v>3.5000000000000003E-2</v>
      </c>
      <c r="Y94" s="3" t="s">
        <v>33</v>
      </c>
      <c r="Z94" s="6">
        <v>1.3599999999999999E-2</v>
      </c>
      <c r="AA94" s="2">
        <v>46167</v>
      </c>
      <c r="AB94" s="1" t="s">
        <v>33</v>
      </c>
      <c r="AC94" s="1" t="s">
        <v>33</v>
      </c>
      <c r="AD94" s="1" t="s">
        <v>33</v>
      </c>
      <c r="AE94" s="1" t="s">
        <v>33</v>
      </c>
      <c r="AF94" s="1" t="s">
        <v>33</v>
      </c>
      <c r="AG94" s="1" t="s">
        <v>33</v>
      </c>
      <c r="AH94" s="57">
        <v>2.5000000000000001E-2</v>
      </c>
      <c r="AI94" s="12">
        <f t="shared" si="6"/>
        <v>1.1400000000000002E-2</v>
      </c>
      <c r="AK94" s="4">
        <v>46167</v>
      </c>
      <c r="AL94" s="6">
        <v>0.02</v>
      </c>
      <c r="AM94" s="3"/>
      <c r="AN94" s="3"/>
      <c r="AO94" s="3"/>
      <c r="AP94" s="3" t="s">
        <v>33</v>
      </c>
      <c r="AQ94" s="3" t="s">
        <v>33</v>
      </c>
      <c r="AR94" s="6">
        <v>1.2200000000000001E-2</v>
      </c>
      <c r="AS94" s="2">
        <v>46167</v>
      </c>
      <c r="AT94" s="13">
        <v>0.04</v>
      </c>
      <c r="AU94" s="13">
        <v>3.49E-2</v>
      </c>
      <c r="AV94" s="13">
        <v>3.5000000000000003E-2</v>
      </c>
      <c r="AW94" s="13">
        <v>4.99E-2</v>
      </c>
      <c r="AX94" s="13">
        <v>4.9000000000000002E-2</v>
      </c>
      <c r="AY94" s="13">
        <v>4.7699999999999999E-2</v>
      </c>
      <c r="AZ94" s="13">
        <v>3.6999999999999998E-2</v>
      </c>
      <c r="BA94" s="12">
        <f t="shared" si="5"/>
        <v>2.4799999999999996E-2</v>
      </c>
      <c r="BC94" s="4">
        <v>46167</v>
      </c>
      <c r="BD94" s="6">
        <v>1.0999999999999999E-2</v>
      </c>
      <c r="BE94" s="6">
        <v>1.12E-2</v>
      </c>
      <c r="BF94" s="6">
        <v>1.14E-2</v>
      </c>
      <c r="BG94" s="3"/>
      <c r="BH94" s="3"/>
      <c r="BI94" s="3"/>
      <c r="BJ94" s="6">
        <v>1.14E-2</v>
      </c>
      <c r="BK94" s="2">
        <v>46167</v>
      </c>
      <c r="BL94" s="57">
        <v>4.1599999999999998E-2</v>
      </c>
      <c r="BM94" s="1"/>
      <c r="BN94" s="57">
        <v>4.99E-2</v>
      </c>
      <c r="BO94" s="1"/>
      <c r="BP94" s="1"/>
      <c r="BQ94" s="1"/>
      <c r="BR94" s="57">
        <v>3.4099999999999998E-2</v>
      </c>
      <c r="BS94" s="12">
        <f t="shared" si="3"/>
        <v>2.2699999999999998E-2</v>
      </c>
    </row>
    <row r="95" spans="1:71" x14ac:dyDescent="0.35">
      <c r="A95" s="4">
        <v>46168</v>
      </c>
      <c r="B95" s="3" t="s">
        <v>33</v>
      </c>
      <c r="C95" s="3" t="s">
        <v>33</v>
      </c>
      <c r="D95" s="3" t="s">
        <v>32</v>
      </c>
      <c r="E95" s="3" t="s">
        <v>33</v>
      </c>
      <c r="F95" s="3" t="s">
        <v>32</v>
      </c>
      <c r="G95" s="3" t="s">
        <v>33</v>
      </c>
      <c r="H95" s="9">
        <v>1.3100000000000001E-2</v>
      </c>
      <c r="I95" s="2">
        <v>46168</v>
      </c>
      <c r="J95" s="1" t="s">
        <v>33</v>
      </c>
      <c r="K95" s="1" t="s">
        <v>33</v>
      </c>
      <c r="L95" s="1" t="s">
        <v>32</v>
      </c>
      <c r="M95" s="1" t="s">
        <v>33</v>
      </c>
      <c r="N95" s="1" t="s">
        <v>32</v>
      </c>
      <c r="O95" s="1" t="s">
        <v>32</v>
      </c>
      <c r="P95" s="57">
        <v>3.5499999999999997E-2</v>
      </c>
      <c r="Q95" s="84">
        <f t="shared" si="8"/>
        <v>2.2399999999999996E-2</v>
      </c>
      <c r="S95" s="4">
        <v>46168</v>
      </c>
      <c r="T95" s="3" t="s">
        <v>33</v>
      </c>
      <c r="U95" s="3" t="s">
        <v>33</v>
      </c>
      <c r="V95" s="3" t="s">
        <v>33</v>
      </c>
      <c r="W95" s="3" t="s">
        <v>33</v>
      </c>
      <c r="X95" s="6">
        <v>3.5000000000000003E-2</v>
      </c>
      <c r="Y95" s="3" t="s">
        <v>33</v>
      </c>
      <c r="Z95" s="6">
        <v>1.37E-2</v>
      </c>
      <c r="AA95" s="2">
        <v>46168</v>
      </c>
      <c r="AB95" s="1" t="s">
        <v>33</v>
      </c>
      <c r="AC95" s="1" t="s">
        <v>33</v>
      </c>
      <c r="AD95" s="1" t="s">
        <v>33</v>
      </c>
      <c r="AE95" s="1" t="s">
        <v>33</v>
      </c>
      <c r="AF95" s="1" t="s">
        <v>33</v>
      </c>
      <c r="AG95" s="1" t="s">
        <v>33</v>
      </c>
      <c r="AH95" s="57">
        <v>2.5000000000000001E-2</v>
      </c>
      <c r="AI95" s="12">
        <f t="shared" si="6"/>
        <v>1.1300000000000001E-2</v>
      </c>
      <c r="AK95" s="4">
        <v>46168</v>
      </c>
      <c r="AL95" s="6">
        <v>0.02</v>
      </c>
      <c r="AM95" s="3"/>
      <c r="AN95" s="3"/>
      <c r="AO95" s="3"/>
      <c r="AP95" s="3" t="s">
        <v>33</v>
      </c>
      <c r="AQ95" s="3" t="s">
        <v>33</v>
      </c>
      <c r="AR95" s="6">
        <v>1.2999999999999999E-2</v>
      </c>
      <c r="AS95" s="2">
        <v>46168</v>
      </c>
      <c r="AT95" s="13">
        <v>0.04</v>
      </c>
      <c r="AU95" s="13">
        <v>3.49E-2</v>
      </c>
      <c r="AV95" s="13">
        <v>3.5000000000000003E-2</v>
      </c>
      <c r="AW95" s="13">
        <v>4.99E-2</v>
      </c>
      <c r="AX95" s="13">
        <v>4.9000000000000002E-2</v>
      </c>
      <c r="AY95" s="13">
        <v>4.7699999999999999E-2</v>
      </c>
      <c r="AZ95" s="13">
        <v>3.6999999999999998E-2</v>
      </c>
      <c r="BA95" s="12">
        <f t="shared" si="5"/>
        <v>2.4E-2</v>
      </c>
      <c r="BC95" s="4">
        <v>46168</v>
      </c>
      <c r="BD95" s="6">
        <v>1.0999999999999999E-2</v>
      </c>
      <c r="BE95" s="6">
        <v>1.12E-2</v>
      </c>
      <c r="BF95" s="6">
        <v>1.14E-2</v>
      </c>
      <c r="BG95" s="3"/>
      <c r="BH95" s="3"/>
      <c r="BI95" s="3"/>
      <c r="BJ95" s="6">
        <v>1.21E-2</v>
      </c>
      <c r="BK95" s="2">
        <v>46168</v>
      </c>
      <c r="BL95" s="57">
        <v>4.2000000000000003E-2</v>
      </c>
      <c r="BM95" s="1"/>
      <c r="BN95" s="57">
        <v>5.2499999999999998E-2</v>
      </c>
      <c r="BO95" s="1"/>
      <c r="BP95" s="1"/>
      <c r="BQ95" s="1"/>
      <c r="BR95" s="57">
        <v>3.5900000000000001E-2</v>
      </c>
      <c r="BS95" s="12">
        <f t="shared" si="3"/>
        <v>2.3800000000000002E-2</v>
      </c>
    </row>
    <row r="96" spans="1:71" x14ac:dyDescent="0.35">
      <c r="A96" s="4">
        <v>46169</v>
      </c>
      <c r="B96" s="3" t="s">
        <v>33</v>
      </c>
      <c r="C96" s="3" t="s">
        <v>33</v>
      </c>
      <c r="D96" s="3" t="s">
        <v>32</v>
      </c>
      <c r="E96" s="3" t="s">
        <v>33</v>
      </c>
      <c r="F96" s="3" t="s">
        <v>32</v>
      </c>
      <c r="G96" s="3" t="s">
        <v>33</v>
      </c>
      <c r="H96" s="9">
        <v>1.41E-2</v>
      </c>
      <c r="I96" s="2">
        <v>46169</v>
      </c>
      <c r="J96" s="1" t="s">
        <v>33</v>
      </c>
      <c r="K96" s="1" t="s">
        <v>33</v>
      </c>
      <c r="L96" s="1" t="s">
        <v>32</v>
      </c>
      <c r="M96" s="1" t="s">
        <v>33</v>
      </c>
      <c r="N96" s="1" t="s">
        <v>32</v>
      </c>
      <c r="O96" s="1" t="s">
        <v>32</v>
      </c>
      <c r="P96" s="57">
        <v>3.6799999999999999E-2</v>
      </c>
      <c r="Q96" s="84">
        <f t="shared" si="8"/>
        <v>2.2699999999999998E-2</v>
      </c>
      <c r="S96" s="4">
        <v>46169</v>
      </c>
      <c r="T96" s="3" t="s">
        <v>33</v>
      </c>
      <c r="U96" s="3" t="s">
        <v>33</v>
      </c>
      <c r="V96" s="3" t="s">
        <v>33</v>
      </c>
      <c r="W96" s="3" t="s">
        <v>33</v>
      </c>
      <c r="X96" s="6">
        <v>3.5000000000000003E-2</v>
      </c>
      <c r="Y96" s="3" t="s">
        <v>33</v>
      </c>
      <c r="Z96" s="6">
        <v>1.3899999999999999E-2</v>
      </c>
      <c r="AA96" s="2">
        <v>46169</v>
      </c>
      <c r="AB96" s="1" t="s">
        <v>33</v>
      </c>
      <c r="AC96" s="1" t="s">
        <v>33</v>
      </c>
      <c r="AD96" s="1" t="s">
        <v>33</v>
      </c>
      <c r="AE96" s="1" t="s">
        <v>33</v>
      </c>
      <c r="AF96" s="1" t="s">
        <v>33</v>
      </c>
      <c r="AG96" s="1" t="s">
        <v>33</v>
      </c>
      <c r="AH96" s="57">
        <v>2.5000000000000001E-2</v>
      </c>
      <c r="AI96" s="12">
        <f t="shared" si="6"/>
        <v>1.1100000000000002E-2</v>
      </c>
      <c r="AK96" s="4">
        <v>46169</v>
      </c>
      <c r="AL96" s="6">
        <v>0.02</v>
      </c>
      <c r="AM96" s="3"/>
      <c r="AN96" s="3"/>
      <c r="AO96" s="3"/>
      <c r="AP96" s="3" t="s">
        <v>33</v>
      </c>
      <c r="AQ96" s="3" t="s">
        <v>33</v>
      </c>
      <c r="AR96" s="6">
        <v>1.34E-2</v>
      </c>
      <c r="AS96" s="2">
        <v>46169</v>
      </c>
      <c r="AT96" s="13">
        <v>0.04</v>
      </c>
      <c r="AU96" s="13">
        <v>3.49E-2</v>
      </c>
      <c r="AV96" s="13">
        <v>3.5000000000000003E-2</v>
      </c>
      <c r="AW96" s="13">
        <v>4.99E-2</v>
      </c>
      <c r="AX96" s="13">
        <v>4.9000000000000002E-2</v>
      </c>
      <c r="AY96" s="13">
        <v>4.7699999999999999E-2</v>
      </c>
      <c r="AZ96" s="13">
        <v>3.6999999999999998E-2</v>
      </c>
      <c r="BA96" s="12">
        <f t="shared" si="5"/>
        <v>2.3599999999999996E-2</v>
      </c>
      <c r="BC96" s="4">
        <v>46169</v>
      </c>
      <c r="BD96" s="6">
        <v>1.0999999999999999E-2</v>
      </c>
      <c r="BE96" s="6">
        <v>1.12E-2</v>
      </c>
      <c r="BF96" s="6">
        <v>1.14E-2</v>
      </c>
      <c r="BG96" s="3"/>
      <c r="BH96" s="3"/>
      <c r="BI96" s="3"/>
      <c r="BJ96" s="6">
        <v>1.2699999999999999E-2</v>
      </c>
      <c r="BK96" s="2">
        <v>46169</v>
      </c>
      <c r="BL96" s="57">
        <v>4.2000000000000003E-2</v>
      </c>
      <c r="BM96" s="1"/>
      <c r="BN96" s="57">
        <v>5.2499999999999998E-2</v>
      </c>
      <c r="BO96" s="1"/>
      <c r="BP96" s="1"/>
      <c r="BQ96" s="1"/>
      <c r="BR96" s="57">
        <v>3.6999999999999998E-2</v>
      </c>
      <c r="BS96" s="12">
        <f t="shared" si="3"/>
        <v>2.4299999999999999E-2</v>
      </c>
    </row>
    <row r="97" spans="1:71" x14ac:dyDescent="0.35">
      <c r="A97" s="4">
        <v>46170</v>
      </c>
      <c r="B97" s="3" t="s">
        <v>33</v>
      </c>
      <c r="C97" s="3" t="s">
        <v>33</v>
      </c>
      <c r="D97" s="3" t="s">
        <v>32</v>
      </c>
      <c r="E97" s="3" t="s">
        <v>33</v>
      </c>
      <c r="F97" s="3" t="s">
        <v>32</v>
      </c>
      <c r="G97" s="3" t="s">
        <v>33</v>
      </c>
      <c r="H97" s="9">
        <v>1.47E-2</v>
      </c>
      <c r="I97" s="2">
        <v>46170</v>
      </c>
      <c r="J97" s="1" t="s">
        <v>33</v>
      </c>
      <c r="K97" s="1" t="s">
        <v>33</v>
      </c>
      <c r="L97" s="1" t="s">
        <v>32</v>
      </c>
      <c r="M97" s="1" t="s">
        <v>33</v>
      </c>
      <c r="N97" s="1" t="s">
        <v>32</v>
      </c>
      <c r="O97" s="1" t="s">
        <v>32</v>
      </c>
      <c r="P97" s="57">
        <v>3.7499999999999999E-2</v>
      </c>
      <c r="Q97" s="84">
        <f t="shared" si="8"/>
        <v>2.2800000000000001E-2</v>
      </c>
      <c r="S97" s="4">
        <v>46170</v>
      </c>
      <c r="T97" s="3" t="s">
        <v>33</v>
      </c>
      <c r="U97" s="3" t="s">
        <v>33</v>
      </c>
      <c r="V97" s="3" t="s">
        <v>33</v>
      </c>
      <c r="W97" s="3" t="s">
        <v>33</v>
      </c>
      <c r="X97" s="6">
        <v>3.5000000000000003E-2</v>
      </c>
      <c r="Y97" s="3" t="s">
        <v>33</v>
      </c>
      <c r="Z97" s="6">
        <v>1.4200000000000001E-2</v>
      </c>
      <c r="AA97" s="2">
        <v>46170</v>
      </c>
      <c r="AB97" s="1" t="s">
        <v>33</v>
      </c>
      <c r="AC97" s="1" t="s">
        <v>33</v>
      </c>
      <c r="AD97" s="1" t="s">
        <v>33</v>
      </c>
      <c r="AE97" s="1" t="s">
        <v>33</v>
      </c>
      <c r="AF97" s="1" t="s">
        <v>33</v>
      </c>
      <c r="AG97" s="1" t="s">
        <v>33</v>
      </c>
      <c r="AH97" s="57">
        <v>2.5000000000000001E-2</v>
      </c>
      <c r="AI97" s="12">
        <f t="shared" si="6"/>
        <v>1.0800000000000001E-2</v>
      </c>
      <c r="AK97" s="4">
        <v>46170</v>
      </c>
      <c r="AL97" s="6">
        <v>0.02</v>
      </c>
      <c r="AM97" s="3"/>
      <c r="AN97" s="3"/>
      <c r="AO97" s="3"/>
      <c r="AP97" s="3" t="s">
        <v>33</v>
      </c>
      <c r="AQ97" s="3" t="s">
        <v>33</v>
      </c>
      <c r="AR97" s="6">
        <v>1.4E-2</v>
      </c>
      <c r="AS97" s="2">
        <v>46170</v>
      </c>
      <c r="AT97" s="13">
        <v>0.04</v>
      </c>
      <c r="AU97" s="13">
        <v>3.49E-2</v>
      </c>
      <c r="AV97" s="13">
        <v>3.5000000000000003E-2</v>
      </c>
      <c r="AW97" s="13">
        <v>4.99E-2</v>
      </c>
      <c r="AX97" s="13">
        <v>4.9000000000000002E-2</v>
      </c>
      <c r="AY97" s="13">
        <v>4.7699999999999999E-2</v>
      </c>
      <c r="AZ97" s="13">
        <v>3.6999999999999998E-2</v>
      </c>
      <c r="BA97" s="12">
        <f t="shared" si="5"/>
        <v>2.3E-2</v>
      </c>
      <c r="BC97" s="4">
        <v>46170</v>
      </c>
      <c r="BD97" s="6">
        <v>1.0999999999999999E-2</v>
      </c>
      <c r="BE97" s="6">
        <v>1.12E-2</v>
      </c>
      <c r="BF97" s="6">
        <v>1.14E-2</v>
      </c>
      <c r="BG97" s="3"/>
      <c r="BH97" s="3"/>
      <c r="BI97" s="3"/>
      <c r="BJ97" s="6">
        <v>1.35E-2</v>
      </c>
      <c r="BK97" s="2">
        <v>46170</v>
      </c>
      <c r="BL97" s="57">
        <v>4.3499999999999997E-2</v>
      </c>
      <c r="BM97" s="1"/>
      <c r="BN97" s="57">
        <v>5.5E-2</v>
      </c>
      <c r="BO97" s="1"/>
      <c r="BP97" s="1"/>
      <c r="BQ97" s="1"/>
      <c r="BR97" s="57">
        <v>3.7999999999999999E-2</v>
      </c>
      <c r="BS97" s="12">
        <f t="shared" si="3"/>
        <v>2.4500000000000001E-2</v>
      </c>
    </row>
    <row r="98" spans="1:71" x14ac:dyDescent="0.35">
      <c r="A98" s="4">
        <v>46171</v>
      </c>
      <c r="B98" s="3" t="s">
        <v>33</v>
      </c>
      <c r="C98" s="3" t="s">
        <v>33</v>
      </c>
      <c r="D98" s="3" t="s">
        <v>32</v>
      </c>
      <c r="E98" s="3" t="s">
        <v>33</v>
      </c>
      <c r="F98" s="3" t="s">
        <v>32</v>
      </c>
      <c r="G98" s="3" t="s">
        <v>33</v>
      </c>
      <c r="H98" s="9">
        <v>1.5100000000000001E-2</v>
      </c>
      <c r="I98" s="2">
        <v>46171</v>
      </c>
      <c r="J98" s="1" t="s">
        <v>33</v>
      </c>
      <c r="K98" s="1" t="s">
        <v>33</v>
      </c>
      <c r="L98" s="1" t="s">
        <v>32</v>
      </c>
      <c r="M98" s="1" t="s">
        <v>33</v>
      </c>
      <c r="N98" s="1" t="s">
        <v>32</v>
      </c>
      <c r="O98" s="1" t="s">
        <v>32</v>
      </c>
      <c r="P98" s="57">
        <v>3.85E-2</v>
      </c>
      <c r="Q98" s="84">
        <f t="shared" si="8"/>
        <v>2.3399999999999997E-2</v>
      </c>
      <c r="S98" s="4">
        <v>46171</v>
      </c>
      <c r="T98" s="3" t="s">
        <v>33</v>
      </c>
      <c r="U98" s="3" t="s">
        <v>33</v>
      </c>
      <c r="V98" s="3" t="s">
        <v>33</v>
      </c>
      <c r="W98" s="3" t="s">
        <v>33</v>
      </c>
      <c r="X98" s="6">
        <v>3.5000000000000003E-2</v>
      </c>
      <c r="Y98" s="3" t="s">
        <v>33</v>
      </c>
      <c r="Z98" s="6">
        <v>1.44E-2</v>
      </c>
      <c r="AA98" s="2">
        <v>46171</v>
      </c>
      <c r="AB98" s="1" t="s">
        <v>33</v>
      </c>
      <c r="AC98" s="1" t="s">
        <v>33</v>
      </c>
      <c r="AD98" s="1" t="s">
        <v>33</v>
      </c>
      <c r="AE98" s="1" t="s">
        <v>33</v>
      </c>
      <c r="AF98" s="1" t="s">
        <v>33</v>
      </c>
      <c r="AG98" s="1" t="s">
        <v>33</v>
      </c>
      <c r="AH98" s="57">
        <v>2.5000000000000001E-2</v>
      </c>
      <c r="AI98" s="12">
        <f t="shared" si="6"/>
        <v>1.0600000000000002E-2</v>
      </c>
      <c r="AK98" s="4">
        <v>46171</v>
      </c>
      <c r="AL98" s="6">
        <v>0.02</v>
      </c>
      <c r="AM98" s="3"/>
      <c r="AN98" s="3"/>
      <c r="AO98" s="3"/>
      <c r="AP98" s="3" t="s">
        <v>33</v>
      </c>
      <c r="AQ98" s="3" t="s">
        <v>33</v>
      </c>
      <c r="AR98" s="6">
        <v>1.54E-2</v>
      </c>
      <c r="AS98" s="2">
        <v>46171</v>
      </c>
      <c r="AT98" s="13">
        <v>0.04</v>
      </c>
      <c r="AU98" s="13">
        <v>3.49E-2</v>
      </c>
      <c r="AV98" s="13">
        <v>3.5000000000000003E-2</v>
      </c>
      <c r="AW98" s="13">
        <v>4.99E-2</v>
      </c>
      <c r="AX98" s="13">
        <v>4.9000000000000002E-2</v>
      </c>
      <c r="AY98" s="13">
        <v>4.7699999999999999E-2</v>
      </c>
      <c r="AZ98" s="13">
        <v>3.6999999999999998E-2</v>
      </c>
      <c r="BA98" s="12">
        <f t="shared" si="5"/>
        <v>2.1599999999999998E-2</v>
      </c>
      <c r="BC98" s="4">
        <v>46171</v>
      </c>
      <c r="BD98" s="6">
        <v>1.0999999999999999E-2</v>
      </c>
      <c r="BE98" s="6">
        <v>1.12E-2</v>
      </c>
      <c r="BF98" s="6">
        <v>1.14E-2</v>
      </c>
      <c r="BG98" s="3"/>
      <c r="BH98" s="3"/>
      <c r="BI98" s="3"/>
      <c r="BJ98" s="6">
        <v>1.4E-2</v>
      </c>
      <c r="BK98" s="2">
        <v>46171</v>
      </c>
      <c r="BL98" s="57">
        <v>4.3499999999999997E-2</v>
      </c>
      <c r="BM98" s="1"/>
      <c r="BN98" s="57">
        <v>5.5E-2</v>
      </c>
      <c r="BO98" s="1"/>
      <c r="BP98" s="1"/>
      <c r="BQ98" s="1"/>
      <c r="BR98" s="57">
        <v>3.8600000000000002E-2</v>
      </c>
      <c r="BS98" s="12">
        <f t="shared" si="3"/>
        <v>2.4600000000000004E-2</v>
      </c>
    </row>
    <row r="99" spans="1:71" x14ac:dyDescent="0.35">
      <c r="A99" s="4">
        <v>46172</v>
      </c>
      <c r="B99" s="3" t="s">
        <v>33</v>
      </c>
      <c r="C99" s="3" t="s">
        <v>33</v>
      </c>
      <c r="D99" s="3" t="s">
        <v>32</v>
      </c>
      <c r="E99" s="3" t="s">
        <v>33</v>
      </c>
      <c r="F99" s="3" t="s">
        <v>32</v>
      </c>
      <c r="G99" s="3" t="s">
        <v>33</v>
      </c>
      <c r="H99" s="9">
        <v>1.4999999999999999E-2</v>
      </c>
      <c r="I99" s="2">
        <v>46172</v>
      </c>
      <c r="J99" s="1" t="s">
        <v>33</v>
      </c>
      <c r="K99" s="1" t="s">
        <v>33</v>
      </c>
      <c r="L99" s="1" t="s">
        <v>32</v>
      </c>
      <c r="M99" s="1" t="s">
        <v>33</v>
      </c>
      <c r="N99" s="1" t="s">
        <v>32</v>
      </c>
      <c r="O99" s="1" t="s">
        <v>32</v>
      </c>
      <c r="P99" s="57">
        <v>3.8300000000000001E-2</v>
      </c>
      <c r="Q99" s="84">
        <f t="shared" si="8"/>
        <v>2.3300000000000001E-2</v>
      </c>
      <c r="S99" s="4">
        <v>46172</v>
      </c>
      <c r="T99" s="3" t="s">
        <v>33</v>
      </c>
      <c r="U99" s="3" t="s">
        <v>33</v>
      </c>
      <c r="V99" s="3" t="s">
        <v>33</v>
      </c>
      <c r="W99" s="3" t="s">
        <v>33</v>
      </c>
      <c r="X99" s="6">
        <v>3.5000000000000003E-2</v>
      </c>
      <c r="Y99" s="3" t="s">
        <v>33</v>
      </c>
      <c r="Z99" s="6">
        <v>1.43E-2</v>
      </c>
      <c r="AA99" s="2">
        <v>46172</v>
      </c>
      <c r="AB99" s="1" t="s">
        <v>33</v>
      </c>
      <c r="AC99" s="1" t="s">
        <v>33</v>
      </c>
      <c r="AD99" s="1" t="s">
        <v>33</v>
      </c>
      <c r="AE99" s="1" t="s">
        <v>33</v>
      </c>
      <c r="AF99" s="1" t="s">
        <v>33</v>
      </c>
      <c r="AG99" s="1" t="s">
        <v>33</v>
      </c>
      <c r="AH99" s="57">
        <v>2.5000000000000001E-2</v>
      </c>
      <c r="AI99" s="12">
        <f t="shared" si="6"/>
        <v>1.0700000000000001E-2</v>
      </c>
      <c r="AK99" s="4">
        <v>46172</v>
      </c>
      <c r="AL99" s="6">
        <v>0.02</v>
      </c>
      <c r="AM99" s="3"/>
      <c r="AN99" s="3"/>
      <c r="AO99" s="3"/>
      <c r="AP99" s="3" t="s">
        <v>33</v>
      </c>
      <c r="AQ99" s="3" t="s">
        <v>33</v>
      </c>
      <c r="AR99" s="6">
        <v>1.5599999999999999E-2</v>
      </c>
      <c r="AS99" s="2">
        <v>46172</v>
      </c>
      <c r="AT99" s="13">
        <v>0.04</v>
      </c>
      <c r="AU99" s="13">
        <v>3.49E-2</v>
      </c>
      <c r="AV99" s="13">
        <v>3.5000000000000003E-2</v>
      </c>
      <c r="AW99" s="13">
        <v>4.99E-2</v>
      </c>
      <c r="AX99" s="13">
        <v>4.9000000000000002E-2</v>
      </c>
      <c r="AY99" s="13">
        <v>4.7699999999999999E-2</v>
      </c>
      <c r="AZ99" s="13">
        <v>3.6999999999999998E-2</v>
      </c>
      <c r="BA99" s="12">
        <f t="shared" si="5"/>
        <v>2.1399999999999999E-2</v>
      </c>
      <c r="BC99" s="4">
        <v>46172</v>
      </c>
      <c r="BD99" s="6">
        <v>1.0999999999999999E-2</v>
      </c>
      <c r="BE99" s="6">
        <v>1.12E-2</v>
      </c>
      <c r="BF99" s="6">
        <v>1.14E-2</v>
      </c>
      <c r="BG99" s="3"/>
      <c r="BH99" s="3"/>
      <c r="BI99" s="3"/>
      <c r="BJ99" s="6">
        <v>1.38E-2</v>
      </c>
      <c r="BK99" s="2">
        <v>46172</v>
      </c>
      <c r="BL99" s="57">
        <v>4.3499999999999997E-2</v>
      </c>
      <c r="BM99" s="1"/>
      <c r="BN99" s="57">
        <v>5.5E-2</v>
      </c>
      <c r="BO99" s="1"/>
      <c r="BP99" s="1"/>
      <c r="BQ99" s="1"/>
      <c r="BR99" s="57">
        <v>3.8199999999999998E-2</v>
      </c>
      <c r="BS99" s="12">
        <f t="shared" si="3"/>
        <v>2.4399999999999998E-2</v>
      </c>
    </row>
    <row r="100" spans="1:71" x14ac:dyDescent="0.35">
      <c r="A100" s="4">
        <v>46173</v>
      </c>
      <c r="B100" s="3" t="s">
        <v>33</v>
      </c>
      <c r="C100" s="3" t="s">
        <v>33</v>
      </c>
      <c r="D100" s="3" t="s">
        <v>32</v>
      </c>
      <c r="E100" s="3" t="s">
        <v>33</v>
      </c>
      <c r="F100" s="3" t="s">
        <v>32</v>
      </c>
      <c r="G100" s="3" t="s">
        <v>33</v>
      </c>
      <c r="H100" s="9">
        <v>1.4999999999999999E-2</v>
      </c>
      <c r="I100" s="2">
        <v>46173</v>
      </c>
      <c r="J100" s="1" t="s">
        <v>33</v>
      </c>
      <c r="K100" s="1" t="s">
        <v>33</v>
      </c>
      <c r="L100" s="1" t="s">
        <v>32</v>
      </c>
      <c r="M100" s="1" t="s">
        <v>33</v>
      </c>
      <c r="N100" s="1" t="s">
        <v>32</v>
      </c>
      <c r="O100" s="1" t="s">
        <v>32</v>
      </c>
      <c r="P100" s="57">
        <v>3.85E-2</v>
      </c>
      <c r="Q100" s="84">
        <f t="shared" si="8"/>
        <v>2.35E-2</v>
      </c>
      <c r="S100" s="4">
        <v>46173</v>
      </c>
      <c r="T100" s="3" t="s">
        <v>33</v>
      </c>
      <c r="U100" s="3" t="s">
        <v>33</v>
      </c>
      <c r="V100" s="3" t="s">
        <v>33</v>
      </c>
      <c r="W100" s="3" t="s">
        <v>33</v>
      </c>
      <c r="X100" s="6">
        <v>3.5000000000000003E-2</v>
      </c>
      <c r="Y100" s="3" t="s">
        <v>33</v>
      </c>
      <c r="Z100" s="6">
        <v>1.35E-2</v>
      </c>
      <c r="AA100" s="2">
        <v>46173</v>
      </c>
      <c r="AB100" s="1" t="s">
        <v>33</v>
      </c>
      <c r="AC100" s="1" t="s">
        <v>33</v>
      </c>
      <c r="AD100" s="1" t="s">
        <v>33</v>
      </c>
      <c r="AE100" s="1" t="s">
        <v>33</v>
      </c>
      <c r="AF100" s="1" t="s">
        <v>33</v>
      </c>
      <c r="AG100" s="1" t="s">
        <v>33</v>
      </c>
      <c r="AH100" s="57">
        <v>2.5000000000000001E-2</v>
      </c>
      <c r="AI100" s="12">
        <f t="shared" si="6"/>
        <v>1.1500000000000002E-2</v>
      </c>
      <c r="AK100" s="4">
        <v>46173</v>
      </c>
      <c r="AL100" s="6">
        <v>0.02</v>
      </c>
      <c r="AM100" s="3"/>
      <c r="AN100" s="3"/>
      <c r="AO100" s="3"/>
      <c r="AP100" s="3" t="s">
        <v>33</v>
      </c>
      <c r="AQ100" s="3" t="s">
        <v>33</v>
      </c>
      <c r="AR100" s="6">
        <v>1.5900000000000001E-2</v>
      </c>
      <c r="AS100" s="2">
        <v>46173</v>
      </c>
      <c r="AT100" s="13">
        <v>0.04</v>
      </c>
      <c r="AU100" s="13">
        <v>3.49E-2</v>
      </c>
      <c r="AV100" s="13">
        <v>3.5000000000000003E-2</v>
      </c>
      <c r="AW100" s="13">
        <v>4.99E-2</v>
      </c>
      <c r="AX100" s="13">
        <v>4.9000000000000002E-2</v>
      </c>
      <c r="AY100" s="13">
        <v>4.7699999999999999E-2</v>
      </c>
      <c r="AZ100" s="13">
        <v>3.6999999999999998E-2</v>
      </c>
      <c r="BA100" s="12">
        <f t="shared" si="5"/>
        <v>2.1099999999999997E-2</v>
      </c>
      <c r="BC100" s="4">
        <v>46173</v>
      </c>
      <c r="BD100" s="6">
        <v>1.0999999999999999E-2</v>
      </c>
      <c r="BE100" s="6">
        <v>1.12E-2</v>
      </c>
      <c r="BF100" s="6">
        <v>1.14E-2</v>
      </c>
      <c r="BG100" s="3"/>
      <c r="BH100" s="3"/>
      <c r="BI100" s="3"/>
      <c r="BJ100" s="6">
        <v>1.38E-2</v>
      </c>
      <c r="BK100" s="2">
        <v>46173</v>
      </c>
      <c r="BL100" s="57">
        <v>4.7300000000000002E-2</v>
      </c>
      <c r="BM100" s="1"/>
      <c r="BN100" s="57">
        <v>5.67E-2</v>
      </c>
      <c r="BO100" s="1"/>
      <c r="BP100" s="1"/>
      <c r="BQ100" s="1"/>
      <c r="BR100" s="57">
        <v>3.8300000000000001E-2</v>
      </c>
      <c r="BS100" s="12">
        <f t="shared" si="3"/>
        <v>2.4500000000000001E-2</v>
      </c>
    </row>
    <row r="101" spans="1:71" x14ac:dyDescent="0.35">
      <c r="A101" s="4">
        <v>46174</v>
      </c>
      <c r="B101" s="3" t="s">
        <v>33</v>
      </c>
      <c r="C101" s="3" t="s">
        <v>33</v>
      </c>
      <c r="D101" s="3" t="s">
        <v>32</v>
      </c>
      <c r="E101" s="3" t="s">
        <v>33</v>
      </c>
      <c r="F101" s="3" t="s">
        <v>32</v>
      </c>
      <c r="G101" s="3" t="s">
        <v>33</v>
      </c>
      <c r="H101" s="9">
        <v>1.5800000000000002E-2</v>
      </c>
      <c r="I101" s="2">
        <v>46174</v>
      </c>
      <c r="J101" s="1" t="s">
        <v>33</v>
      </c>
      <c r="K101" s="1" t="s">
        <v>33</v>
      </c>
      <c r="L101" s="1" t="s">
        <v>32</v>
      </c>
      <c r="M101" s="1" t="s">
        <v>33</v>
      </c>
      <c r="N101" s="1" t="s">
        <v>32</v>
      </c>
      <c r="O101" s="1" t="s">
        <v>32</v>
      </c>
      <c r="P101" s="57">
        <v>3.8600000000000002E-2</v>
      </c>
      <c r="Q101" s="84">
        <f t="shared" si="8"/>
        <v>2.2800000000000001E-2</v>
      </c>
      <c r="S101" s="4">
        <v>46174</v>
      </c>
      <c r="T101" s="3" t="s">
        <v>33</v>
      </c>
      <c r="U101" s="3" t="s">
        <v>33</v>
      </c>
      <c r="V101" s="3" t="s">
        <v>33</v>
      </c>
      <c r="W101" s="3" t="s">
        <v>33</v>
      </c>
      <c r="X101" s="6">
        <v>3.5000000000000003E-2</v>
      </c>
      <c r="Y101" s="3" t="s">
        <v>33</v>
      </c>
      <c r="Z101" s="6">
        <v>1.35E-2</v>
      </c>
      <c r="AA101" s="2">
        <v>46174</v>
      </c>
      <c r="AB101" s="1" t="s">
        <v>33</v>
      </c>
      <c r="AC101" s="1" t="s">
        <v>33</v>
      </c>
      <c r="AD101" s="1" t="s">
        <v>33</v>
      </c>
      <c r="AE101" s="1" t="s">
        <v>33</v>
      </c>
      <c r="AF101" s="1" t="s">
        <v>33</v>
      </c>
      <c r="AG101" s="1" t="s">
        <v>33</v>
      </c>
      <c r="AH101" s="57">
        <v>2.5000000000000001E-2</v>
      </c>
      <c r="AI101" s="12">
        <f t="shared" si="6"/>
        <v>1.1500000000000002E-2</v>
      </c>
      <c r="AK101" s="4">
        <v>46174</v>
      </c>
      <c r="AL101" s="6">
        <v>0.02</v>
      </c>
      <c r="AM101" s="3"/>
      <c r="AN101" s="3"/>
      <c r="AO101" s="3"/>
      <c r="AP101" s="3" t="s">
        <v>33</v>
      </c>
      <c r="AQ101" s="3" t="s">
        <v>33</v>
      </c>
      <c r="AR101" s="6">
        <v>1.7500000000000002E-2</v>
      </c>
      <c r="AS101" s="2">
        <v>46174</v>
      </c>
      <c r="AT101" s="13">
        <v>3.4599999999999999E-2</v>
      </c>
      <c r="AU101" s="13">
        <v>3.49E-2</v>
      </c>
      <c r="AV101" s="13">
        <v>4.99E-2</v>
      </c>
      <c r="AW101" s="13">
        <v>4.8899999999999999E-2</v>
      </c>
      <c r="AX101" s="13">
        <v>4.8899999999999999E-2</v>
      </c>
      <c r="AY101" s="13">
        <v>5.4399999999999997E-2</v>
      </c>
      <c r="AZ101" s="13">
        <v>4.2099999999999999E-2</v>
      </c>
      <c r="BA101" s="12">
        <f t="shared" si="5"/>
        <v>2.4599999999999997E-2</v>
      </c>
      <c r="BC101" s="4">
        <v>46174</v>
      </c>
      <c r="BD101" s="6">
        <v>1.0999999999999999E-2</v>
      </c>
      <c r="BE101" s="6">
        <v>1.12E-2</v>
      </c>
      <c r="BF101" s="6">
        <v>1.14E-2</v>
      </c>
      <c r="BG101" s="3"/>
      <c r="BH101" s="3"/>
      <c r="BI101" s="3"/>
      <c r="BJ101" s="6">
        <v>1.38E-2</v>
      </c>
      <c r="BK101" s="2">
        <v>46174</v>
      </c>
      <c r="BL101" s="57">
        <v>4.7300000000000002E-2</v>
      </c>
      <c r="BM101" s="1"/>
      <c r="BN101" s="57">
        <v>5.67E-2</v>
      </c>
      <c r="BO101" s="1"/>
      <c r="BP101" s="1"/>
      <c r="BQ101" s="1"/>
      <c r="BR101" s="57">
        <v>3.95E-2</v>
      </c>
      <c r="BS101" s="12">
        <f t="shared" si="3"/>
        <v>2.5700000000000001E-2</v>
      </c>
    </row>
    <row r="102" spans="1:71" x14ac:dyDescent="0.35">
      <c r="A102" s="4">
        <v>46175</v>
      </c>
      <c r="B102" s="3" t="s">
        <v>33</v>
      </c>
      <c r="C102" s="3" t="s">
        <v>33</v>
      </c>
      <c r="D102" s="3" t="s">
        <v>32</v>
      </c>
      <c r="E102" s="3" t="s">
        <v>33</v>
      </c>
      <c r="F102" s="3" t="s">
        <v>32</v>
      </c>
      <c r="G102" s="3" t="s">
        <v>33</v>
      </c>
      <c r="H102" s="9">
        <v>1.9199999999999998E-2</v>
      </c>
      <c r="I102" s="2">
        <v>46175</v>
      </c>
      <c r="J102" s="1" t="s">
        <v>33</v>
      </c>
      <c r="K102" s="1" t="s">
        <v>33</v>
      </c>
      <c r="L102" s="1" t="s">
        <v>32</v>
      </c>
      <c r="M102" s="1" t="s">
        <v>33</v>
      </c>
      <c r="N102" s="1" t="s">
        <v>32</v>
      </c>
      <c r="O102" s="1" t="s">
        <v>32</v>
      </c>
      <c r="P102" s="57">
        <v>4.2500000000000003E-2</v>
      </c>
      <c r="Q102" s="84">
        <f t="shared" si="8"/>
        <v>2.3300000000000005E-2</v>
      </c>
      <c r="S102" s="4">
        <v>46175</v>
      </c>
      <c r="T102" s="3" t="s">
        <v>33</v>
      </c>
      <c r="U102" s="3" t="s">
        <v>33</v>
      </c>
      <c r="V102" s="3" t="s">
        <v>33</v>
      </c>
      <c r="W102" s="3" t="s">
        <v>33</v>
      </c>
      <c r="X102" s="6">
        <v>3.5000000000000003E-2</v>
      </c>
      <c r="Y102" s="3" t="s">
        <v>33</v>
      </c>
      <c r="Z102" s="6">
        <v>1.54E-2</v>
      </c>
      <c r="AA102" s="2">
        <v>46175</v>
      </c>
      <c r="AB102" s="1" t="s">
        <v>33</v>
      </c>
      <c r="AC102" s="1" t="s">
        <v>33</v>
      </c>
      <c r="AD102" s="1" t="s">
        <v>33</v>
      </c>
      <c r="AE102" s="1" t="s">
        <v>33</v>
      </c>
      <c r="AF102" s="1" t="s">
        <v>33</v>
      </c>
      <c r="AG102" s="1" t="s">
        <v>33</v>
      </c>
      <c r="AH102" s="57">
        <v>2.5000000000000001E-2</v>
      </c>
      <c r="AI102" s="12">
        <f t="shared" si="6"/>
        <v>9.6000000000000009E-3</v>
      </c>
      <c r="AK102" s="4">
        <v>46175</v>
      </c>
      <c r="AL102" s="6">
        <v>0.02</v>
      </c>
      <c r="AM102" s="3"/>
      <c r="AN102" s="3"/>
      <c r="AO102" s="3"/>
      <c r="AP102" s="3" t="s">
        <v>33</v>
      </c>
      <c r="AQ102" s="3" t="s">
        <v>33</v>
      </c>
      <c r="AR102" s="6">
        <v>2.07E-2</v>
      </c>
      <c r="AS102" s="2">
        <v>46175</v>
      </c>
      <c r="AT102" s="13">
        <v>3.4500000000000003E-2</v>
      </c>
      <c r="AU102" s="13">
        <v>3.4799999999999998E-2</v>
      </c>
      <c r="AV102" s="13">
        <v>4.8899999999999999E-2</v>
      </c>
      <c r="AW102" s="13">
        <v>0.04</v>
      </c>
      <c r="AX102" s="13">
        <v>4.8800000000000003E-2</v>
      </c>
      <c r="AY102" s="13">
        <v>5.5E-2</v>
      </c>
      <c r="AZ102" s="13">
        <v>4.65E-2</v>
      </c>
      <c r="BA102" s="12">
        <f t="shared" si="5"/>
        <v>2.58E-2</v>
      </c>
      <c r="BC102" s="4">
        <v>46175</v>
      </c>
      <c r="BD102" s="6">
        <v>1.0999999999999999E-2</v>
      </c>
      <c r="BE102" s="6">
        <v>1.12E-2</v>
      </c>
      <c r="BF102" s="6">
        <v>1.14E-2</v>
      </c>
      <c r="BG102" s="3"/>
      <c r="BH102" s="3"/>
      <c r="BI102" s="3"/>
      <c r="BJ102" s="6">
        <v>1.61E-2</v>
      </c>
      <c r="BK102" s="2">
        <v>46175</v>
      </c>
      <c r="BL102" s="57">
        <v>5.1200000000000002E-2</v>
      </c>
      <c r="BM102" s="1"/>
      <c r="BN102" s="57">
        <v>6.1499999999999999E-2</v>
      </c>
      <c r="BO102" s="1"/>
      <c r="BP102" s="1"/>
      <c r="BQ102" s="1"/>
      <c r="BR102" s="57">
        <v>4.2700000000000002E-2</v>
      </c>
      <c r="BS102" s="12">
        <f t="shared" si="3"/>
        <v>2.6600000000000002E-2</v>
      </c>
    </row>
    <row r="103" spans="1:71" x14ac:dyDescent="0.35">
      <c r="A103" s="4">
        <v>46176</v>
      </c>
      <c r="B103" s="3" t="s">
        <v>33</v>
      </c>
      <c r="C103" s="3" t="s">
        <v>33</v>
      </c>
      <c r="D103" s="3" t="s">
        <v>32</v>
      </c>
      <c r="E103" s="3" t="s">
        <v>33</v>
      </c>
      <c r="F103" s="3" t="s">
        <v>32</v>
      </c>
      <c r="G103" s="3" t="s">
        <v>33</v>
      </c>
      <c r="H103" s="9">
        <v>1.9699999999999999E-2</v>
      </c>
      <c r="I103" s="2">
        <v>46176</v>
      </c>
      <c r="J103" s="1" t="s">
        <v>33</v>
      </c>
      <c r="K103" s="1" t="s">
        <v>33</v>
      </c>
      <c r="L103" s="1" t="s">
        <v>32</v>
      </c>
      <c r="M103" s="1" t="s">
        <v>33</v>
      </c>
      <c r="N103" s="1" t="s">
        <v>32</v>
      </c>
      <c r="O103" s="1" t="s">
        <v>32</v>
      </c>
      <c r="P103" s="57">
        <v>4.2999999999999997E-2</v>
      </c>
      <c r="Q103" s="84">
        <f t="shared" si="8"/>
        <v>2.3299999999999998E-2</v>
      </c>
      <c r="S103" s="4">
        <v>46176</v>
      </c>
      <c r="T103" s="3" t="s">
        <v>33</v>
      </c>
      <c r="U103" s="3" t="s">
        <v>33</v>
      </c>
      <c r="V103" s="3" t="s">
        <v>33</v>
      </c>
      <c r="W103" s="3" t="s">
        <v>33</v>
      </c>
      <c r="X103" s="6">
        <v>3.5000000000000003E-2</v>
      </c>
      <c r="Y103" s="3" t="s">
        <v>33</v>
      </c>
      <c r="Z103" s="6">
        <v>1.5900000000000001E-2</v>
      </c>
      <c r="AA103" s="2">
        <v>46176</v>
      </c>
      <c r="AB103" s="1" t="s">
        <v>33</v>
      </c>
      <c r="AC103" s="1" t="s">
        <v>33</v>
      </c>
      <c r="AD103" s="1" t="s">
        <v>33</v>
      </c>
      <c r="AE103" s="1" t="s">
        <v>33</v>
      </c>
      <c r="AF103" s="1" t="s">
        <v>33</v>
      </c>
      <c r="AG103" s="1" t="s">
        <v>33</v>
      </c>
      <c r="AH103" s="57">
        <v>2.5000000000000001E-2</v>
      </c>
      <c r="AI103" s="12">
        <f t="shared" si="6"/>
        <v>9.1000000000000004E-3</v>
      </c>
      <c r="AK103" s="4">
        <v>46176</v>
      </c>
      <c r="AL103" s="6">
        <v>0.02</v>
      </c>
      <c r="AM103" s="3"/>
      <c r="AN103" s="3"/>
      <c r="AO103" s="3"/>
      <c r="AP103" s="3" t="s">
        <v>33</v>
      </c>
      <c r="AQ103" s="3" t="s">
        <v>33</v>
      </c>
      <c r="AR103" s="6">
        <v>2.0199999999999999E-2</v>
      </c>
      <c r="AS103" s="2">
        <v>46176</v>
      </c>
      <c r="AT103" s="13">
        <v>3.5000000000000003E-2</v>
      </c>
      <c r="AU103" s="13">
        <v>3.49E-2</v>
      </c>
      <c r="AV103" s="13">
        <v>4.8800000000000003E-2</v>
      </c>
      <c r="AW103" s="13">
        <v>0.04</v>
      </c>
      <c r="AX103" s="13">
        <v>4.8000000000000001E-2</v>
      </c>
      <c r="AY103" s="13">
        <v>5.8999999999999997E-2</v>
      </c>
      <c r="AZ103" s="13">
        <v>4.6899999999999997E-2</v>
      </c>
      <c r="BA103" s="12">
        <f t="shared" si="5"/>
        <v>2.6699999999999998E-2</v>
      </c>
      <c r="BC103" s="4">
        <v>46176</v>
      </c>
      <c r="BD103" s="6">
        <v>1.0999999999999999E-2</v>
      </c>
      <c r="BE103" s="6">
        <v>1.12E-2</v>
      </c>
      <c r="BF103" s="6">
        <v>1.14E-2</v>
      </c>
      <c r="BG103" s="3"/>
      <c r="BH103" s="3"/>
      <c r="BI103" s="3"/>
      <c r="BJ103" s="6">
        <v>1.78E-2</v>
      </c>
      <c r="BK103" s="2">
        <v>46176</v>
      </c>
      <c r="BL103" s="57">
        <v>5.28E-2</v>
      </c>
      <c r="BM103" s="1"/>
      <c r="BN103" s="57">
        <v>6.3299999999999995E-2</v>
      </c>
      <c r="BO103" s="1"/>
      <c r="BP103" s="1"/>
      <c r="BQ103" s="1"/>
      <c r="BR103" s="57">
        <v>4.41E-2</v>
      </c>
      <c r="BS103" s="12">
        <f t="shared" si="3"/>
        <v>2.63E-2</v>
      </c>
    </row>
    <row r="104" spans="1:71" x14ac:dyDescent="0.35">
      <c r="A104" s="4">
        <v>46177</v>
      </c>
      <c r="B104" s="3" t="s">
        <v>33</v>
      </c>
      <c r="C104" s="3" t="s">
        <v>33</v>
      </c>
      <c r="D104" s="3" t="s">
        <v>32</v>
      </c>
      <c r="E104" s="3" t="s">
        <v>33</v>
      </c>
      <c r="F104" s="3" t="s">
        <v>32</v>
      </c>
      <c r="G104" s="3" t="s">
        <v>33</v>
      </c>
      <c r="H104" s="9">
        <v>2.0199999999999999E-2</v>
      </c>
      <c r="I104" s="2">
        <v>46177</v>
      </c>
      <c r="J104" s="1" t="s">
        <v>33</v>
      </c>
      <c r="K104" s="1" t="s">
        <v>33</v>
      </c>
      <c r="L104" s="1" t="s">
        <v>32</v>
      </c>
      <c r="M104" s="1" t="s">
        <v>33</v>
      </c>
      <c r="N104" s="1" t="s">
        <v>32</v>
      </c>
      <c r="O104" s="1" t="s">
        <v>32</v>
      </c>
      <c r="P104" s="57">
        <v>4.36E-2</v>
      </c>
      <c r="Q104" s="84">
        <f t="shared" si="8"/>
        <v>2.3400000000000001E-2</v>
      </c>
      <c r="S104" s="4">
        <v>46177</v>
      </c>
      <c r="T104" s="3" t="s">
        <v>33</v>
      </c>
      <c r="U104" s="3" t="s">
        <v>33</v>
      </c>
      <c r="V104" s="3" t="s">
        <v>33</v>
      </c>
      <c r="W104" s="3" t="s">
        <v>33</v>
      </c>
      <c r="X104" s="6">
        <v>3.5000000000000003E-2</v>
      </c>
      <c r="Y104" s="3" t="s">
        <v>33</v>
      </c>
      <c r="Z104" s="6">
        <v>1.5900000000000001E-2</v>
      </c>
      <c r="AA104" s="2">
        <v>46177</v>
      </c>
      <c r="AB104" s="1" t="s">
        <v>33</v>
      </c>
      <c r="AC104" s="1" t="s">
        <v>33</v>
      </c>
      <c r="AD104" s="1" t="s">
        <v>33</v>
      </c>
      <c r="AE104" s="1" t="s">
        <v>33</v>
      </c>
      <c r="AF104" s="1" t="s">
        <v>33</v>
      </c>
      <c r="AG104" s="1" t="s">
        <v>33</v>
      </c>
      <c r="AH104" s="57">
        <v>2.5000000000000001E-2</v>
      </c>
      <c r="AI104" s="12">
        <f t="shared" si="6"/>
        <v>9.1000000000000004E-3</v>
      </c>
      <c r="AK104" s="4">
        <v>46177</v>
      </c>
      <c r="AL104" s="6">
        <v>0.02</v>
      </c>
      <c r="AM104" s="3"/>
      <c r="AN104" s="3"/>
      <c r="AO104" s="3"/>
      <c r="AP104" s="3" t="s">
        <v>33</v>
      </c>
      <c r="AQ104" s="3" t="s">
        <v>33</v>
      </c>
      <c r="AR104" s="6">
        <v>2.0799999999999999E-2</v>
      </c>
      <c r="AS104" s="2">
        <v>46177</v>
      </c>
      <c r="AT104" s="13">
        <v>3.95E-2</v>
      </c>
      <c r="AU104" s="13">
        <v>3.49E-2</v>
      </c>
      <c r="AV104" s="13">
        <v>4.87E-2</v>
      </c>
      <c r="AW104" s="13">
        <v>0.04</v>
      </c>
      <c r="AX104" s="13">
        <v>4.7E-2</v>
      </c>
      <c r="AY104" s="13">
        <v>5.9200000000000003E-2</v>
      </c>
      <c r="AZ104" s="13">
        <v>4.9099999999999998E-2</v>
      </c>
      <c r="BA104" s="12">
        <f t="shared" si="5"/>
        <v>2.8299999999999999E-2</v>
      </c>
      <c r="BC104" s="4">
        <v>46177</v>
      </c>
      <c r="BD104" s="6">
        <v>1.0999999999999999E-2</v>
      </c>
      <c r="BE104" s="6">
        <v>1.12E-2</v>
      </c>
      <c r="BF104" s="6">
        <v>1.14E-2</v>
      </c>
      <c r="BG104" s="3"/>
      <c r="BH104" s="3"/>
      <c r="BI104" s="3"/>
      <c r="BJ104" s="6">
        <v>1.9E-2</v>
      </c>
      <c r="BK104" s="2">
        <v>46177</v>
      </c>
      <c r="BL104" s="57">
        <v>5.5800000000000002E-2</v>
      </c>
      <c r="BM104" s="1"/>
      <c r="BN104" s="57">
        <v>6.6900000000000001E-2</v>
      </c>
      <c r="BO104" s="1"/>
      <c r="BP104" s="1"/>
      <c r="BQ104" s="1"/>
      <c r="BR104" s="57">
        <v>4.65E-2</v>
      </c>
      <c r="BS104" s="12">
        <f t="shared" si="3"/>
        <v>2.75E-2</v>
      </c>
    </row>
    <row r="105" spans="1:71" x14ac:dyDescent="0.35">
      <c r="A105" s="4">
        <v>46178</v>
      </c>
      <c r="B105" s="3" t="s">
        <v>33</v>
      </c>
      <c r="C105" s="3" t="s">
        <v>33</v>
      </c>
      <c r="D105" s="3" t="s">
        <v>32</v>
      </c>
      <c r="E105" s="3" t="s">
        <v>33</v>
      </c>
      <c r="F105" s="3" t="s">
        <v>32</v>
      </c>
      <c r="G105" s="3" t="s">
        <v>33</v>
      </c>
      <c r="H105" s="9">
        <v>1.6299999999999999E-2</v>
      </c>
      <c r="I105" s="2">
        <v>46178</v>
      </c>
      <c r="J105" s="1" t="s">
        <v>33</v>
      </c>
      <c r="K105" s="1" t="s">
        <v>33</v>
      </c>
      <c r="L105" s="1" t="s">
        <v>32</v>
      </c>
      <c r="M105" s="1" t="s">
        <v>33</v>
      </c>
      <c r="N105" s="1" t="s">
        <v>32</v>
      </c>
      <c r="O105" s="1" t="s">
        <v>32</v>
      </c>
      <c r="P105" s="57">
        <v>3.8699999999999998E-2</v>
      </c>
      <c r="Q105" s="84">
        <f t="shared" si="8"/>
        <v>2.24E-2</v>
      </c>
      <c r="S105" s="4">
        <v>46178</v>
      </c>
      <c r="T105" s="3" t="s">
        <v>33</v>
      </c>
      <c r="U105" s="3" t="s">
        <v>33</v>
      </c>
      <c r="V105" s="3" t="s">
        <v>33</v>
      </c>
      <c r="W105" s="3" t="s">
        <v>33</v>
      </c>
      <c r="X105" s="6">
        <v>3.5000000000000003E-2</v>
      </c>
      <c r="Y105" s="3" t="s">
        <v>33</v>
      </c>
      <c r="Z105" s="6">
        <v>1.5299999999999999E-2</v>
      </c>
      <c r="AA105" s="2">
        <v>46178</v>
      </c>
      <c r="AB105" s="1" t="s">
        <v>33</v>
      </c>
      <c r="AC105" s="1" t="s">
        <v>33</v>
      </c>
      <c r="AD105" s="1" t="s">
        <v>33</v>
      </c>
      <c r="AE105" s="1" t="s">
        <v>33</v>
      </c>
      <c r="AF105" s="1" t="s">
        <v>33</v>
      </c>
      <c r="AG105" s="1" t="s">
        <v>33</v>
      </c>
      <c r="AH105" s="57">
        <v>2.5000000000000001E-2</v>
      </c>
      <c r="AI105" s="12">
        <f t="shared" si="6"/>
        <v>9.700000000000002E-3</v>
      </c>
      <c r="AK105" s="4">
        <v>46178</v>
      </c>
      <c r="AL105" s="6">
        <v>0.02</v>
      </c>
      <c r="AM105" s="3"/>
      <c r="AN105" s="3"/>
      <c r="AO105" s="3"/>
      <c r="AP105" s="3" t="s">
        <v>33</v>
      </c>
      <c r="AQ105" s="6">
        <v>3.2000000000000001E-2</v>
      </c>
      <c r="AR105" s="6">
        <v>1.66E-2</v>
      </c>
      <c r="AS105" s="2">
        <v>46178</v>
      </c>
      <c r="AT105" s="13">
        <v>3.7499999999999999E-2</v>
      </c>
      <c r="AU105" s="13">
        <v>3.7999999999999999E-2</v>
      </c>
      <c r="AV105" s="13">
        <v>4.4999999999999998E-2</v>
      </c>
      <c r="AW105" s="13">
        <v>0.04</v>
      </c>
      <c r="AX105" s="13">
        <v>4.7E-2</v>
      </c>
      <c r="AY105" s="13">
        <v>5.9900000000000002E-2</v>
      </c>
      <c r="AZ105" s="13">
        <v>4.41E-2</v>
      </c>
      <c r="BA105" s="12">
        <f t="shared" si="5"/>
        <v>2.75E-2</v>
      </c>
      <c r="BC105" s="4">
        <v>46178</v>
      </c>
      <c r="BD105" s="6">
        <v>1.0999999999999999E-2</v>
      </c>
      <c r="BE105" s="6">
        <v>1.12E-2</v>
      </c>
      <c r="BF105" s="6">
        <v>1.14E-2</v>
      </c>
      <c r="BG105" s="3"/>
      <c r="BH105" s="3"/>
      <c r="BI105" s="3"/>
      <c r="BJ105" s="6">
        <v>1.52E-2</v>
      </c>
      <c r="BK105" s="2">
        <v>46178</v>
      </c>
      <c r="BL105" s="57">
        <v>4.8599999999999997E-2</v>
      </c>
      <c r="BM105" s="1"/>
      <c r="BN105" s="57">
        <v>5.8299999999999998E-2</v>
      </c>
      <c r="BO105" s="1"/>
      <c r="BP105" s="1"/>
      <c r="BQ105" s="1"/>
      <c r="BR105" s="57">
        <v>4.0500000000000001E-2</v>
      </c>
      <c r="BS105" s="12">
        <f t="shared" si="3"/>
        <v>2.5300000000000003E-2</v>
      </c>
    </row>
    <row r="106" spans="1:71" x14ac:dyDescent="0.35">
      <c r="A106" s="4">
        <v>46179</v>
      </c>
      <c r="B106" s="3" t="s">
        <v>33</v>
      </c>
      <c r="C106" s="3" t="s">
        <v>33</v>
      </c>
      <c r="D106" s="3" t="s">
        <v>32</v>
      </c>
      <c r="E106" s="3" t="s">
        <v>33</v>
      </c>
      <c r="F106" s="3" t="s">
        <v>32</v>
      </c>
      <c r="G106" s="3" t="s">
        <v>33</v>
      </c>
      <c r="H106" s="9">
        <v>1.4500000000000001E-2</v>
      </c>
      <c r="I106" s="2">
        <v>46179</v>
      </c>
      <c r="J106" s="1" t="s">
        <v>33</v>
      </c>
      <c r="K106" s="1" t="s">
        <v>33</v>
      </c>
      <c r="L106" s="1" t="s">
        <v>32</v>
      </c>
      <c r="M106" s="1" t="s">
        <v>33</v>
      </c>
      <c r="N106" s="1" t="s">
        <v>32</v>
      </c>
      <c r="O106" s="1" t="s">
        <v>32</v>
      </c>
      <c r="P106" s="57">
        <v>3.6400000000000002E-2</v>
      </c>
      <c r="Q106" s="84">
        <f t="shared" si="8"/>
        <v>2.1900000000000003E-2</v>
      </c>
      <c r="S106" s="4">
        <v>46179</v>
      </c>
      <c r="T106" s="3" t="s">
        <v>33</v>
      </c>
      <c r="U106" s="3" t="s">
        <v>33</v>
      </c>
      <c r="V106" s="3" t="s">
        <v>33</v>
      </c>
      <c r="W106" s="3" t="s">
        <v>33</v>
      </c>
      <c r="X106" s="6">
        <v>0.03</v>
      </c>
      <c r="Y106" s="3" t="s">
        <v>33</v>
      </c>
      <c r="Z106" s="6">
        <v>1.49E-2</v>
      </c>
      <c r="AA106" s="2">
        <v>46179</v>
      </c>
      <c r="AB106" s="1" t="s">
        <v>33</v>
      </c>
      <c r="AC106" s="1" t="s">
        <v>33</v>
      </c>
      <c r="AD106" s="1" t="s">
        <v>33</v>
      </c>
      <c r="AE106" s="1" t="s">
        <v>33</v>
      </c>
      <c r="AF106" s="1" t="s">
        <v>33</v>
      </c>
      <c r="AG106" s="1" t="s">
        <v>33</v>
      </c>
      <c r="AH106" s="57">
        <v>2.5000000000000001E-2</v>
      </c>
      <c r="AI106" s="12">
        <f t="shared" si="6"/>
        <v>1.0100000000000001E-2</v>
      </c>
      <c r="AK106" s="4">
        <v>46179</v>
      </c>
      <c r="AL106" s="6">
        <v>0.02</v>
      </c>
      <c r="AM106" s="3"/>
      <c r="AN106" s="3"/>
      <c r="AO106" s="3"/>
      <c r="AP106" s="3" t="s">
        <v>33</v>
      </c>
      <c r="AQ106" s="3" t="s">
        <v>33</v>
      </c>
      <c r="AR106" s="6">
        <v>1.4500000000000001E-2</v>
      </c>
      <c r="AS106" s="2">
        <v>46179</v>
      </c>
      <c r="AT106" s="13">
        <v>0.04</v>
      </c>
      <c r="AU106" s="13">
        <v>3.9E-2</v>
      </c>
      <c r="AV106" s="13">
        <v>4.2999999999999997E-2</v>
      </c>
      <c r="AW106" s="13">
        <v>0.04</v>
      </c>
      <c r="AX106" s="13">
        <v>4.4900000000000002E-2</v>
      </c>
      <c r="AY106" s="13">
        <v>4.4999999999999998E-2</v>
      </c>
      <c r="AZ106" s="13">
        <v>4.0399999999999998E-2</v>
      </c>
      <c r="BA106" s="12">
        <f t="shared" si="5"/>
        <v>2.5899999999999999E-2</v>
      </c>
      <c r="BC106" s="4">
        <v>46179</v>
      </c>
      <c r="BD106" s="6">
        <v>1.0999999999999999E-2</v>
      </c>
      <c r="BE106" s="6">
        <v>1.12E-2</v>
      </c>
      <c r="BF106" s="6">
        <v>1.14E-2</v>
      </c>
      <c r="BG106" s="3"/>
      <c r="BH106" s="3"/>
      <c r="BI106" s="3"/>
      <c r="BJ106" s="6">
        <v>1.3899999999999999E-2</v>
      </c>
      <c r="BK106" s="2">
        <v>46179</v>
      </c>
      <c r="BL106" s="57">
        <v>4.4200000000000003E-2</v>
      </c>
      <c r="BM106" s="1"/>
      <c r="BN106" s="57">
        <v>5.2999999999999999E-2</v>
      </c>
      <c r="BO106" s="1"/>
      <c r="BP106" s="1"/>
      <c r="BQ106" s="1"/>
      <c r="BR106" s="57">
        <v>3.8199999999999998E-2</v>
      </c>
      <c r="BS106" s="12">
        <f t="shared" si="3"/>
        <v>2.4299999999999999E-2</v>
      </c>
    </row>
    <row r="107" spans="1:71" x14ac:dyDescent="0.35">
      <c r="A107" s="4">
        <v>46180</v>
      </c>
      <c r="B107" s="3" t="s">
        <v>33</v>
      </c>
      <c r="C107" s="3" t="s">
        <v>33</v>
      </c>
      <c r="D107" s="3" t="s">
        <v>32</v>
      </c>
      <c r="E107" s="3" t="s">
        <v>33</v>
      </c>
      <c r="F107" s="3" t="s">
        <v>32</v>
      </c>
      <c r="G107" s="3" t="s">
        <v>33</v>
      </c>
      <c r="H107" s="9">
        <v>1.4E-2</v>
      </c>
      <c r="I107" s="2">
        <v>46180</v>
      </c>
      <c r="J107" s="1" t="s">
        <v>33</v>
      </c>
      <c r="K107" s="1" t="s">
        <v>33</v>
      </c>
      <c r="L107" s="1" t="s">
        <v>32</v>
      </c>
      <c r="M107" s="1" t="s">
        <v>33</v>
      </c>
      <c r="N107" s="1" t="s">
        <v>32</v>
      </c>
      <c r="O107" s="1" t="s">
        <v>32</v>
      </c>
      <c r="P107" s="57">
        <v>3.6299999999999999E-2</v>
      </c>
      <c r="Q107" s="84">
        <f t="shared" si="8"/>
        <v>2.23E-2</v>
      </c>
      <c r="S107" s="4">
        <v>46180</v>
      </c>
      <c r="T107" s="3" t="s">
        <v>33</v>
      </c>
      <c r="U107" s="3" t="s">
        <v>33</v>
      </c>
      <c r="V107" s="3" t="s">
        <v>33</v>
      </c>
      <c r="W107" s="3" t="s">
        <v>33</v>
      </c>
      <c r="X107" s="6">
        <v>0.03</v>
      </c>
      <c r="Y107" s="3" t="s">
        <v>33</v>
      </c>
      <c r="Z107" s="6">
        <v>1.4999999999999999E-2</v>
      </c>
      <c r="AA107" s="2">
        <v>46180</v>
      </c>
      <c r="AB107" s="1" t="s">
        <v>33</v>
      </c>
      <c r="AC107" s="1" t="s">
        <v>33</v>
      </c>
      <c r="AD107" s="1" t="s">
        <v>33</v>
      </c>
      <c r="AE107" s="1" t="s">
        <v>33</v>
      </c>
      <c r="AF107" s="1" t="s">
        <v>33</v>
      </c>
      <c r="AG107" s="1" t="s">
        <v>33</v>
      </c>
      <c r="AH107" s="57">
        <v>2.5000000000000001E-2</v>
      </c>
      <c r="AI107" s="12">
        <f t="shared" si="6"/>
        <v>1.0000000000000002E-2</v>
      </c>
      <c r="AK107" s="4">
        <v>46180</v>
      </c>
      <c r="AL107" s="6">
        <v>0.02</v>
      </c>
      <c r="AM107" s="3"/>
      <c r="AN107" s="3"/>
      <c r="AO107" s="3"/>
      <c r="AP107" s="3" t="s">
        <v>33</v>
      </c>
      <c r="AQ107" s="3" t="s">
        <v>33</v>
      </c>
      <c r="AR107" s="6">
        <v>1.47E-2</v>
      </c>
      <c r="AS107" s="2">
        <v>46180</v>
      </c>
      <c r="AT107" s="13">
        <v>0.04</v>
      </c>
      <c r="AU107" s="13">
        <v>3.9E-2</v>
      </c>
      <c r="AV107" s="13">
        <v>4.2999999999999997E-2</v>
      </c>
      <c r="AW107" s="13">
        <v>0.04</v>
      </c>
      <c r="AX107" s="13">
        <v>4.4900000000000002E-2</v>
      </c>
      <c r="AY107" s="13">
        <v>4.4999999999999998E-2</v>
      </c>
      <c r="AZ107" s="13">
        <v>4.0399999999999998E-2</v>
      </c>
      <c r="BA107" s="12">
        <f t="shared" si="5"/>
        <v>2.5700000000000001E-2</v>
      </c>
      <c r="BC107" s="4">
        <v>46180</v>
      </c>
      <c r="BD107" s="6">
        <v>1.0999999999999999E-2</v>
      </c>
      <c r="BE107" s="6">
        <v>1.12E-2</v>
      </c>
      <c r="BF107" s="6">
        <v>1.14E-2</v>
      </c>
      <c r="BG107" s="3"/>
      <c r="BH107" s="3"/>
      <c r="BI107" s="3"/>
      <c r="BJ107" s="6">
        <v>1.5599999999999999E-2</v>
      </c>
      <c r="BK107" s="2">
        <v>46180</v>
      </c>
      <c r="BL107" s="57">
        <v>4.4200000000000003E-2</v>
      </c>
      <c r="BM107" s="1"/>
      <c r="BN107" s="57">
        <v>5.2999999999999999E-2</v>
      </c>
      <c r="BO107" s="1"/>
      <c r="BP107" s="1"/>
      <c r="BQ107" s="1"/>
      <c r="BR107" s="57">
        <v>3.7199999999999997E-2</v>
      </c>
      <c r="BS107" s="12">
        <f t="shared" si="3"/>
        <v>2.1599999999999998E-2</v>
      </c>
    </row>
    <row r="108" spans="1:71" x14ac:dyDescent="0.35">
      <c r="A108" s="4">
        <v>46181</v>
      </c>
      <c r="B108" s="3" t="s">
        <v>33</v>
      </c>
      <c r="C108" s="3" t="s">
        <v>33</v>
      </c>
      <c r="D108" s="3" t="s">
        <v>32</v>
      </c>
      <c r="E108" s="3" t="s">
        <v>33</v>
      </c>
      <c r="F108" s="3" t="s">
        <v>32</v>
      </c>
      <c r="G108" s="3" t="s">
        <v>33</v>
      </c>
      <c r="H108" s="9">
        <v>1.41E-2</v>
      </c>
      <c r="I108" s="2">
        <v>46181</v>
      </c>
      <c r="J108" s="1" t="s">
        <v>33</v>
      </c>
      <c r="K108" s="1" t="s">
        <v>33</v>
      </c>
      <c r="L108" s="1" t="s">
        <v>32</v>
      </c>
      <c r="M108" s="1" t="s">
        <v>33</v>
      </c>
      <c r="N108" s="1" t="s">
        <v>32</v>
      </c>
      <c r="O108" s="1" t="s">
        <v>32</v>
      </c>
      <c r="P108" s="57">
        <v>3.6400000000000002E-2</v>
      </c>
      <c r="Q108" s="84">
        <f t="shared" si="8"/>
        <v>2.23E-2</v>
      </c>
      <c r="S108" s="4">
        <v>46181</v>
      </c>
      <c r="T108" s="3" t="s">
        <v>33</v>
      </c>
      <c r="U108" s="3" t="s">
        <v>33</v>
      </c>
      <c r="V108" s="3" t="s">
        <v>33</v>
      </c>
      <c r="W108" s="3" t="s">
        <v>33</v>
      </c>
      <c r="X108" s="6">
        <v>0.03</v>
      </c>
      <c r="Y108" s="3" t="s">
        <v>33</v>
      </c>
      <c r="Z108" s="6">
        <v>1.4200000000000001E-2</v>
      </c>
      <c r="AA108" s="2">
        <v>46181</v>
      </c>
      <c r="AB108" s="1" t="s">
        <v>33</v>
      </c>
      <c r="AC108" s="1" t="s">
        <v>33</v>
      </c>
      <c r="AD108" s="1" t="s">
        <v>33</v>
      </c>
      <c r="AE108" s="1" t="s">
        <v>33</v>
      </c>
      <c r="AF108" s="1" t="s">
        <v>33</v>
      </c>
      <c r="AG108" s="1" t="s">
        <v>33</v>
      </c>
      <c r="AH108" s="57">
        <v>2.5000000000000001E-2</v>
      </c>
      <c r="AI108" s="12">
        <f t="shared" si="6"/>
        <v>1.0800000000000001E-2</v>
      </c>
      <c r="AK108" s="4">
        <v>46181</v>
      </c>
      <c r="AL108" s="6">
        <v>0.02</v>
      </c>
      <c r="AM108" s="3"/>
      <c r="AN108" s="3"/>
      <c r="AO108" s="3"/>
      <c r="AP108" s="3" t="s">
        <v>33</v>
      </c>
      <c r="AQ108" s="3" t="s">
        <v>33</v>
      </c>
      <c r="AR108" s="6">
        <v>1.4E-2</v>
      </c>
      <c r="AS108" s="2">
        <v>46181</v>
      </c>
      <c r="AT108" s="13">
        <v>0.04</v>
      </c>
      <c r="AU108" s="13">
        <v>3.9E-2</v>
      </c>
      <c r="AV108" s="13">
        <v>4.2999999999999997E-2</v>
      </c>
      <c r="AW108" s="13">
        <v>0.04</v>
      </c>
      <c r="AX108" s="13">
        <v>4.4900000000000002E-2</v>
      </c>
      <c r="AY108" s="13">
        <v>4.4999999999999998E-2</v>
      </c>
      <c r="AZ108" s="13">
        <v>4.0399999999999998E-2</v>
      </c>
      <c r="BA108" s="12">
        <f t="shared" si="5"/>
        <v>2.64E-2</v>
      </c>
      <c r="BC108" s="4">
        <v>46181</v>
      </c>
      <c r="BD108" s="6">
        <v>1.0999999999999999E-2</v>
      </c>
      <c r="BE108" s="6">
        <v>1.12E-2</v>
      </c>
      <c r="BF108" s="6">
        <v>1.14E-2</v>
      </c>
      <c r="BG108" s="3"/>
      <c r="BH108" s="3"/>
      <c r="BI108" s="3"/>
      <c r="BJ108" s="6">
        <v>1.3100000000000001E-2</v>
      </c>
      <c r="BK108" s="2">
        <v>46181</v>
      </c>
      <c r="BL108" s="57">
        <v>4.4200000000000003E-2</v>
      </c>
      <c r="BM108" s="1"/>
      <c r="BN108" s="57">
        <v>5.2999999999999999E-2</v>
      </c>
      <c r="BO108" s="1"/>
      <c r="BP108" s="1"/>
      <c r="BQ108" s="1"/>
      <c r="BR108" s="57">
        <v>3.6799999999999999E-2</v>
      </c>
      <c r="BS108" s="12">
        <f t="shared" si="3"/>
        <v>2.3699999999999999E-2</v>
      </c>
    </row>
    <row r="109" spans="1:71" x14ac:dyDescent="0.35">
      <c r="A109" s="4">
        <v>46182</v>
      </c>
      <c r="B109" s="3" t="s">
        <v>33</v>
      </c>
      <c r="C109" s="3" t="s">
        <v>33</v>
      </c>
      <c r="D109" s="3" t="s">
        <v>32</v>
      </c>
      <c r="E109" s="3" t="s">
        <v>33</v>
      </c>
      <c r="F109" s="3" t="s">
        <v>32</v>
      </c>
      <c r="G109" s="3" t="s">
        <v>33</v>
      </c>
      <c r="H109" s="9">
        <v>1.3599999999999999E-2</v>
      </c>
      <c r="I109" s="2">
        <v>46182</v>
      </c>
      <c r="J109" s="1" t="s">
        <v>33</v>
      </c>
      <c r="K109" s="1" t="s">
        <v>33</v>
      </c>
      <c r="L109" s="1" t="s">
        <v>32</v>
      </c>
      <c r="M109" s="1" t="s">
        <v>33</v>
      </c>
      <c r="N109" s="1" t="s">
        <v>32</v>
      </c>
      <c r="O109" s="1" t="s">
        <v>32</v>
      </c>
      <c r="P109" s="57">
        <v>3.5799999999999998E-2</v>
      </c>
      <c r="Q109" s="84">
        <f t="shared" si="8"/>
        <v>2.2199999999999998E-2</v>
      </c>
      <c r="S109" s="4">
        <v>46182</v>
      </c>
      <c r="T109" s="3" t="s">
        <v>33</v>
      </c>
      <c r="U109" s="3" t="s">
        <v>33</v>
      </c>
      <c r="V109" s="3" t="s">
        <v>33</v>
      </c>
      <c r="W109" s="3" t="s">
        <v>33</v>
      </c>
      <c r="X109" s="6">
        <v>0.03</v>
      </c>
      <c r="Y109" s="3" t="s">
        <v>33</v>
      </c>
      <c r="Z109" s="6">
        <v>1.47E-2</v>
      </c>
      <c r="AA109" s="2">
        <v>46182</v>
      </c>
      <c r="AB109" s="1" t="s">
        <v>33</v>
      </c>
      <c r="AC109" s="1" t="s">
        <v>33</v>
      </c>
      <c r="AD109" s="1" t="s">
        <v>33</v>
      </c>
      <c r="AE109" s="1" t="s">
        <v>33</v>
      </c>
      <c r="AF109" s="1" t="s">
        <v>33</v>
      </c>
      <c r="AG109" s="1" t="s">
        <v>33</v>
      </c>
      <c r="AH109" s="57">
        <v>2.5000000000000001E-2</v>
      </c>
      <c r="AI109" s="12">
        <f t="shared" si="6"/>
        <v>1.0300000000000002E-2</v>
      </c>
      <c r="AK109" s="4">
        <v>46182</v>
      </c>
      <c r="AL109" s="6">
        <v>0.02</v>
      </c>
      <c r="AM109" s="3"/>
      <c r="AN109" s="3"/>
      <c r="AO109" s="3"/>
      <c r="AP109" s="3" t="s">
        <v>33</v>
      </c>
      <c r="AQ109" s="3" t="s">
        <v>33</v>
      </c>
      <c r="AR109" s="6">
        <v>1.4800000000000001E-2</v>
      </c>
      <c r="AS109" s="2">
        <v>46182</v>
      </c>
      <c r="AT109" s="13">
        <v>4.4499999999999998E-2</v>
      </c>
      <c r="AU109" s="13">
        <v>3.9E-2</v>
      </c>
      <c r="AV109" s="13">
        <v>4.2999999999999997E-2</v>
      </c>
      <c r="AW109" s="13">
        <v>0.04</v>
      </c>
      <c r="AX109" s="13">
        <v>4.4900000000000002E-2</v>
      </c>
      <c r="AY109" s="13">
        <v>4.4999999999999998E-2</v>
      </c>
      <c r="AZ109" s="13">
        <v>4.0399999999999998E-2</v>
      </c>
      <c r="BA109" s="12">
        <f t="shared" si="5"/>
        <v>2.5599999999999998E-2</v>
      </c>
      <c r="BC109" s="4">
        <v>46182</v>
      </c>
      <c r="BD109" s="6">
        <v>1.0999999999999999E-2</v>
      </c>
      <c r="BE109" s="6">
        <v>1.12E-2</v>
      </c>
      <c r="BF109" s="6">
        <v>1.14E-2</v>
      </c>
      <c r="BG109" s="3"/>
      <c r="BH109" s="3"/>
      <c r="BI109" s="3"/>
      <c r="BJ109" s="6">
        <v>1.2699999999999999E-2</v>
      </c>
      <c r="BK109" s="2">
        <v>46182</v>
      </c>
      <c r="BL109" s="57">
        <v>4.3799999999999999E-2</v>
      </c>
      <c r="BM109" s="1"/>
      <c r="BN109" s="57">
        <v>5.2600000000000001E-2</v>
      </c>
      <c r="BO109" s="1"/>
      <c r="BP109" s="1"/>
      <c r="BQ109" s="1"/>
      <c r="BR109" s="57">
        <v>3.6600000000000001E-2</v>
      </c>
      <c r="BS109" s="12">
        <f t="shared" si="3"/>
        <v>2.3900000000000001E-2</v>
      </c>
    </row>
    <row r="110" spans="1:71" x14ac:dyDescent="0.35">
      <c r="A110" s="4">
        <v>46183</v>
      </c>
      <c r="B110" s="3" t="s">
        <v>33</v>
      </c>
      <c r="C110" s="3" t="s">
        <v>33</v>
      </c>
      <c r="D110" s="3" t="s">
        <v>32</v>
      </c>
      <c r="E110" s="3" t="s">
        <v>33</v>
      </c>
      <c r="F110" s="3" t="s">
        <v>32</v>
      </c>
      <c r="G110" s="3" t="s">
        <v>33</v>
      </c>
      <c r="H110" s="9">
        <v>1.37E-2</v>
      </c>
      <c r="I110" s="2">
        <v>46183</v>
      </c>
      <c r="J110" s="1" t="s">
        <v>33</v>
      </c>
      <c r="K110" s="1" t="s">
        <v>33</v>
      </c>
      <c r="L110" s="1" t="s">
        <v>32</v>
      </c>
      <c r="M110" s="1" t="s">
        <v>33</v>
      </c>
      <c r="N110" s="1" t="s">
        <v>32</v>
      </c>
      <c r="O110" s="1" t="s">
        <v>32</v>
      </c>
      <c r="P110" s="57">
        <v>3.5799999999999998E-2</v>
      </c>
      <c r="Q110" s="84">
        <f t="shared" si="8"/>
        <v>2.2099999999999998E-2</v>
      </c>
      <c r="S110" s="4">
        <v>46183</v>
      </c>
      <c r="T110" s="3" t="s">
        <v>33</v>
      </c>
      <c r="U110" s="3" t="s">
        <v>33</v>
      </c>
      <c r="V110" s="3" t="s">
        <v>33</v>
      </c>
      <c r="W110" s="3" t="s">
        <v>33</v>
      </c>
      <c r="X110" s="6">
        <v>0.03</v>
      </c>
      <c r="Y110" s="3" t="s">
        <v>33</v>
      </c>
      <c r="Z110" s="6">
        <v>1.49E-2</v>
      </c>
      <c r="AA110" s="2">
        <v>46183</v>
      </c>
      <c r="AB110" s="1" t="s">
        <v>33</v>
      </c>
      <c r="AC110" s="1" t="s">
        <v>33</v>
      </c>
      <c r="AD110" s="1" t="s">
        <v>33</v>
      </c>
      <c r="AE110" s="1" t="s">
        <v>33</v>
      </c>
      <c r="AF110" s="1" t="s">
        <v>33</v>
      </c>
      <c r="AG110" s="1" t="s">
        <v>33</v>
      </c>
      <c r="AH110" s="57">
        <v>2.5000000000000001E-2</v>
      </c>
      <c r="AI110" s="12">
        <f t="shared" si="6"/>
        <v>1.0100000000000001E-2</v>
      </c>
      <c r="AK110" s="4">
        <v>46183</v>
      </c>
      <c r="AL110" s="6">
        <v>0.02</v>
      </c>
      <c r="AM110" s="3"/>
      <c r="AN110" s="3"/>
      <c r="AO110" s="3"/>
      <c r="AP110" s="3" t="s">
        <v>33</v>
      </c>
      <c r="AQ110" s="3" t="s">
        <v>33</v>
      </c>
      <c r="AR110" s="6">
        <v>1.4E-2</v>
      </c>
      <c r="AS110" s="2">
        <v>46183</v>
      </c>
      <c r="AT110" s="13">
        <v>3.7999999999999999E-2</v>
      </c>
      <c r="AU110" s="13">
        <v>3.9E-2</v>
      </c>
      <c r="AV110" s="13">
        <v>3.7999999999999999E-2</v>
      </c>
      <c r="AW110" s="13">
        <v>3.9E-2</v>
      </c>
      <c r="AX110" s="13">
        <v>4.5400000000000003E-2</v>
      </c>
      <c r="AY110" s="13">
        <v>5.3999999999999999E-2</v>
      </c>
      <c r="AZ110" s="13">
        <v>4.0300000000000002E-2</v>
      </c>
      <c r="BA110" s="12">
        <f t="shared" si="5"/>
        <v>2.6300000000000004E-2</v>
      </c>
      <c r="BC110" s="4">
        <v>46183</v>
      </c>
      <c r="BD110" s="6">
        <v>1.0999999999999999E-2</v>
      </c>
      <c r="BE110" s="6">
        <v>1.12E-2</v>
      </c>
      <c r="BF110" s="6">
        <v>1.14E-2</v>
      </c>
      <c r="BG110" s="3"/>
      <c r="BH110" s="3"/>
      <c r="BI110" s="3"/>
      <c r="BJ110" s="6">
        <v>1.4200000000000001E-2</v>
      </c>
      <c r="BK110" s="2">
        <v>46183</v>
      </c>
      <c r="BL110" s="57">
        <v>4.4400000000000002E-2</v>
      </c>
      <c r="BM110" s="1"/>
      <c r="BN110" s="57">
        <v>5.3199999999999997E-2</v>
      </c>
      <c r="BO110" s="1"/>
      <c r="BP110" s="1"/>
      <c r="BQ110" s="1"/>
      <c r="BR110" s="57">
        <v>3.7100000000000001E-2</v>
      </c>
      <c r="BS110" s="12">
        <f t="shared" si="3"/>
        <v>2.29E-2</v>
      </c>
    </row>
    <row r="111" spans="1:71" x14ac:dyDescent="0.35">
      <c r="A111" s="4">
        <v>46184</v>
      </c>
      <c r="B111" s="3" t="s">
        <v>33</v>
      </c>
      <c r="C111" s="3" t="s">
        <v>33</v>
      </c>
      <c r="D111" s="3" t="s">
        <v>32</v>
      </c>
      <c r="E111" s="3" t="s">
        <v>33</v>
      </c>
      <c r="F111" s="3" t="s">
        <v>32</v>
      </c>
      <c r="G111" s="3" t="s">
        <v>33</v>
      </c>
      <c r="H111" s="9">
        <v>1.38E-2</v>
      </c>
      <c r="I111" s="2">
        <v>46184</v>
      </c>
      <c r="J111" s="1" t="s">
        <v>33</v>
      </c>
      <c r="K111" s="1" t="s">
        <v>33</v>
      </c>
      <c r="L111" s="1" t="s">
        <v>32</v>
      </c>
      <c r="M111" s="1" t="s">
        <v>33</v>
      </c>
      <c r="N111" s="1" t="s">
        <v>32</v>
      </c>
      <c r="O111" s="1" t="s">
        <v>32</v>
      </c>
      <c r="P111" s="57">
        <v>3.61E-2</v>
      </c>
      <c r="Q111" s="84">
        <f t="shared" si="8"/>
        <v>2.23E-2</v>
      </c>
      <c r="S111" s="4">
        <v>46184</v>
      </c>
      <c r="T111" s="3" t="s">
        <v>33</v>
      </c>
      <c r="U111" s="3" t="s">
        <v>33</v>
      </c>
      <c r="V111" s="3" t="s">
        <v>33</v>
      </c>
      <c r="W111" s="3" t="s">
        <v>33</v>
      </c>
      <c r="X111" s="6">
        <v>3.5000000000000003E-2</v>
      </c>
      <c r="Y111" s="3" t="s">
        <v>33</v>
      </c>
      <c r="Z111" s="6">
        <v>1.4800000000000001E-2</v>
      </c>
      <c r="AA111" s="2">
        <v>46184</v>
      </c>
      <c r="AB111" s="1" t="s">
        <v>33</v>
      </c>
      <c r="AC111" s="1" t="s">
        <v>33</v>
      </c>
      <c r="AD111" s="1" t="s">
        <v>33</v>
      </c>
      <c r="AE111" s="1" t="s">
        <v>33</v>
      </c>
      <c r="AF111" s="1" t="s">
        <v>33</v>
      </c>
      <c r="AG111" s="1" t="s">
        <v>33</v>
      </c>
      <c r="AH111" s="57">
        <v>2.5000000000000001E-2</v>
      </c>
      <c r="AI111" s="12">
        <f t="shared" si="6"/>
        <v>1.0200000000000001E-2</v>
      </c>
      <c r="AK111" s="4">
        <v>46184</v>
      </c>
      <c r="AL111" s="6">
        <v>0.02</v>
      </c>
      <c r="AM111" s="3"/>
      <c r="AN111" s="3"/>
      <c r="AO111" s="3"/>
      <c r="AP111" s="3" t="s">
        <v>33</v>
      </c>
      <c r="AQ111" s="3" t="s">
        <v>33</v>
      </c>
      <c r="AR111" s="6">
        <v>1.3299999999999999E-2</v>
      </c>
      <c r="AS111" s="2">
        <v>46184</v>
      </c>
      <c r="AT111" s="13">
        <v>3.5000000000000003E-2</v>
      </c>
      <c r="AU111" s="13">
        <v>3.6900000000000002E-2</v>
      </c>
      <c r="AV111" s="13">
        <v>3.7999999999999999E-2</v>
      </c>
      <c r="AW111" s="13">
        <v>3.9E-2</v>
      </c>
      <c r="AX111" s="13">
        <v>4.5400000000000003E-2</v>
      </c>
      <c r="AY111" s="13">
        <v>5.45E-2</v>
      </c>
      <c r="AZ111" s="13">
        <v>4.0399999999999998E-2</v>
      </c>
      <c r="BA111" s="12">
        <f t="shared" si="5"/>
        <v>2.7099999999999999E-2</v>
      </c>
      <c r="BC111" s="4">
        <v>46184</v>
      </c>
      <c r="BD111" s="6">
        <v>1.0999999999999999E-2</v>
      </c>
      <c r="BE111" s="6">
        <v>1.12E-2</v>
      </c>
      <c r="BF111" s="6">
        <v>1.14E-2</v>
      </c>
      <c r="BG111" s="3"/>
      <c r="BH111" s="3"/>
      <c r="BI111" s="3"/>
      <c r="BJ111" s="6">
        <v>1.3899999999999999E-2</v>
      </c>
      <c r="BK111" s="2">
        <v>46184</v>
      </c>
      <c r="BL111" s="57">
        <v>4.4200000000000003E-2</v>
      </c>
      <c r="BM111" s="1"/>
      <c r="BN111" s="57">
        <v>5.2999999999999999E-2</v>
      </c>
      <c r="BO111" s="1"/>
      <c r="BP111" s="1"/>
      <c r="BQ111" s="1"/>
      <c r="BR111" s="57">
        <v>3.6799999999999999E-2</v>
      </c>
      <c r="BS111" s="12">
        <f t="shared" si="3"/>
        <v>2.29E-2</v>
      </c>
    </row>
    <row r="112" spans="1:71" x14ac:dyDescent="0.35">
      <c r="A112" s="4">
        <v>46185</v>
      </c>
      <c r="B112" s="3" t="s">
        <v>33</v>
      </c>
      <c r="C112" s="3" t="s">
        <v>33</v>
      </c>
      <c r="D112" s="3" t="s">
        <v>32</v>
      </c>
      <c r="E112" s="3" t="s">
        <v>33</v>
      </c>
      <c r="F112" s="3" t="s">
        <v>32</v>
      </c>
      <c r="G112" s="3" t="s">
        <v>33</v>
      </c>
      <c r="H112" s="9">
        <v>1.2200000000000001E-2</v>
      </c>
      <c r="I112" s="2">
        <v>46185</v>
      </c>
      <c r="J112" s="1" t="s">
        <v>33</v>
      </c>
      <c r="K112" s="1" t="s">
        <v>33</v>
      </c>
      <c r="L112" s="1" t="s">
        <v>32</v>
      </c>
      <c r="M112" s="1" t="s">
        <v>33</v>
      </c>
      <c r="N112" s="1" t="s">
        <v>32</v>
      </c>
      <c r="O112" s="1" t="s">
        <v>32</v>
      </c>
      <c r="P112" s="57">
        <v>3.4200000000000001E-2</v>
      </c>
      <c r="Q112" s="84">
        <f t="shared" si="8"/>
        <v>2.1999999999999999E-2</v>
      </c>
      <c r="S112" s="4">
        <v>46185</v>
      </c>
      <c r="T112" s="3" t="s">
        <v>33</v>
      </c>
      <c r="U112" s="3" t="s">
        <v>33</v>
      </c>
      <c r="V112" s="3" t="s">
        <v>33</v>
      </c>
      <c r="W112" s="3" t="s">
        <v>33</v>
      </c>
      <c r="X112" s="6">
        <v>3.5000000000000003E-2</v>
      </c>
      <c r="Y112" s="3" t="s">
        <v>33</v>
      </c>
      <c r="Z112" s="6">
        <v>1.4800000000000001E-2</v>
      </c>
      <c r="AA112" s="2">
        <v>46185</v>
      </c>
      <c r="AB112" s="1" t="s">
        <v>33</v>
      </c>
      <c r="AC112" s="1" t="s">
        <v>33</v>
      </c>
      <c r="AD112" s="1" t="s">
        <v>33</v>
      </c>
      <c r="AE112" s="1" t="s">
        <v>33</v>
      </c>
      <c r="AF112" s="1" t="s">
        <v>33</v>
      </c>
      <c r="AG112" s="1" t="s">
        <v>33</v>
      </c>
      <c r="AH112" s="57">
        <v>2.5000000000000001E-2</v>
      </c>
      <c r="AI112" s="12">
        <f t="shared" si="6"/>
        <v>1.0200000000000001E-2</v>
      </c>
      <c r="AK112" s="4">
        <v>46185</v>
      </c>
      <c r="AL112" s="6">
        <v>0.02</v>
      </c>
      <c r="AM112" s="3"/>
      <c r="AN112" s="3"/>
      <c r="AO112" s="3"/>
      <c r="AP112" s="3" t="s">
        <v>33</v>
      </c>
      <c r="AQ112" s="3" t="s">
        <v>33</v>
      </c>
      <c r="AR112" s="6">
        <v>1.32E-2</v>
      </c>
      <c r="AS112" s="2">
        <v>46185</v>
      </c>
      <c r="AT112" s="13">
        <v>3.4500000000000003E-2</v>
      </c>
      <c r="AU112" s="13">
        <v>3.6799999999999999E-2</v>
      </c>
      <c r="AV112" s="13">
        <v>3.9899999999999998E-2</v>
      </c>
      <c r="AW112" s="13" t="s">
        <v>64</v>
      </c>
      <c r="AX112" s="13">
        <v>4.4999999999999998E-2</v>
      </c>
      <c r="AY112" s="13">
        <v>5.5E-2</v>
      </c>
      <c r="AZ112" s="13">
        <v>3.9899999999999998E-2</v>
      </c>
      <c r="BA112" s="12">
        <f t="shared" si="5"/>
        <v>2.6699999999999998E-2</v>
      </c>
      <c r="BC112" s="4">
        <v>46185</v>
      </c>
      <c r="BD112" s="6">
        <v>1.0999999999999999E-2</v>
      </c>
      <c r="BE112" s="6">
        <v>1.12E-2</v>
      </c>
      <c r="BF112" s="6">
        <v>1.14E-2</v>
      </c>
      <c r="BG112" s="3"/>
      <c r="BH112" s="3"/>
      <c r="BI112" s="3"/>
      <c r="BJ112" s="6">
        <v>1.3899999999999999E-2</v>
      </c>
      <c r="BK112" s="2">
        <v>46185</v>
      </c>
      <c r="BL112" s="57">
        <v>4.36E-2</v>
      </c>
      <c r="BM112" s="1"/>
      <c r="BN112" s="57">
        <v>5.2299999999999999E-2</v>
      </c>
      <c r="BO112" s="1"/>
      <c r="BP112" s="1"/>
      <c r="BQ112" s="1"/>
      <c r="BR112" s="57">
        <v>3.6499999999999998E-2</v>
      </c>
      <c r="BS112" s="12">
        <f t="shared" si="3"/>
        <v>2.2599999999999999E-2</v>
      </c>
    </row>
    <row r="113" spans="1:71" x14ac:dyDescent="0.35">
      <c r="A113" s="4">
        <v>46186</v>
      </c>
      <c r="B113" s="3" t="s">
        <v>33</v>
      </c>
      <c r="C113" s="3" t="s">
        <v>33</v>
      </c>
      <c r="D113" s="3" t="s">
        <v>32</v>
      </c>
      <c r="E113" s="3" t="s">
        <v>33</v>
      </c>
      <c r="F113" s="3" t="s">
        <v>32</v>
      </c>
      <c r="G113" s="3" t="s">
        <v>33</v>
      </c>
      <c r="H113" s="9">
        <v>1.23E-2</v>
      </c>
      <c r="I113" s="2">
        <v>46186</v>
      </c>
      <c r="J113" s="1" t="s">
        <v>33</v>
      </c>
      <c r="K113" s="1" t="s">
        <v>33</v>
      </c>
      <c r="L113" s="1" t="s">
        <v>32</v>
      </c>
      <c r="M113" s="1" t="s">
        <v>33</v>
      </c>
      <c r="N113" s="1" t="s">
        <v>32</v>
      </c>
      <c r="O113" s="1" t="s">
        <v>32</v>
      </c>
      <c r="P113" s="57">
        <v>3.3000000000000002E-2</v>
      </c>
      <c r="Q113" s="84">
        <f t="shared" si="8"/>
        <v>2.0700000000000003E-2</v>
      </c>
      <c r="S113" s="4">
        <v>46186</v>
      </c>
      <c r="T113" s="3" t="s">
        <v>33</v>
      </c>
      <c r="U113" s="3" t="s">
        <v>33</v>
      </c>
      <c r="V113" s="3" t="s">
        <v>33</v>
      </c>
      <c r="W113" s="3" t="s">
        <v>33</v>
      </c>
      <c r="X113" s="6">
        <v>3.5000000000000003E-2</v>
      </c>
      <c r="Y113" s="3" t="s">
        <v>33</v>
      </c>
      <c r="Z113" s="6">
        <v>1.46E-2</v>
      </c>
      <c r="AA113" s="2">
        <v>46186</v>
      </c>
      <c r="AB113" s="1" t="s">
        <v>33</v>
      </c>
      <c r="AC113" s="1" t="s">
        <v>33</v>
      </c>
      <c r="AD113" s="1" t="s">
        <v>33</v>
      </c>
      <c r="AE113" s="1" t="s">
        <v>33</v>
      </c>
      <c r="AF113" s="1" t="s">
        <v>33</v>
      </c>
      <c r="AG113" s="1" t="s">
        <v>33</v>
      </c>
      <c r="AH113" s="57">
        <v>2.5000000000000001E-2</v>
      </c>
      <c r="AI113" s="12">
        <f t="shared" si="6"/>
        <v>1.0400000000000001E-2</v>
      </c>
      <c r="AK113" s="4">
        <v>46186</v>
      </c>
      <c r="AL113" s="6">
        <v>0.02</v>
      </c>
      <c r="AM113" s="3"/>
      <c r="AN113" s="3"/>
      <c r="AO113" s="3"/>
      <c r="AP113" s="3" t="s">
        <v>33</v>
      </c>
      <c r="AQ113" s="3" t="s">
        <v>33</v>
      </c>
      <c r="AR113" s="6">
        <v>1.2500000000000001E-2</v>
      </c>
      <c r="AS113" s="2">
        <v>46186</v>
      </c>
      <c r="AT113" s="13">
        <v>3.2000000000000001E-2</v>
      </c>
      <c r="AU113" s="13">
        <v>3.2000000000000001E-2</v>
      </c>
      <c r="AV113" s="13">
        <v>4.2999999999999997E-2</v>
      </c>
      <c r="AW113" s="13">
        <v>0.04</v>
      </c>
      <c r="AX113" s="13">
        <v>4.8000000000000001E-2</v>
      </c>
      <c r="AY113" s="13">
        <v>5.2999999999999999E-2</v>
      </c>
      <c r="AZ113" s="13">
        <v>3.6600000000000001E-2</v>
      </c>
      <c r="BA113" s="12">
        <f t="shared" si="5"/>
        <v>2.41E-2</v>
      </c>
      <c r="BC113" s="4">
        <v>46186</v>
      </c>
      <c r="BD113" s="6">
        <v>1.0999999999999999E-2</v>
      </c>
      <c r="BE113" s="6">
        <v>1.12E-2</v>
      </c>
      <c r="BF113" s="6">
        <v>1.14E-2</v>
      </c>
      <c r="BG113" s="3"/>
      <c r="BH113" s="3"/>
      <c r="BI113" s="3"/>
      <c r="BJ113" s="6">
        <v>1.2200000000000001E-2</v>
      </c>
      <c r="BK113" s="2">
        <v>46186</v>
      </c>
      <c r="BL113" s="57">
        <v>4.19E-2</v>
      </c>
      <c r="BM113" s="1"/>
      <c r="BN113" s="57">
        <v>5.0299999999999997E-2</v>
      </c>
      <c r="BO113" s="1"/>
      <c r="BP113" s="1"/>
      <c r="BQ113" s="1"/>
      <c r="BR113" s="57">
        <v>3.5400000000000001E-2</v>
      </c>
      <c r="BS113" s="12">
        <f t="shared" si="3"/>
        <v>2.3199999999999998E-2</v>
      </c>
    </row>
    <row r="114" spans="1:71" x14ac:dyDescent="0.35">
      <c r="A114" s="4">
        <v>46187</v>
      </c>
      <c r="B114" s="3" t="s">
        <v>33</v>
      </c>
      <c r="C114" s="3" t="s">
        <v>33</v>
      </c>
      <c r="D114" s="3" t="s">
        <v>32</v>
      </c>
      <c r="E114" s="3" t="s">
        <v>33</v>
      </c>
      <c r="F114" s="3" t="s">
        <v>32</v>
      </c>
      <c r="G114" s="3" t="s">
        <v>33</v>
      </c>
      <c r="H114" s="9">
        <v>1.1299999999999999E-2</v>
      </c>
      <c r="I114" s="2">
        <v>46187</v>
      </c>
      <c r="J114" s="1" t="s">
        <v>33</v>
      </c>
      <c r="K114" s="1" t="s">
        <v>33</v>
      </c>
      <c r="L114" s="1" t="s">
        <v>32</v>
      </c>
      <c r="M114" s="1" t="s">
        <v>33</v>
      </c>
      <c r="N114" s="1" t="s">
        <v>32</v>
      </c>
      <c r="O114" s="1" t="s">
        <v>32</v>
      </c>
      <c r="P114" s="57">
        <v>3.2500000000000001E-2</v>
      </c>
      <c r="Q114" s="84">
        <f t="shared" si="8"/>
        <v>2.1200000000000004E-2</v>
      </c>
      <c r="S114" s="4">
        <v>46187</v>
      </c>
      <c r="T114" s="3" t="s">
        <v>33</v>
      </c>
      <c r="U114" s="3" t="s">
        <v>33</v>
      </c>
      <c r="V114" s="3" t="s">
        <v>33</v>
      </c>
      <c r="W114" s="3" t="s">
        <v>33</v>
      </c>
      <c r="X114" s="6">
        <v>3.5000000000000003E-2</v>
      </c>
      <c r="Y114" s="3" t="s">
        <v>33</v>
      </c>
      <c r="Z114" s="6">
        <v>1.46E-2</v>
      </c>
      <c r="AA114" s="2">
        <v>46187</v>
      </c>
      <c r="AB114" s="1" t="s">
        <v>33</v>
      </c>
      <c r="AC114" s="1" t="s">
        <v>33</v>
      </c>
      <c r="AD114" s="1" t="s">
        <v>33</v>
      </c>
      <c r="AE114" s="1" t="s">
        <v>33</v>
      </c>
      <c r="AF114" s="1" t="s">
        <v>33</v>
      </c>
      <c r="AG114" s="1" t="s">
        <v>33</v>
      </c>
      <c r="AH114" s="57">
        <v>2.5000000000000001E-2</v>
      </c>
      <c r="AI114" s="12">
        <f t="shared" si="6"/>
        <v>1.0400000000000001E-2</v>
      </c>
      <c r="AK114" s="4">
        <v>46187</v>
      </c>
      <c r="AL114" s="6">
        <v>0.02</v>
      </c>
      <c r="AM114" s="3"/>
      <c r="AN114" s="3"/>
      <c r="AO114" s="3"/>
      <c r="AP114" s="3" t="s">
        <v>33</v>
      </c>
      <c r="AQ114" s="3" t="s">
        <v>33</v>
      </c>
      <c r="AR114" s="6">
        <v>1.23E-2</v>
      </c>
      <c r="AS114" s="2">
        <v>46187</v>
      </c>
      <c r="AT114" s="13">
        <v>3.2000000000000001E-2</v>
      </c>
      <c r="AU114" s="13">
        <v>3.2000000000000001E-2</v>
      </c>
      <c r="AV114" s="13">
        <v>4.2999999999999997E-2</v>
      </c>
      <c r="AW114" s="13">
        <v>0.04</v>
      </c>
      <c r="AX114" s="13">
        <v>4.8000000000000001E-2</v>
      </c>
      <c r="AY114" s="13">
        <v>5.2999999999999999E-2</v>
      </c>
      <c r="AZ114" s="13">
        <v>3.5999999999999997E-2</v>
      </c>
      <c r="BA114" s="12">
        <f>AZ114-AR114</f>
        <v>2.3699999999999999E-2</v>
      </c>
      <c r="BC114" s="4">
        <v>46187</v>
      </c>
      <c r="BD114" s="6">
        <v>1.0999999999999999E-2</v>
      </c>
      <c r="BE114" s="6">
        <v>1.12E-2</v>
      </c>
      <c r="BF114" s="6">
        <v>1.14E-2</v>
      </c>
      <c r="BG114" s="3"/>
      <c r="BH114" s="3"/>
      <c r="BI114" s="3"/>
      <c r="BJ114" s="6">
        <v>1.21E-2</v>
      </c>
      <c r="BK114" s="2">
        <v>46187</v>
      </c>
      <c r="BL114" s="57">
        <v>4.19E-2</v>
      </c>
      <c r="BM114" s="1"/>
      <c r="BN114" s="57">
        <v>5.0299999999999997E-2</v>
      </c>
      <c r="BO114" s="1"/>
      <c r="BP114" s="1"/>
      <c r="BQ114" s="1"/>
      <c r="BR114" s="57">
        <v>3.5400000000000001E-2</v>
      </c>
      <c r="BS114" s="12">
        <f t="shared" si="3"/>
        <v>2.3300000000000001E-2</v>
      </c>
    </row>
    <row r="115" spans="1:71" x14ac:dyDescent="0.35">
      <c r="A115" s="4">
        <v>46188</v>
      </c>
      <c r="B115" s="3" t="s">
        <v>33</v>
      </c>
      <c r="C115" s="3" t="s">
        <v>33</v>
      </c>
      <c r="D115" s="3" t="s">
        <v>32</v>
      </c>
      <c r="E115" s="3" t="s">
        <v>33</v>
      </c>
      <c r="F115" s="3" t="s">
        <v>32</v>
      </c>
      <c r="G115" s="3" t="s">
        <v>33</v>
      </c>
      <c r="H115" s="9">
        <v>1.1299999999999999E-2</v>
      </c>
      <c r="I115" s="2">
        <v>46188</v>
      </c>
      <c r="J115" s="1" t="s">
        <v>33</v>
      </c>
      <c r="K115" s="1" t="s">
        <v>33</v>
      </c>
      <c r="L115" s="1" t="s">
        <v>32</v>
      </c>
      <c r="M115" s="1" t="s">
        <v>33</v>
      </c>
      <c r="N115" s="1" t="s">
        <v>32</v>
      </c>
      <c r="O115" s="1" t="s">
        <v>32</v>
      </c>
      <c r="P115" s="57">
        <v>3.2500000000000001E-2</v>
      </c>
      <c r="Q115" s="84">
        <f t="shared" si="8"/>
        <v>2.1200000000000004E-2</v>
      </c>
      <c r="S115" s="4">
        <v>46188</v>
      </c>
      <c r="T115" s="3" t="s">
        <v>33</v>
      </c>
      <c r="U115" s="3" t="s">
        <v>33</v>
      </c>
      <c r="V115" s="3" t="s">
        <v>33</v>
      </c>
      <c r="W115" s="3" t="s">
        <v>33</v>
      </c>
      <c r="X115" s="6">
        <v>3.5000000000000003E-2</v>
      </c>
      <c r="Y115" s="3" t="s">
        <v>33</v>
      </c>
      <c r="Z115" s="6">
        <v>1.43E-2</v>
      </c>
      <c r="AA115" s="2">
        <v>46188</v>
      </c>
      <c r="AB115" s="1" t="s">
        <v>33</v>
      </c>
      <c r="AC115" s="1" t="s">
        <v>33</v>
      </c>
      <c r="AD115" s="1" t="s">
        <v>33</v>
      </c>
      <c r="AE115" s="1" t="s">
        <v>33</v>
      </c>
      <c r="AF115" s="1" t="s">
        <v>33</v>
      </c>
      <c r="AG115" s="1" t="s">
        <v>33</v>
      </c>
      <c r="AH115" s="57">
        <v>2.5000000000000001E-2</v>
      </c>
      <c r="AI115" s="12">
        <f t="shared" si="6"/>
        <v>1.0700000000000001E-2</v>
      </c>
      <c r="AK115" s="4">
        <v>46188</v>
      </c>
      <c r="AL115" s="6">
        <v>0.02</v>
      </c>
      <c r="AM115" s="3"/>
      <c r="AN115" s="3"/>
      <c r="AO115" s="3"/>
      <c r="AP115" s="3" t="s">
        <v>33</v>
      </c>
      <c r="AQ115" s="3" t="s">
        <v>33</v>
      </c>
      <c r="AR115" s="6">
        <v>1.1900000000000001E-2</v>
      </c>
      <c r="AS115" s="2">
        <v>46188</v>
      </c>
      <c r="AT115" s="13">
        <v>3.2000000000000001E-2</v>
      </c>
      <c r="AU115" s="13">
        <v>3.2000000000000001E-2</v>
      </c>
      <c r="AV115" s="13">
        <v>4.2999999999999997E-2</v>
      </c>
      <c r="AW115" s="13">
        <v>0.04</v>
      </c>
      <c r="AX115" s="13">
        <v>4.8000000000000001E-2</v>
      </c>
      <c r="AY115" s="13">
        <v>5.2999999999999999E-2</v>
      </c>
      <c r="AZ115" s="13">
        <v>3.5099999999999999E-2</v>
      </c>
      <c r="BA115" s="12">
        <f t="shared" si="5"/>
        <v>2.3199999999999998E-2</v>
      </c>
      <c r="BC115" s="4">
        <v>46188</v>
      </c>
      <c r="BD115" s="6">
        <v>1.0999999999999999E-2</v>
      </c>
      <c r="BE115" s="6">
        <v>1.12E-2</v>
      </c>
      <c r="BF115" s="6">
        <v>1.14E-2</v>
      </c>
      <c r="BG115" s="3"/>
      <c r="BH115" s="3"/>
      <c r="BI115" s="3"/>
      <c r="BJ115" s="6">
        <v>1.2500000000000001E-2</v>
      </c>
      <c r="BK115" s="2">
        <v>46188</v>
      </c>
      <c r="BL115" s="57">
        <v>4.19E-2</v>
      </c>
      <c r="BM115" s="1"/>
      <c r="BN115" s="57">
        <v>5.0299999999999997E-2</v>
      </c>
      <c r="BO115" s="1"/>
      <c r="BP115" s="1"/>
      <c r="BQ115" s="1"/>
      <c r="BR115" s="57">
        <v>3.4700000000000002E-2</v>
      </c>
      <c r="BS115" s="12">
        <f t="shared" si="3"/>
        <v>2.2200000000000001E-2</v>
      </c>
    </row>
    <row r="116" spans="1:71" x14ac:dyDescent="0.35">
      <c r="A116" s="4">
        <v>46189</v>
      </c>
      <c r="B116" s="3" t="s">
        <v>33</v>
      </c>
      <c r="C116" s="3" t="s">
        <v>33</v>
      </c>
      <c r="D116" s="3" t="s">
        <v>32</v>
      </c>
      <c r="E116" s="3" t="s">
        <v>33</v>
      </c>
      <c r="F116" s="3" t="s">
        <v>32</v>
      </c>
      <c r="G116" s="3" t="s">
        <v>33</v>
      </c>
      <c r="H116" s="9">
        <v>1.17E-2</v>
      </c>
      <c r="I116" s="2">
        <v>46189</v>
      </c>
      <c r="J116" s="1" t="s">
        <v>33</v>
      </c>
      <c r="K116" s="1" t="s">
        <v>33</v>
      </c>
      <c r="L116" s="1" t="s">
        <v>32</v>
      </c>
      <c r="M116" s="1" t="s">
        <v>33</v>
      </c>
      <c r="N116" s="1" t="s">
        <v>32</v>
      </c>
      <c r="O116" s="1" t="s">
        <v>32</v>
      </c>
      <c r="P116" s="57">
        <v>3.32E-2</v>
      </c>
      <c r="Q116" s="84">
        <f t="shared" si="8"/>
        <v>2.1499999999999998E-2</v>
      </c>
      <c r="S116" s="4">
        <v>46189</v>
      </c>
      <c r="T116" s="3" t="s">
        <v>33</v>
      </c>
      <c r="U116" s="3" t="s">
        <v>33</v>
      </c>
      <c r="V116" s="3" t="s">
        <v>33</v>
      </c>
      <c r="W116" s="3" t="s">
        <v>33</v>
      </c>
      <c r="X116" s="6">
        <v>3.5000000000000003E-2</v>
      </c>
      <c r="Y116" s="3" t="s">
        <v>33</v>
      </c>
      <c r="Z116" s="6">
        <v>1.4999999999999999E-2</v>
      </c>
      <c r="AA116" s="2">
        <v>46189</v>
      </c>
      <c r="AB116" s="1" t="s">
        <v>33</v>
      </c>
      <c r="AC116" s="1" t="s">
        <v>33</v>
      </c>
      <c r="AD116" s="1" t="s">
        <v>33</v>
      </c>
      <c r="AE116" s="1" t="s">
        <v>33</v>
      </c>
      <c r="AF116" s="1" t="s">
        <v>33</v>
      </c>
      <c r="AG116" s="1" t="s">
        <v>33</v>
      </c>
      <c r="AH116" s="57">
        <v>2.5000000000000001E-2</v>
      </c>
      <c r="AI116" s="12">
        <f t="shared" si="6"/>
        <v>1.0000000000000002E-2</v>
      </c>
      <c r="AK116" s="4">
        <v>46189</v>
      </c>
      <c r="AL116" s="6">
        <v>0.02</v>
      </c>
      <c r="AM116" s="3"/>
      <c r="AN116" s="3"/>
      <c r="AO116" s="3"/>
      <c r="AP116" s="3" t="s">
        <v>33</v>
      </c>
      <c r="AQ116" s="3" t="s">
        <v>33</v>
      </c>
      <c r="AR116" s="6">
        <v>1.2699999999999999E-2</v>
      </c>
      <c r="AS116" s="2">
        <v>46189</v>
      </c>
      <c r="AT116" s="13">
        <v>0.03</v>
      </c>
      <c r="AU116" s="13">
        <v>3.5000000000000003E-2</v>
      </c>
      <c r="AV116" s="13">
        <v>3.9E-2</v>
      </c>
      <c r="AW116" s="13">
        <v>0.04</v>
      </c>
      <c r="AX116" s="13">
        <v>4.7300000000000002E-2</v>
      </c>
      <c r="AY116" s="13">
        <v>5.2999999999999999E-2</v>
      </c>
      <c r="AZ116" s="13">
        <v>3.7199999999999997E-2</v>
      </c>
      <c r="BA116" s="12">
        <f t="shared" si="5"/>
        <v>2.4499999999999997E-2</v>
      </c>
      <c r="BC116" s="4">
        <v>46189</v>
      </c>
      <c r="BD116" s="6">
        <v>1.0999999999999999E-2</v>
      </c>
      <c r="BE116" s="6">
        <v>1.12E-2</v>
      </c>
      <c r="BF116" s="6">
        <v>1.14E-2</v>
      </c>
      <c r="BG116" s="3"/>
      <c r="BH116" s="3"/>
      <c r="BI116" s="3"/>
      <c r="BJ116" s="6">
        <v>1.1900000000000001E-2</v>
      </c>
      <c r="BK116" s="2">
        <v>46189</v>
      </c>
      <c r="BL116" s="57">
        <v>4.1200000000000001E-2</v>
      </c>
      <c r="BM116" s="1"/>
      <c r="BN116" s="57">
        <v>4.9000000000000002E-2</v>
      </c>
      <c r="BO116" s="1"/>
      <c r="BP116" s="1"/>
      <c r="BQ116" s="1"/>
      <c r="BR116" s="57">
        <v>3.4099999999999998E-2</v>
      </c>
      <c r="BS116" s="12">
        <f t="shared" si="3"/>
        <v>2.2199999999999998E-2</v>
      </c>
    </row>
    <row r="117" spans="1:71" x14ac:dyDescent="0.35">
      <c r="A117" s="4">
        <v>46190</v>
      </c>
      <c r="B117" s="3" t="s">
        <v>33</v>
      </c>
      <c r="C117" s="3" t="s">
        <v>33</v>
      </c>
      <c r="D117" s="3" t="s">
        <v>32</v>
      </c>
      <c r="E117" s="3" t="s">
        <v>33</v>
      </c>
      <c r="F117" s="3" t="s">
        <v>32</v>
      </c>
      <c r="G117" s="3" t="s">
        <v>33</v>
      </c>
      <c r="H117" s="9">
        <v>1.18E-2</v>
      </c>
      <c r="I117" s="2">
        <v>46190</v>
      </c>
      <c r="J117" s="1" t="s">
        <v>33</v>
      </c>
      <c r="K117" s="1" t="s">
        <v>33</v>
      </c>
      <c r="L117" s="1" t="s">
        <v>32</v>
      </c>
      <c r="M117" s="1" t="s">
        <v>33</v>
      </c>
      <c r="N117" s="1" t="s">
        <v>32</v>
      </c>
      <c r="O117" s="1" t="s">
        <v>32</v>
      </c>
      <c r="P117" s="57">
        <v>3.3300000000000003E-2</v>
      </c>
      <c r="Q117" s="84">
        <f t="shared" si="8"/>
        <v>2.1500000000000005E-2</v>
      </c>
      <c r="S117" s="4">
        <v>46190</v>
      </c>
      <c r="T117" s="3" t="s">
        <v>33</v>
      </c>
      <c r="U117" s="3" t="s">
        <v>33</v>
      </c>
      <c r="V117" s="3" t="s">
        <v>33</v>
      </c>
      <c r="W117" s="3" t="s">
        <v>33</v>
      </c>
      <c r="X117" s="6">
        <v>3.5000000000000003E-2</v>
      </c>
      <c r="Y117" s="3" t="s">
        <v>33</v>
      </c>
      <c r="Z117" s="6">
        <v>1.52E-2</v>
      </c>
      <c r="AA117" s="2">
        <v>46190</v>
      </c>
      <c r="AB117" s="1" t="s">
        <v>33</v>
      </c>
      <c r="AC117" s="1" t="s">
        <v>33</v>
      </c>
      <c r="AD117" s="1" t="s">
        <v>33</v>
      </c>
      <c r="AE117" s="1" t="s">
        <v>33</v>
      </c>
      <c r="AF117" s="1" t="s">
        <v>33</v>
      </c>
      <c r="AG117" s="1" t="s">
        <v>33</v>
      </c>
      <c r="AH117" s="57">
        <v>2.5000000000000001E-2</v>
      </c>
      <c r="AI117" s="12">
        <f t="shared" si="6"/>
        <v>9.8000000000000014E-3</v>
      </c>
      <c r="AK117" s="4">
        <v>46190</v>
      </c>
      <c r="AL117" s="6">
        <v>0.02</v>
      </c>
      <c r="AM117" s="3"/>
      <c r="AN117" s="3"/>
      <c r="AO117" s="3"/>
      <c r="AP117" s="3" t="s">
        <v>33</v>
      </c>
      <c r="AQ117" s="3" t="s">
        <v>33</v>
      </c>
      <c r="AR117" s="6">
        <v>1.2200000000000001E-2</v>
      </c>
      <c r="AS117" s="2">
        <v>46190</v>
      </c>
      <c r="AT117" s="13">
        <v>2.8500000000000001E-2</v>
      </c>
      <c r="AU117" s="13">
        <v>3.5000000000000003E-2</v>
      </c>
      <c r="AV117" s="13">
        <v>3.7999999999999999E-2</v>
      </c>
      <c r="AW117" s="13">
        <v>5.7200000000000001E-2</v>
      </c>
      <c r="AX117" s="13">
        <v>4.8000000000000001E-2</v>
      </c>
      <c r="AY117" s="13">
        <v>5.2999999999999999E-2</v>
      </c>
      <c r="AZ117" s="13">
        <v>3.7199999999999997E-2</v>
      </c>
      <c r="BA117" s="12">
        <f t="shared" si="5"/>
        <v>2.4999999999999994E-2</v>
      </c>
      <c r="BC117" s="4">
        <v>46190</v>
      </c>
      <c r="BD117" s="6">
        <v>1.0999999999999999E-2</v>
      </c>
      <c r="BE117" s="6">
        <v>1.12E-2</v>
      </c>
      <c r="BF117" s="6">
        <v>1.14E-2</v>
      </c>
      <c r="BG117" s="3"/>
      <c r="BH117" s="3"/>
      <c r="BI117" s="3"/>
      <c r="BJ117" s="6">
        <v>1.24E-2</v>
      </c>
      <c r="BK117" s="2">
        <v>46190</v>
      </c>
      <c r="BL117" s="57">
        <v>4.1200000000000001E-2</v>
      </c>
      <c r="BM117" s="1"/>
      <c r="BN117" s="57">
        <v>4.9399999999999999E-2</v>
      </c>
      <c r="BO117" s="1"/>
      <c r="BP117" s="1"/>
      <c r="BQ117" s="1"/>
      <c r="BR117" s="57">
        <v>3.4299999999999997E-2</v>
      </c>
      <c r="BS117" s="12">
        <f t="shared" si="3"/>
        <v>2.1899999999999996E-2</v>
      </c>
    </row>
    <row r="118" spans="1:71" x14ac:dyDescent="0.35">
      <c r="A118" s="4">
        <v>46191</v>
      </c>
      <c r="B118" s="3" t="s">
        <v>33</v>
      </c>
      <c r="C118" s="3" t="s">
        <v>33</v>
      </c>
      <c r="D118" s="3" t="s">
        <v>32</v>
      </c>
      <c r="E118" s="3" t="s">
        <v>33</v>
      </c>
      <c r="F118" s="3" t="s">
        <v>32</v>
      </c>
      <c r="G118" s="3" t="s">
        <v>33</v>
      </c>
      <c r="H118" s="9">
        <v>1.12E-2</v>
      </c>
      <c r="I118" s="2">
        <v>46191</v>
      </c>
      <c r="J118" s="1" t="s">
        <v>33</v>
      </c>
      <c r="K118" s="1" t="s">
        <v>33</v>
      </c>
      <c r="L118" s="1" t="s">
        <v>32</v>
      </c>
      <c r="M118" s="1" t="s">
        <v>33</v>
      </c>
      <c r="N118" s="1" t="s">
        <v>32</v>
      </c>
      <c r="O118" s="1" t="s">
        <v>32</v>
      </c>
      <c r="P118" s="57">
        <v>3.2500000000000001E-2</v>
      </c>
      <c r="Q118" s="84">
        <f t="shared" ref="Q118:Q121" si="9">P118-H118</f>
        <v>2.1299999999999999E-2</v>
      </c>
      <c r="S118" s="4">
        <v>46191</v>
      </c>
      <c r="T118" s="3" t="s">
        <v>33</v>
      </c>
      <c r="U118" s="3" t="s">
        <v>33</v>
      </c>
      <c r="V118" s="3" t="s">
        <v>33</v>
      </c>
      <c r="W118" s="3" t="s">
        <v>33</v>
      </c>
      <c r="X118" s="6">
        <v>3.5000000000000003E-2</v>
      </c>
      <c r="Y118" s="3" t="s">
        <v>33</v>
      </c>
      <c r="Z118" s="6">
        <v>1.5299999999999999E-2</v>
      </c>
      <c r="AA118" s="2">
        <v>46191</v>
      </c>
      <c r="AB118" s="1" t="s">
        <v>33</v>
      </c>
      <c r="AC118" s="1" t="s">
        <v>33</v>
      </c>
      <c r="AD118" s="1" t="s">
        <v>33</v>
      </c>
      <c r="AE118" s="1" t="s">
        <v>33</v>
      </c>
      <c r="AF118" s="1" t="s">
        <v>33</v>
      </c>
      <c r="AG118" s="1" t="s">
        <v>33</v>
      </c>
      <c r="AH118" s="57">
        <v>2.5000000000000001E-2</v>
      </c>
      <c r="AI118" s="12">
        <f t="shared" si="6"/>
        <v>9.700000000000002E-3</v>
      </c>
      <c r="AK118" s="4">
        <v>46191</v>
      </c>
      <c r="AL118" s="6">
        <v>0.02</v>
      </c>
      <c r="AM118" s="3"/>
      <c r="AN118" s="3"/>
      <c r="AO118" s="3"/>
      <c r="AP118" s="3" t="s">
        <v>33</v>
      </c>
      <c r="AQ118" s="3" t="s">
        <v>33</v>
      </c>
      <c r="AR118" s="6">
        <v>1.24E-2</v>
      </c>
      <c r="AS118" s="2">
        <v>46191</v>
      </c>
      <c r="AT118" s="13">
        <v>3.1E-2</v>
      </c>
      <c r="AU118" s="13">
        <v>0.04</v>
      </c>
      <c r="AV118" s="13">
        <v>3.6999999999999998E-2</v>
      </c>
      <c r="AW118" s="13">
        <v>5.7000000000000002E-2</v>
      </c>
      <c r="AX118" s="13">
        <v>4.8000000000000001E-2</v>
      </c>
      <c r="AY118" s="13">
        <v>5.79E-2</v>
      </c>
      <c r="AZ118" s="13">
        <v>3.6400000000000002E-2</v>
      </c>
      <c r="BA118" s="12">
        <f t="shared" si="5"/>
        <v>2.4E-2</v>
      </c>
      <c r="BC118" s="4">
        <v>46191</v>
      </c>
      <c r="BD118" s="6">
        <v>1.0999999999999999E-2</v>
      </c>
      <c r="BE118" s="6">
        <v>1.12E-2</v>
      </c>
      <c r="BF118" s="6">
        <v>1.14E-2</v>
      </c>
      <c r="BG118" s="3"/>
      <c r="BH118" s="3"/>
      <c r="BI118" s="3"/>
      <c r="BJ118" s="6">
        <v>1.2800000000000001E-2</v>
      </c>
      <c r="BK118" s="2">
        <v>46191</v>
      </c>
      <c r="BL118" s="57">
        <v>4.1000000000000002E-2</v>
      </c>
      <c r="BM118" s="1"/>
      <c r="BN118" s="57">
        <v>4.82E-2</v>
      </c>
      <c r="BO118" s="1"/>
      <c r="BP118" s="1"/>
      <c r="BQ118" s="1"/>
      <c r="BR118" s="57">
        <v>3.4000000000000002E-2</v>
      </c>
      <c r="BS118" s="12">
        <f t="shared" si="3"/>
        <v>2.1200000000000004E-2</v>
      </c>
    </row>
    <row r="119" spans="1:71" x14ac:dyDescent="0.35">
      <c r="A119" s="4">
        <v>46192</v>
      </c>
      <c r="B119" s="3" t="s">
        <v>33</v>
      </c>
      <c r="C119" s="3" t="s">
        <v>33</v>
      </c>
      <c r="D119" s="3" t="s">
        <v>32</v>
      </c>
      <c r="E119" s="3" t="s">
        <v>33</v>
      </c>
      <c r="F119" s="3" t="s">
        <v>32</v>
      </c>
      <c r="G119" s="3" t="s">
        <v>33</v>
      </c>
      <c r="H119" s="9">
        <v>1.0699999999999999E-2</v>
      </c>
      <c r="I119" s="2">
        <v>46192</v>
      </c>
      <c r="J119" s="1" t="s">
        <v>33</v>
      </c>
      <c r="K119" s="1" t="s">
        <v>33</v>
      </c>
      <c r="L119" s="1" t="s">
        <v>32</v>
      </c>
      <c r="M119" s="1" t="s">
        <v>33</v>
      </c>
      <c r="N119" s="1" t="s">
        <v>32</v>
      </c>
      <c r="O119" s="1" t="s">
        <v>32</v>
      </c>
      <c r="P119" s="57">
        <v>3.1699999999999999E-2</v>
      </c>
      <c r="Q119" s="84">
        <f t="shared" si="9"/>
        <v>2.0999999999999998E-2</v>
      </c>
      <c r="S119" s="4">
        <v>46192</v>
      </c>
      <c r="T119" s="3" t="s">
        <v>33</v>
      </c>
      <c r="U119" s="3" t="s">
        <v>33</v>
      </c>
      <c r="V119" s="3" t="s">
        <v>33</v>
      </c>
      <c r="W119" s="3" t="s">
        <v>33</v>
      </c>
      <c r="X119" s="6">
        <v>3.5000000000000003E-2</v>
      </c>
      <c r="Y119" s="3" t="s">
        <v>33</v>
      </c>
      <c r="Z119" s="6">
        <v>1.55E-2</v>
      </c>
      <c r="AA119" s="2">
        <v>46192</v>
      </c>
      <c r="AB119" s="1" t="s">
        <v>33</v>
      </c>
      <c r="AC119" s="1" t="s">
        <v>33</v>
      </c>
      <c r="AD119" s="1" t="s">
        <v>33</v>
      </c>
      <c r="AE119" s="1" t="s">
        <v>33</v>
      </c>
      <c r="AF119" s="1" t="s">
        <v>33</v>
      </c>
      <c r="AG119" s="1" t="s">
        <v>33</v>
      </c>
      <c r="AH119" s="57">
        <v>2.5000000000000001E-2</v>
      </c>
      <c r="AI119" s="12">
        <f t="shared" si="6"/>
        <v>9.5000000000000015E-3</v>
      </c>
      <c r="AK119" s="4">
        <v>46192</v>
      </c>
      <c r="AL119" s="6">
        <v>0.02</v>
      </c>
      <c r="AM119" s="3"/>
      <c r="AN119" s="3"/>
      <c r="AO119" s="3"/>
      <c r="AP119" s="3" t="s">
        <v>33</v>
      </c>
      <c r="AQ119" s="3" t="s">
        <v>33</v>
      </c>
      <c r="AR119" s="6">
        <v>1.18E-2</v>
      </c>
      <c r="AS119" s="2">
        <v>46192</v>
      </c>
      <c r="AT119" s="13">
        <v>3.2000000000000001E-2</v>
      </c>
      <c r="AU119" s="13">
        <v>4.4499999999999998E-2</v>
      </c>
      <c r="AV119" s="13">
        <v>0.04</v>
      </c>
      <c r="AW119" s="13">
        <v>6.3E-2</v>
      </c>
      <c r="AX119" s="13">
        <v>4.8000000000000001E-2</v>
      </c>
      <c r="AY119" s="13">
        <v>5.8999999999999997E-2</v>
      </c>
      <c r="AZ119" s="13">
        <v>3.5099999999999999E-2</v>
      </c>
      <c r="BA119" s="12">
        <f t="shared" si="5"/>
        <v>2.3300000000000001E-2</v>
      </c>
      <c r="BC119" s="4">
        <v>46192</v>
      </c>
      <c r="BD119" s="6">
        <v>1.0999999999999999E-2</v>
      </c>
      <c r="BE119" s="6">
        <v>1.12E-2</v>
      </c>
      <c r="BF119" s="6">
        <v>1.14E-2</v>
      </c>
      <c r="BG119" s="3"/>
      <c r="BH119" s="3"/>
      <c r="BI119" s="3"/>
      <c r="BJ119" s="6">
        <v>1.52E-2</v>
      </c>
      <c r="BK119" s="2">
        <v>46192</v>
      </c>
      <c r="BL119" s="57">
        <v>4.1000000000000002E-2</v>
      </c>
      <c r="BM119" s="1"/>
      <c r="BN119" s="57">
        <v>4.7399999999999998E-2</v>
      </c>
      <c r="BO119" s="1"/>
      <c r="BP119" s="1"/>
      <c r="BQ119" s="1"/>
      <c r="BR119" s="57">
        <v>3.3000000000000002E-2</v>
      </c>
      <c r="BS119" s="12">
        <f t="shared" si="3"/>
        <v>1.7800000000000003E-2</v>
      </c>
    </row>
    <row r="120" spans="1:71" x14ac:dyDescent="0.35">
      <c r="A120" s="4">
        <v>46193</v>
      </c>
      <c r="B120" s="3" t="s">
        <v>33</v>
      </c>
      <c r="C120" s="3" t="s">
        <v>33</v>
      </c>
      <c r="D120" s="3" t="s">
        <v>32</v>
      </c>
      <c r="E120" s="3" t="s">
        <v>33</v>
      </c>
      <c r="F120" s="3" t="s">
        <v>32</v>
      </c>
      <c r="G120" s="3" t="s">
        <v>33</v>
      </c>
      <c r="H120" s="9">
        <v>1.0200000000000001E-2</v>
      </c>
      <c r="I120" s="2">
        <v>46193</v>
      </c>
      <c r="J120" s="1" t="s">
        <v>33</v>
      </c>
      <c r="K120" s="1" t="s">
        <v>33</v>
      </c>
      <c r="L120" s="1" t="s">
        <v>32</v>
      </c>
      <c r="M120" s="1" t="s">
        <v>33</v>
      </c>
      <c r="N120" s="1" t="s">
        <v>32</v>
      </c>
      <c r="O120" s="1" t="s">
        <v>32</v>
      </c>
      <c r="P120" s="57">
        <v>3.15E-2</v>
      </c>
      <c r="Q120" s="84">
        <f t="shared" si="9"/>
        <v>2.1299999999999999E-2</v>
      </c>
      <c r="S120" s="4">
        <v>46193</v>
      </c>
      <c r="T120" s="3" t="s">
        <v>33</v>
      </c>
      <c r="U120" s="3" t="s">
        <v>33</v>
      </c>
      <c r="V120" s="3" t="s">
        <v>33</v>
      </c>
      <c r="W120" s="3" t="s">
        <v>33</v>
      </c>
      <c r="X120" s="6">
        <v>3.5000000000000003E-2</v>
      </c>
      <c r="Y120" s="3" t="s">
        <v>33</v>
      </c>
      <c r="Z120" s="6">
        <v>1.52E-2</v>
      </c>
      <c r="AA120" s="2">
        <v>46193</v>
      </c>
      <c r="AB120" s="1" t="s">
        <v>33</v>
      </c>
      <c r="AC120" s="1" t="s">
        <v>33</v>
      </c>
      <c r="AD120" s="1" t="s">
        <v>33</v>
      </c>
      <c r="AE120" s="1" t="s">
        <v>33</v>
      </c>
      <c r="AF120" s="1" t="s">
        <v>33</v>
      </c>
      <c r="AG120" s="1" t="s">
        <v>33</v>
      </c>
      <c r="AH120" s="57">
        <v>2.5000000000000001E-2</v>
      </c>
      <c r="AI120" s="12">
        <f t="shared" si="6"/>
        <v>9.8000000000000014E-3</v>
      </c>
      <c r="AK120" s="4">
        <v>46193</v>
      </c>
      <c r="AL120" s="6">
        <v>0.02</v>
      </c>
      <c r="AM120" s="3"/>
      <c r="AN120" s="3"/>
      <c r="AO120" s="3"/>
      <c r="AP120" s="3" t="s">
        <v>33</v>
      </c>
      <c r="AQ120" s="3" t="s">
        <v>33</v>
      </c>
      <c r="AR120" s="6">
        <v>1.18E-2</v>
      </c>
      <c r="AS120" s="2">
        <v>46193</v>
      </c>
      <c r="AT120" s="13">
        <v>3.2000000000000001E-2</v>
      </c>
      <c r="AU120" s="13">
        <v>3.2500000000000001E-2</v>
      </c>
      <c r="AV120" s="13">
        <v>3.6600000000000001E-2</v>
      </c>
      <c r="AW120" s="13">
        <v>3.8899999999999997E-2</v>
      </c>
      <c r="AX120" s="13">
        <v>4.65E-2</v>
      </c>
      <c r="AY120" s="13">
        <v>5.7799999999999997E-2</v>
      </c>
      <c r="AZ120" s="13">
        <v>3.5299999999999998E-2</v>
      </c>
      <c r="BA120" s="12">
        <f t="shared" si="5"/>
        <v>2.35E-2</v>
      </c>
      <c r="BC120" s="4">
        <v>46193</v>
      </c>
      <c r="BD120" s="6">
        <v>1.0999999999999999E-2</v>
      </c>
      <c r="BE120" s="6">
        <v>1.12E-2</v>
      </c>
      <c r="BF120" s="6">
        <v>1.14E-2</v>
      </c>
      <c r="BG120" s="3"/>
      <c r="BH120" s="3"/>
      <c r="BI120" s="3"/>
      <c r="BJ120" s="6">
        <v>1.4500000000000001E-2</v>
      </c>
      <c r="BK120" s="2">
        <v>46193</v>
      </c>
      <c r="BL120" s="57">
        <v>4.1000000000000002E-2</v>
      </c>
      <c r="BM120" s="1"/>
      <c r="BN120" s="57">
        <v>4.7399999999999998E-2</v>
      </c>
      <c r="BO120" s="1"/>
      <c r="BP120" s="1"/>
      <c r="BQ120" s="1"/>
      <c r="BR120" s="57">
        <v>3.1300000000000001E-2</v>
      </c>
      <c r="BS120" s="12">
        <f t="shared" si="3"/>
        <v>1.6800000000000002E-2</v>
      </c>
    </row>
    <row r="121" spans="1:71" x14ac:dyDescent="0.35">
      <c r="A121" s="4">
        <v>46194</v>
      </c>
      <c r="B121" s="3" t="s">
        <v>33</v>
      </c>
      <c r="C121" s="3" t="s">
        <v>33</v>
      </c>
      <c r="D121" s="3" t="s">
        <v>32</v>
      </c>
      <c r="E121" s="3" t="s">
        <v>33</v>
      </c>
      <c r="F121" s="3" t="s">
        <v>32</v>
      </c>
      <c r="G121" s="3" t="s">
        <v>33</v>
      </c>
      <c r="H121" s="9">
        <v>1.0200000000000001E-2</v>
      </c>
      <c r="I121" s="2">
        <v>46194</v>
      </c>
      <c r="J121" s="1" t="s">
        <v>33</v>
      </c>
      <c r="K121" s="1" t="s">
        <v>33</v>
      </c>
      <c r="L121" s="1" t="s">
        <v>32</v>
      </c>
      <c r="M121" s="1" t="s">
        <v>33</v>
      </c>
      <c r="N121" s="1" t="s">
        <v>32</v>
      </c>
      <c r="O121" s="1" t="s">
        <v>32</v>
      </c>
      <c r="P121" s="57">
        <v>3.1800000000000002E-2</v>
      </c>
      <c r="Q121" s="84">
        <f t="shared" si="9"/>
        <v>2.1600000000000001E-2</v>
      </c>
      <c r="S121" s="4">
        <v>46194</v>
      </c>
      <c r="T121" s="3" t="s">
        <v>33</v>
      </c>
      <c r="U121" s="3" t="s">
        <v>33</v>
      </c>
      <c r="V121" s="3" t="s">
        <v>33</v>
      </c>
      <c r="W121" s="3" t="s">
        <v>33</v>
      </c>
      <c r="X121" s="6">
        <v>3.5000000000000003E-2</v>
      </c>
      <c r="Y121" s="3" t="s">
        <v>33</v>
      </c>
      <c r="Z121" s="6">
        <v>1.52E-2</v>
      </c>
      <c r="AA121" s="2">
        <v>46194</v>
      </c>
      <c r="AB121" s="1" t="s">
        <v>33</v>
      </c>
      <c r="AC121" s="1" t="s">
        <v>33</v>
      </c>
      <c r="AD121" s="1" t="s">
        <v>33</v>
      </c>
      <c r="AE121" s="1" t="s">
        <v>33</v>
      </c>
      <c r="AF121" s="1" t="s">
        <v>33</v>
      </c>
      <c r="AG121" s="1" t="s">
        <v>33</v>
      </c>
      <c r="AH121" s="57">
        <v>2.5000000000000001E-2</v>
      </c>
      <c r="AI121" s="12">
        <f t="shared" si="6"/>
        <v>9.8000000000000014E-3</v>
      </c>
      <c r="AK121" s="4">
        <v>46194</v>
      </c>
      <c r="AL121" s="6">
        <v>0.02</v>
      </c>
      <c r="AM121" s="3"/>
      <c r="AN121" s="3"/>
      <c r="AO121" s="3"/>
      <c r="AP121" s="3" t="s">
        <v>33</v>
      </c>
      <c r="AQ121" s="3" t="s">
        <v>33</v>
      </c>
      <c r="AR121" s="6">
        <v>1.1299999999999999E-2</v>
      </c>
      <c r="AS121" s="2">
        <v>46194</v>
      </c>
      <c r="AT121" s="13">
        <v>3.2000000000000001E-2</v>
      </c>
      <c r="AU121" s="13">
        <v>3.2500000000000001E-2</v>
      </c>
      <c r="AV121" s="13">
        <v>3.6600000000000001E-2</v>
      </c>
      <c r="AW121" s="13">
        <v>3.8899999999999997E-2</v>
      </c>
      <c r="AX121" s="13">
        <v>4.65E-2</v>
      </c>
      <c r="AY121" s="13">
        <v>5.7799999999999997E-2</v>
      </c>
      <c r="AZ121" s="13">
        <v>3.5299999999999998E-2</v>
      </c>
      <c r="BA121" s="12">
        <f t="shared" si="5"/>
        <v>2.4E-2</v>
      </c>
      <c r="BC121" s="4">
        <v>46194</v>
      </c>
      <c r="BD121" s="6">
        <v>1.0999999999999999E-2</v>
      </c>
      <c r="BE121" s="6">
        <v>1.12E-2</v>
      </c>
      <c r="BF121" s="6">
        <v>1.14E-2</v>
      </c>
      <c r="BG121" s="3"/>
      <c r="BH121" s="3"/>
      <c r="BI121" s="3"/>
      <c r="BJ121" s="6">
        <v>2.01E-2</v>
      </c>
      <c r="BK121" s="2">
        <v>46194</v>
      </c>
      <c r="BL121" s="57">
        <v>5.9299999999999999E-2</v>
      </c>
      <c r="BM121" s="1"/>
      <c r="BN121" s="57">
        <v>7.1099999999999997E-2</v>
      </c>
      <c r="BO121" s="1"/>
      <c r="BP121" s="1"/>
      <c r="BQ121" s="1"/>
      <c r="BR121" s="57">
        <v>4.1700000000000001E-2</v>
      </c>
      <c r="BS121" s="12">
        <f t="shared" si="3"/>
        <v>2.1600000000000001E-2</v>
      </c>
    </row>
    <row r="122" spans="1:71" x14ac:dyDescent="0.35">
      <c r="A122" s="4">
        <v>46195</v>
      </c>
      <c r="B122" s="3" t="s">
        <v>33</v>
      </c>
      <c r="C122" s="3" t="s">
        <v>33</v>
      </c>
      <c r="D122" s="3" t="s">
        <v>32</v>
      </c>
      <c r="E122" s="3" t="s">
        <v>33</v>
      </c>
      <c r="F122" s="3" t="s">
        <v>32</v>
      </c>
      <c r="G122" s="3" t="s">
        <v>33</v>
      </c>
      <c r="H122" s="9">
        <v>1.0800000000000001E-2</v>
      </c>
      <c r="I122" s="2">
        <v>46195</v>
      </c>
      <c r="J122" s="1" t="s">
        <v>33</v>
      </c>
      <c r="K122" s="1" t="s">
        <v>33</v>
      </c>
      <c r="L122" s="1" t="s">
        <v>32</v>
      </c>
      <c r="M122" s="1" t="s">
        <v>33</v>
      </c>
      <c r="N122" s="1" t="s">
        <v>32</v>
      </c>
      <c r="O122" s="1" t="s">
        <v>32</v>
      </c>
      <c r="P122" s="57">
        <v>3.1800000000000002E-2</v>
      </c>
      <c r="Q122" s="84">
        <f t="shared" ref="Q122:Q132" si="10">P122-H122</f>
        <v>2.1000000000000001E-2</v>
      </c>
      <c r="S122" s="4">
        <v>46195</v>
      </c>
      <c r="T122" s="3" t="s">
        <v>33</v>
      </c>
      <c r="U122" s="3" t="s">
        <v>33</v>
      </c>
      <c r="V122" s="3" t="s">
        <v>33</v>
      </c>
      <c r="W122" s="3" t="s">
        <v>33</v>
      </c>
      <c r="X122" s="6">
        <v>3.5000000000000003E-2</v>
      </c>
      <c r="Y122" s="3" t="s">
        <v>33</v>
      </c>
      <c r="Z122" s="6">
        <v>1.46E-2</v>
      </c>
      <c r="AA122" s="2">
        <v>46195</v>
      </c>
      <c r="AB122" s="1" t="s">
        <v>33</v>
      </c>
      <c r="AC122" s="1" t="s">
        <v>33</v>
      </c>
      <c r="AD122" s="1" t="s">
        <v>33</v>
      </c>
      <c r="AE122" s="1" t="s">
        <v>33</v>
      </c>
      <c r="AF122" s="1" t="s">
        <v>33</v>
      </c>
      <c r="AG122" s="1" t="s">
        <v>33</v>
      </c>
      <c r="AH122" s="57">
        <v>2.5000000000000001E-2</v>
      </c>
      <c r="AI122" s="12">
        <f t="shared" si="6"/>
        <v>1.0400000000000001E-2</v>
      </c>
      <c r="AK122" s="4">
        <v>46195</v>
      </c>
      <c r="AL122" s="6">
        <v>0.02</v>
      </c>
      <c r="AM122" s="3"/>
      <c r="AN122" s="3"/>
      <c r="AO122" s="3"/>
      <c r="AP122" s="3" t="s">
        <v>33</v>
      </c>
      <c r="AQ122" s="3" t="s">
        <v>33</v>
      </c>
      <c r="AR122" s="6">
        <v>1.1299999999999999E-2</v>
      </c>
      <c r="AS122" s="2">
        <v>46195</v>
      </c>
      <c r="AT122" s="13">
        <v>3.2000000000000001E-2</v>
      </c>
      <c r="AU122" s="13">
        <v>3.2500000000000001E-2</v>
      </c>
      <c r="AV122" s="13">
        <v>3.6600000000000001E-2</v>
      </c>
      <c r="AW122" s="13">
        <v>3.8899999999999997E-2</v>
      </c>
      <c r="AX122" s="13">
        <v>4.65E-2</v>
      </c>
      <c r="AY122" s="13">
        <v>5.7799999999999997E-2</v>
      </c>
      <c r="AZ122" s="13">
        <v>3.5299999999999998E-2</v>
      </c>
      <c r="BA122" s="12">
        <f t="shared" si="5"/>
        <v>2.4E-2</v>
      </c>
      <c r="BC122" s="4">
        <v>46195</v>
      </c>
      <c r="BD122" s="6">
        <v>2.58E-2</v>
      </c>
      <c r="BE122" s="6">
        <v>2.6100000000000002E-2</v>
      </c>
      <c r="BF122" s="6">
        <v>2.63E-2</v>
      </c>
      <c r="BG122" s="3"/>
      <c r="BH122" s="3"/>
      <c r="BI122" s="3"/>
      <c r="BJ122" s="6">
        <v>2.1499999999999998E-2</v>
      </c>
      <c r="BK122" s="2">
        <v>46195</v>
      </c>
      <c r="BL122" s="57">
        <v>5.9299999999999999E-2</v>
      </c>
      <c r="BM122" s="1"/>
      <c r="BN122" s="57">
        <v>7.1099999999999997E-2</v>
      </c>
      <c r="BO122" s="1"/>
      <c r="BP122" s="1"/>
      <c r="BQ122" s="1"/>
      <c r="BR122" s="57">
        <v>4.9500000000000002E-2</v>
      </c>
      <c r="BS122" s="12">
        <f t="shared" si="3"/>
        <v>2.8000000000000004E-2</v>
      </c>
    </row>
    <row r="123" spans="1:71" x14ac:dyDescent="0.35">
      <c r="A123" s="4">
        <v>46196</v>
      </c>
      <c r="B123" s="3" t="s">
        <v>33</v>
      </c>
      <c r="C123" s="3" t="s">
        <v>33</v>
      </c>
      <c r="D123" s="3" t="s">
        <v>32</v>
      </c>
      <c r="E123" s="3" t="s">
        <v>33</v>
      </c>
      <c r="F123" s="3" t="s">
        <v>32</v>
      </c>
      <c r="G123" s="3" t="s">
        <v>33</v>
      </c>
      <c r="H123" s="9">
        <v>1.2E-2</v>
      </c>
      <c r="I123" s="2">
        <v>46196</v>
      </c>
      <c r="J123" s="1" t="s">
        <v>33</v>
      </c>
      <c r="K123" s="1" t="s">
        <v>33</v>
      </c>
      <c r="L123" s="1" t="s">
        <v>32</v>
      </c>
      <c r="M123" s="1" t="s">
        <v>33</v>
      </c>
      <c r="N123" s="1" t="s">
        <v>32</v>
      </c>
      <c r="O123" s="1" t="s">
        <v>32</v>
      </c>
      <c r="P123" s="57">
        <v>3.3500000000000002E-2</v>
      </c>
      <c r="Q123" s="84">
        <f t="shared" si="10"/>
        <v>2.1500000000000002E-2</v>
      </c>
      <c r="S123" s="4">
        <v>46196</v>
      </c>
      <c r="T123" s="3" t="s">
        <v>33</v>
      </c>
      <c r="U123" s="3" t="s">
        <v>33</v>
      </c>
      <c r="V123" s="3" t="s">
        <v>33</v>
      </c>
      <c r="W123" s="3" t="s">
        <v>33</v>
      </c>
      <c r="X123" s="6">
        <v>3.5000000000000003E-2</v>
      </c>
      <c r="Y123" s="3" t="s">
        <v>33</v>
      </c>
      <c r="Z123" s="6">
        <v>1.54E-2</v>
      </c>
      <c r="AA123" s="2">
        <v>46196</v>
      </c>
      <c r="AB123" s="1" t="s">
        <v>33</v>
      </c>
      <c r="AC123" s="1" t="s">
        <v>33</v>
      </c>
      <c r="AD123" s="1" t="s">
        <v>33</v>
      </c>
      <c r="AE123" s="1" t="s">
        <v>33</v>
      </c>
      <c r="AF123" s="1" t="s">
        <v>33</v>
      </c>
      <c r="AG123" s="1" t="s">
        <v>33</v>
      </c>
      <c r="AH123" s="57">
        <v>2.5000000000000001E-2</v>
      </c>
      <c r="AI123" s="12">
        <f t="shared" si="6"/>
        <v>9.6000000000000009E-3</v>
      </c>
      <c r="AK123" s="4">
        <v>46196</v>
      </c>
      <c r="AL123" s="6">
        <v>0.02</v>
      </c>
      <c r="AM123" s="3"/>
      <c r="AN123" s="3"/>
      <c r="AO123" s="3"/>
      <c r="AP123" s="3" t="s">
        <v>33</v>
      </c>
      <c r="AQ123" s="3" t="s">
        <v>33</v>
      </c>
      <c r="AR123" s="6">
        <v>1.2500000000000001E-2</v>
      </c>
      <c r="AS123" s="2">
        <v>46196</v>
      </c>
      <c r="AT123" s="13">
        <v>3.2000000000000001E-2</v>
      </c>
      <c r="AU123" s="13">
        <v>3.9899999999999998E-2</v>
      </c>
      <c r="AV123" s="13">
        <v>3.1E-2</v>
      </c>
      <c r="AW123" s="13">
        <v>6.0999999999999999E-2</v>
      </c>
      <c r="AX123" s="13">
        <v>4.9000000000000002E-2</v>
      </c>
      <c r="AY123" s="13">
        <v>5.9900000000000002E-2</v>
      </c>
      <c r="AZ123" s="13">
        <v>3.6299999999999999E-2</v>
      </c>
      <c r="BA123" s="12">
        <f t="shared" si="5"/>
        <v>2.3799999999999998E-2</v>
      </c>
      <c r="BC123" s="4">
        <v>46196</v>
      </c>
      <c r="BD123" s="6">
        <v>2.58E-2</v>
      </c>
      <c r="BE123" s="6">
        <v>2.6100000000000002E-2</v>
      </c>
      <c r="BF123" s="6">
        <v>2.63E-2</v>
      </c>
      <c r="BG123" s="3"/>
      <c r="BH123" s="3"/>
      <c r="BI123" s="3"/>
      <c r="BJ123" s="6">
        <v>2.1899999999999999E-2</v>
      </c>
      <c r="BK123" s="2">
        <v>46196</v>
      </c>
      <c r="BL123" s="57">
        <v>6.3299999999999995E-2</v>
      </c>
      <c r="BM123" s="1"/>
      <c r="BN123" s="57">
        <v>7.5899999999999995E-2</v>
      </c>
      <c r="BO123" s="1"/>
      <c r="BP123" s="1"/>
      <c r="BQ123" s="1"/>
      <c r="BR123" s="57">
        <v>5.28E-2</v>
      </c>
      <c r="BS123" s="12">
        <f t="shared" si="3"/>
        <v>3.09E-2</v>
      </c>
    </row>
    <row r="124" spans="1:71" x14ac:dyDescent="0.35">
      <c r="A124" s="4">
        <v>46197</v>
      </c>
      <c r="B124" s="3" t="s">
        <v>33</v>
      </c>
      <c r="C124" s="3" t="s">
        <v>33</v>
      </c>
      <c r="D124" s="3" t="s">
        <v>32</v>
      </c>
      <c r="E124" s="3" t="s">
        <v>33</v>
      </c>
      <c r="F124" s="3" t="s">
        <v>32</v>
      </c>
      <c r="G124" s="3" t="s">
        <v>33</v>
      </c>
      <c r="H124" s="9">
        <v>1.14E-2</v>
      </c>
      <c r="I124" s="2">
        <v>46197</v>
      </c>
      <c r="J124" s="1" t="s">
        <v>33</v>
      </c>
      <c r="K124" s="1" t="s">
        <v>33</v>
      </c>
      <c r="L124" s="1" t="s">
        <v>32</v>
      </c>
      <c r="M124" s="1" t="s">
        <v>33</v>
      </c>
      <c r="N124" s="1" t="s">
        <v>32</v>
      </c>
      <c r="O124" s="1" t="s">
        <v>32</v>
      </c>
      <c r="P124" s="57">
        <v>3.27E-2</v>
      </c>
      <c r="Q124" s="84">
        <f t="shared" si="10"/>
        <v>2.1299999999999999E-2</v>
      </c>
      <c r="S124" s="4">
        <v>46197</v>
      </c>
      <c r="T124" s="3" t="s">
        <v>33</v>
      </c>
      <c r="U124" s="3" t="s">
        <v>33</v>
      </c>
      <c r="V124" s="3" t="s">
        <v>33</v>
      </c>
      <c r="W124" s="3" t="s">
        <v>33</v>
      </c>
      <c r="X124" s="6">
        <v>3.5000000000000003E-2</v>
      </c>
      <c r="Y124" s="3" t="s">
        <v>33</v>
      </c>
      <c r="Z124" s="6">
        <v>1.55E-2</v>
      </c>
      <c r="AA124" s="2">
        <v>46197</v>
      </c>
      <c r="AB124" s="1" t="s">
        <v>33</v>
      </c>
      <c r="AC124" s="1" t="s">
        <v>33</v>
      </c>
      <c r="AD124" s="1" t="s">
        <v>33</v>
      </c>
      <c r="AE124" s="1" t="s">
        <v>33</v>
      </c>
      <c r="AF124" s="1" t="s">
        <v>33</v>
      </c>
      <c r="AG124" s="1" t="s">
        <v>33</v>
      </c>
      <c r="AH124" s="57">
        <v>2.5000000000000001E-2</v>
      </c>
      <c r="AI124" s="12">
        <f t="shared" si="6"/>
        <v>9.5000000000000015E-3</v>
      </c>
      <c r="AK124" s="4">
        <v>46197</v>
      </c>
      <c r="AL124" s="6">
        <v>0.02</v>
      </c>
      <c r="AM124" s="3"/>
      <c r="AN124" s="3"/>
      <c r="AO124" s="3"/>
      <c r="AP124" s="3" t="s">
        <v>33</v>
      </c>
      <c r="AQ124" s="3" t="s">
        <v>33</v>
      </c>
      <c r="AR124" s="6">
        <v>1.24E-2</v>
      </c>
      <c r="AS124" s="2">
        <v>46197</v>
      </c>
      <c r="AT124" s="13">
        <v>3.2000000000000001E-2</v>
      </c>
      <c r="AU124" s="13">
        <v>3.2000000000000001E-2</v>
      </c>
      <c r="AV124" s="13">
        <v>3.7999999999999999E-2</v>
      </c>
      <c r="AW124" s="13">
        <v>5.9700000000000003E-2</v>
      </c>
      <c r="AX124" s="13">
        <v>4.9000000000000002E-2</v>
      </c>
      <c r="AY124" s="13">
        <v>5.6899999999999999E-2</v>
      </c>
      <c r="AZ124" s="13">
        <v>3.6799999999999999E-2</v>
      </c>
      <c r="BA124" s="12">
        <f t="shared" si="5"/>
        <v>2.4399999999999998E-2</v>
      </c>
      <c r="BC124" s="4">
        <v>46197</v>
      </c>
      <c r="BD124" s="6">
        <v>2.58E-2</v>
      </c>
      <c r="BE124" s="6">
        <v>2.6100000000000002E-2</v>
      </c>
      <c r="BF124" s="6">
        <v>2.63E-2</v>
      </c>
      <c r="BG124" s="3"/>
      <c r="BH124" s="3"/>
      <c r="BI124" s="3"/>
      <c r="BJ124" s="6">
        <v>2.1999999999999999E-2</v>
      </c>
      <c r="BK124" s="2">
        <v>46197</v>
      </c>
      <c r="BL124" s="57">
        <v>6.3799999999999996E-2</v>
      </c>
      <c r="BM124" s="1"/>
      <c r="BN124" s="57">
        <v>7.6600000000000001E-2</v>
      </c>
      <c r="BO124" s="1"/>
      <c r="BP124" s="1"/>
      <c r="BQ124" s="1"/>
      <c r="BR124" s="57">
        <v>5.3199999999999997E-2</v>
      </c>
      <c r="BS124" s="12">
        <f t="shared" si="3"/>
        <v>3.1199999999999999E-2</v>
      </c>
    </row>
    <row r="125" spans="1:71" x14ac:dyDescent="0.35">
      <c r="A125" s="4">
        <v>46198</v>
      </c>
      <c r="B125" s="3" t="s">
        <v>33</v>
      </c>
      <c r="C125" s="3" t="s">
        <v>33</v>
      </c>
      <c r="D125" s="3" t="s">
        <v>32</v>
      </c>
      <c r="E125" s="3" t="s">
        <v>33</v>
      </c>
      <c r="F125" s="3" t="s">
        <v>32</v>
      </c>
      <c r="G125" s="3" t="s">
        <v>33</v>
      </c>
      <c r="H125" s="9">
        <v>1.12E-2</v>
      </c>
      <c r="I125" s="2">
        <v>46198</v>
      </c>
      <c r="J125" s="1" t="s">
        <v>33</v>
      </c>
      <c r="K125" s="1" t="s">
        <v>33</v>
      </c>
      <c r="L125" s="1" t="s">
        <v>32</v>
      </c>
      <c r="M125" s="1" t="s">
        <v>33</v>
      </c>
      <c r="N125" s="1" t="s">
        <v>32</v>
      </c>
      <c r="O125" s="1" t="s">
        <v>32</v>
      </c>
      <c r="P125" s="57">
        <v>3.2399999999999998E-2</v>
      </c>
      <c r="Q125" s="84">
        <f t="shared" si="10"/>
        <v>2.1199999999999997E-2</v>
      </c>
      <c r="S125" s="4">
        <v>46198</v>
      </c>
      <c r="T125" s="3" t="s">
        <v>33</v>
      </c>
      <c r="U125" s="3" t="s">
        <v>33</v>
      </c>
      <c r="V125" s="3" t="s">
        <v>33</v>
      </c>
      <c r="W125" s="3" t="s">
        <v>33</v>
      </c>
      <c r="X125" s="6">
        <v>3.5000000000000003E-2</v>
      </c>
      <c r="Y125" s="3" t="s">
        <v>33</v>
      </c>
      <c r="Z125" s="6">
        <v>1.5699999999999999E-2</v>
      </c>
      <c r="AA125" s="2">
        <v>46198</v>
      </c>
      <c r="AB125" s="1" t="s">
        <v>33</v>
      </c>
      <c r="AC125" s="1" t="s">
        <v>33</v>
      </c>
      <c r="AD125" s="1" t="s">
        <v>33</v>
      </c>
      <c r="AE125" s="1" t="s">
        <v>33</v>
      </c>
      <c r="AF125" s="1" t="s">
        <v>33</v>
      </c>
      <c r="AG125" s="1" t="s">
        <v>33</v>
      </c>
      <c r="AH125" s="57">
        <v>2.5000000000000001E-2</v>
      </c>
      <c r="AI125" s="12">
        <f t="shared" si="6"/>
        <v>9.3000000000000027E-3</v>
      </c>
      <c r="AK125" s="4">
        <v>46198</v>
      </c>
      <c r="AL125" s="6">
        <v>0.02</v>
      </c>
      <c r="AM125" s="3"/>
      <c r="AN125" s="3"/>
      <c r="AO125" s="3"/>
      <c r="AP125" s="3" t="s">
        <v>33</v>
      </c>
      <c r="AQ125" s="3" t="s">
        <v>33</v>
      </c>
      <c r="AR125" s="6">
        <v>1.1900000000000001E-2</v>
      </c>
      <c r="AS125" s="2">
        <v>46198</v>
      </c>
      <c r="AT125" s="13">
        <v>3.2000000000000001E-2</v>
      </c>
      <c r="AU125" s="13">
        <v>0.04</v>
      </c>
      <c r="AV125" s="13">
        <v>4.5999999999999999E-2</v>
      </c>
      <c r="AW125" s="13">
        <v>5.96E-2</v>
      </c>
      <c r="AX125" s="13">
        <v>4.9000000000000002E-2</v>
      </c>
      <c r="AY125" s="13">
        <v>5.96E-2</v>
      </c>
      <c r="AZ125" s="13">
        <v>3.61E-2</v>
      </c>
      <c r="BA125" s="12">
        <f t="shared" si="5"/>
        <v>2.4199999999999999E-2</v>
      </c>
      <c r="BC125" s="4">
        <v>46198</v>
      </c>
      <c r="BD125" s="6">
        <v>2.58E-2</v>
      </c>
      <c r="BE125" s="6">
        <v>2.6100000000000002E-2</v>
      </c>
      <c r="BF125" s="6">
        <v>2.63E-2</v>
      </c>
      <c r="BG125" s="3"/>
      <c r="BH125" s="3"/>
      <c r="BI125" s="3"/>
      <c r="BJ125" s="6">
        <v>1.9900000000000001E-2</v>
      </c>
      <c r="BK125" s="2">
        <v>46198</v>
      </c>
      <c r="BL125" s="57">
        <v>6.3200000000000006E-2</v>
      </c>
      <c r="BM125" s="1"/>
      <c r="BN125" s="57">
        <v>7.5800000000000006E-2</v>
      </c>
      <c r="BO125" s="1"/>
      <c r="BP125" s="1"/>
      <c r="BQ125" s="1"/>
      <c r="BR125" s="57">
        <v>5.2699999999999997E-2</v>
      </c>
      <c r="BS125" s="12">
        <f t="shared" si="3"/>
        <v>3.2799999999999996E-2</v>
      </c>
    </row>
    <row r="126" spans="1:71" x14ac:dyDescent="0.35">
      <c r="A126" s="4">
        <v>46199</v>
      </c>
      <c r="B126" s="3" t="s">
        <v>33</v>
      </c>
      <c r="C126" s="3" t="s">
        <v>33</v>
      </c>
      <c r="D126" s="3" t="s">
        <v>32</v>
      </c>
      <c r="E126" s="3" t="s">
        <v>33</v>
      </c>
      <c r="F126" s="3" t="s">
        <v>32</v>
      </c>
      <c r="G126" s="3" t="s">
        <v>33</v>
      </c>
      <c r="H126" s="9">
        <v>1.17E-2</v>
      </c>
      <c r="I126" s="2">
        <v>46199</v>
      </c>
      <c r="J126" s="1" t="s">
        <v>33</v>
      </c>
      <c r="K126" s="1" t="s">
        <v>33</v>
      </c>
      <c r="L126" s="1" t="s">
        <v>32</v>
      </c>
      <c r="M126" s="1" t="s">
        <v>33</v>
      </c>
      <c r="N126" s="1" t="s">
        <v>32</v>
      </c>
      <c r="O126" s="1" t="s">
        <v>32</v>
      </c>
      <c r="P126" s="57">
        <v>3.32E-2</v>
      </c>
      <c r="Q126" s="84">
        <f t="shared" si="10"/>
        <v>2.1499999999999998E-2</v>
      </c>
      <c r="S126" s="4">
        <v>46199</v>
      </c>
      <c r="T126" s="3" t="s">
        <v>33</v>
      </c>
      <c r="U126" s="3" t="s">
        <v>33</v>
      </c>
      <c r="V126" s="3" t="s">
        <v>33</v>
      </c>
      <c r="W126" s="3" t="s">
        <v>33</v>
      </c>
      <c r="X126" s="6">
        <v>3.5000000000000003E-2</v>
      </c>
      <c r="Y126" s="3" t="s">
        <v>33</v>
      </c>
      <c r="Z126" s="6">
        <v>1.5800000000000002E-2</v>
      </c>
      <c r="AA126" s="2">
        <v>46199</v>
      </c>
      <c r="AB126" s="1" t="s">
        <v>33</v>
      </c>
      <c r="AC126" s="1" t="s">
        <v>33</v>
      </c>
      <c r="AD126" s="1" t="s">
        <v>33</v>
      </c>
      <c r="AE126" s="1" t="s">
        <v>33</v>
      </c>
      <c r="AF126" s="1" t="s">
        <v>33</v>
      </c>
      <c r="AG126" s="1" t="s">
        <v>33</v>
      </c>
      <c r="AH126" s="57">
        <v>2.5000000000000001E-2</v>
      </c>
      <c r="AI126" s="12">
        <f t="shared" si="6"/>
        <v>9.1999999999999998E-3</v>
      </c>
      <c r="AK126" s="4">
        <v>46199</v>
      </c>
      <c r="AL126" s="6">
        <v>0.02</v>
      </c>
      <c r="AM126" s="3"/>
      <c r="AN126" s="3"/>
      <c r="AO126" s="3"/>
      <c r="AP126" s="3" t="s">
        <v>33</v>
      </c>
      <c r="AQ126" s="3" t="s">
        <v>33</v>
      </c>
      <c r="AR126" s="6">
        <v>1.23E-2</v>
      </c>
      <c r="AS126" s="2">
        <v>46199</v>
      </c>
      <c r="AT126" s="13">
        <v>3.2000000000000001E-2</v>
      </c>
      <c r="AU126" s="13">
        <v>3.9899999999999998E-2</v>
      </c>
      <c r="AV126" s="13">
        <v>4.1000000000000002E-2</v>
      </c>
      <c r="AW126" s="13">
        <v>5.9299999999999999E-2</v>
      </c>
      <c r="AX126" s="13">
        <v>4.0899999999999999E-2</v>
      </c>
      <c r="AY126" s="13" t="s">
        <v>66</v>
      </c>
      <c r="AZ126" s="13">
        <v>3.6999999999999998E-2</v>
      </c>
      <c r="BA126" s="12">
        <f t="shared" si="5"/>
        <v>2.47E-2</v>
      </c>
      <c r="BC126" s="4">
        <v>46199</v>
      </c>
      <c r="BD126" s="6">
        <v>2.1000000000000001E-2</v>
      </c>
      <c r="BE126" s="6">
        <v>2.1499999999999998E-2</v>
      </c>
      <c r="BF126" s="6">
        <v>2.1899999999999999E-2</v>
      </c>
      <c r="BG126" s="3"/>
      <c r="BH126" s="3"/>
      <c r="BI126" s="3"/>
      <c r="BJ126" s="6">
        <v>2.07E-2</v>
      </c>
      <c r="BK126" s="2">
        <v>46199</v>
      </c>
      <c r="BL126" s="57">
        <v>6.4699999999999994E-2</v>
      </c>
      <c r="BM126" s="1"/>
      <c r="BN126" s="57">
        <v>7.7700000000000005E-2</v>
      </c>
      <c r="BO126" s="1"/>
      <c r="BP126" s="1"/>
      <c r="BQ126" s="1"/>
      <c r="BR126" s="57">
        <v>5.3999999999999999E-2</v>
      </c>
      <c r="BS126" s="12">
        <f t="shared" si="3"/>
        <v>3.3299999999999996E-2</v>
      </c>
    </row>
    <row r="127" spans="1:71" x14ac:dyDescent="0.35">
      <c r="A127" s="4">
        <v>46200</v>
      </c>
      <c r="B127" s="3" t="s">
        <v>33</v>
      </c>
      <c r="C127" s="3" t="s">
        <v>33</v>
      </c>
      <c r="D127" s="3" t="s">
        <v>32</v>
      </c>
      <c r="E127" s="3" t="s">
        <v>33</v>
      </c>
      <c r="F127" s="3" t="s">
        <v>32</v>
      </c>
      <c r="G127" s="3" t="s">
        <v>33</v>
      </c>
      <c r="H127" s="9">
        <v>1.1299999999999999E-2</v>
      </c>
      <c r="I127" s="2">
        <v>46200</v>
      </c>
      <c r="J127" s="1" t="s">
        <v>33</v>
      </c>
      <c r="K127" s="1" t="s">
        <v>33</v>
      </c>
      <c r="L127" s="1" t="s">
        <v>32</v>
      </c>
      <c r="M127" s="1" t="s">
        <v>33</v>
      </c>
      <c r="N127" s="1" t="s">
        <v>32</v>
      </c>
      <c r="O127" s="1" t="s">
        <v>32</v>
      </c>
      <c r="P127" s="57">
        <v>3.39E-2</v>
      </c>
      <c r="Q127" s="84">
        <f t="shared" si="10"/>
        <v>2.2600000000000002E-2</v>
      </c>
      <c r="S127" s="4">
        <v>46200</v>
      </c>
      <c r="T127" s="3" t="s">
        <v>33</v>
      </c>
      <c r="U127" s="3" t="s">
        <v>33</v>
      </c>
      <c r="V127" s="3" t="s">
        <v>33</v>
      </c>
      <c r="W127" s="3" t="s">
        <v>33</v>
      </c>
      <c r="X127" s="6">
        <v>3.5000000000000003E-2</v>
      </c>
      <c r="Y127" s="3" t="s">
        <v>33</v>
      </c>
      <c r="Z127" s="6">
        <v>1.6299999999999999E-2</v>
      </c>
      <c r="AA127" s="2">
        <v>46200</v>
      </c>
      <c r="AB127" s="1" t="s">
        <v>33</v>
      </c>
      <c r="AC127" s="1" t="s">
        <v>33</v>
      </c>
      <c r="AD127" s="1" t="s">
        <v>33</v>
      </c>
      <c r="AE127" s="1" t="s">
        <v>33</v>
      </c>
      <c r="AF127" s="1" t="s">
        <v>33</v>
      </c>
      <c r="AG127" s="1" t="s">
        <v>33</v>
      </c>
      <c r="AH127" s="57">
        <v>2.5000000000000001E-2</v>
      </c>
      <c r="AI127" s="12">
        <f t="shared" si="6"/>
        <v>8.7000000000000029E-3</v>
      </c>
      <c r="AK127" s="4">
        <v>46200</v>
      </c>
      <c r="AL127" s="6">
        <v>0.02</v>
      </c>
      <c r="AM127" s="3"/>
      <c r="AN127" s="3"/>
      <c r="AO127" s="3"/>
      <c r="AP127" s="3" t="s">
        <v>33</v>
      </c>
      <c r="AQ127" s="3" t="s">
        <v>33</v>
      </c>
      <c r="AR127" s="6">
        <v>1.23E-2</v>
      </c>
      <c r="AS127" s="2">
        <v>46200</v>
      </c>
      <c r="AT127" s="13">
        <v>3.2000000000000001E-2</v>
      </c>
      <c r="AU127" s="13">
        <v>3.78E-2</v>
      </c>
      <c r="AV127" s="13">
        <v>4.0800000000000003E-2</v>
      </c>
      <c r="AW127" s="13">
        <v>5.8400000000000001E-2</v>
      </c>
      <c r="AX127" s="13">
        <v>0.04</v>
      </c>
      <c r="AY127" s="13">
        <v>4.3999999999999997E-2</v>
      </c>
      <c r="AZ127" s="13">
        <v>3.6600000000000001E-2</v>
      </c>
      <c r="BA127" s="12">
        <f t="shared" si="5"/>
        <v>2.4300000000000002E-2</v>
      </c>
      <c r="BC127" s="4">
        <v>46200</v>
      </c>
      <c r="BD127" s="6">
        <v>1.52E-2</v>
      </c>
      <c r="BE127" s="6">
        <v>1.55E-2</v>
      </c>
      <c r="BF127" s="6">
        <v>1.5800000000000002E-2</v>
      </c>
      <c r="BG127" s="3"/>
      <c r="BH127" s="3"/>
      <c r="BI127" s="3"/>
      <c r="BJ127" s="6">
        <v>2.0299999999999999E-2</v>
      </c>
      <c r="BK127" s="2">
        <v>46200</v>
      </c>
      <c r="BL127" s="57">
        <v>5.1900000000000002E-2</v>
      </c>
      <c r="BM127" s="1"/>
      <c r="BN127" s="57">
        <v>6.2199999999999998E-2</v>
      </c>
      <c r="BO127" s="1"/>
      <c r="BP127" s="1"/>
      <c r="BQ127" s="1"/>
      <c r="BR127" s="57">
        <v>5.3600000000000002E-2</v>
      </c>
      <c r="BS127" s="12">
        <f t="shared" si="3"/>
        <v>3.3300000000000003E-2</v>
      </c>
    </row>
    <row r="128" spans="1:71" x14ac:dyDescent="0.35">
      <c r="A128" s="4">
        <v>46201</v>
      </c>
      <c r="B128" s="3" t="s">
        <v>33</v>
      </c>
      <c r="C128" s="3" t="s">
        <v>33</v>
      </c>
      <c r="D128" s="3" t="s">
        <v>32</v>
      </c>
      <c r="E128" s="3" t="s">
        <v>33</v>
      </c>
      <c r="F128" s="3" t="s">
        <v>32</v>
      </c>
      <c r="G128" s="3" t="s">
        <v>33</v>
      </c>
      <c r="H128" s="9">
        <v>1.12E-2</v>
      </c>
      <c r="I128" s="2">
        <v>46201</v>
      </c>
      <c r="J128" s="1" t="s">
        <v>33</v>
      </c>
      <c r="K128" s="1" t="s">
        <v>33</v>
      </c>
      <c r="L128" s="1" t="s">
        <v>32</v>
      </c>
      <c r="M128" s="1" t="s">
        <v>33</v>
      </c>
      <c r="N128" s="1" t="s">
        <v>32</v>
      </c>
      <c r="O128" s="1" t="s">
        <v>32</v>
      </c>
      <c r="P128" s="57">
        <v>3.4200000000000001E-2</v>
      </c>
      <c r="Q128" s="84">
        <f t="shared" si="10"/>
        <v>2.3E-2</v>
      </c>
      <c r="S128" s="4">
        <v>46201</v>
      </c>
      <c r="T128" s="3" t="s">
        <v>33</v>
      </c>
      <c r="U128" s="3" t="s">
        <v>33</v>
      </c>
      <c r="V128" s="3" t="s">
        <v>33</v>
      </c>
      <c r="W128" s="3" t="s">
        <v>33</v>
      </c>
      <c r="X128" s="6">
        <v>3.5000000000000003E-2</v>
      </c>
      <c r="Y128" s="3" t="s">
        <v>33</v>
      </c>
      <c r="Z128" s="6">
        <v>1.5800000000000002E-2</v>
      </c>
      <c r="AA128" s="2">
        <v>46201</v>
      </c>
      <c r="AB128" s="1" t="s">
        <v>33</v>
      </c>
      <c r="AC128" s="1" t="s">
        <v>33</v>
      </c>
      <c r="AD128" s="1" t="s">
        <v>33</v>
      </c>
      <c r="AE128" s="1" t="s">
        <v>33</v>
      </c>
      <c r="AF128" s="1" t="s">
        <v>33</v>
      </c>
      <c r="AG128" s="1" t="s">
        <v>33</v>
      </c>
      <c r="AH128" s="57">
        <v>2.5000000000000001E-2</v>
      </c>
      <c r="AI128" s="12">
        <f t="shared" si="6"/>
        <v>9.1999999999999998E-3</v>
      </c>
      <c r="AK128" s="4">
        <v>46201</v>
      </c>
      <c r="AL128" s="6">
        <v>0.02</v>
      </c>
      <c r="AM128" s="3"/>
      <c r="AN128" s="3"/>
      <c r="AO128" s="3"/>
      <c r="AP128" s="3" t="s">
        <v>33</v>
      </c>
      <c r="AQ128" s="3" t="s">
        <v>33</v>
      </c>
      <c r="AR128" s="6">
        <v>1.23E-2</v>
      </c>
      <c r="AS128" s="2">
        <v>46201</v>
      </c>
      <c r="AT128" s="13">
        <v>3.2000000000000001E-2</v>
      </c>
      <c r="AU128" s="13">
        <v>3.78E-2</v>
      </c>
      <c r="AV128" s="13">
        <v>4.0800000000000003E-2</v>
      </c>
      <c r="AW128" s="13">
        <v>5.8400000000000001E-2</v>
      </c>
      <c r="AX128" s="13">
        <v>0.04</v>
      </c>
      <c r="AY128" s="13">
        <v>4.3999999999999997E-2</v>
      </c>
      <c r="AZ128" s="13">
        <v>3.6600000000000001E-2</v>
      </c>
      <c r="BA128" s="12">
        <f t="shared" si="5"/>
        <v>2.4300000000000002E-2</v>
      </c>
      <c r="BC128" s="4">
        <v>46201</v>
      </c>
      <c r="BD128" s="6">
        <v>1.52E-2</v>
      </c>
      <c r="BE128" s="6">
        <v>1.55E-2</v>
      </c>
      <c r="BF128" s="6">
        <v>1.5800000000000002E-2</v>
      </c>
      <c r="BG128" s="3"/>
      <c r="BH128" s="3"/>
      <c r="BI128" s="3"/>
      <c r="BJ128" s="6">
        <v>1.9300000000000001E-2</v>
      </c>
      <c r="BK128" s="2">
        <v>46201</v>
      </c>
      <c r="BL128" s="57">
        <v>5.1900000000000002E-2</v>
      </c>
      <c r="BM128" s="1"/>
      <c r="BN128" s="57">
        <v>6.2199999999999998E-2</v>
      </c>
      <c r="BO128" s="1"/>
      <c r="BP128" s="1"/>
      <c r="BQ128" s="1"/>
      <c r="BR128" s="57">
        <v>5.3600000000000002E-2</v>
      </c>
      <c r="BS128" s="12">
        <f t="shared" si="3"/>
        <v>3.4299999999999997E-2</v>
      </c>
    </row>
    <row r="129" spans="1:71" x14ac:dyDescent="0.35">
      <c r="A129" s="4">
        <v>46202</v>
      </c>
      <c r="B129" s="3" t="s">
        <v>33</v>
      </c>
      <c r="C129" s="3" t="s">
        <v>33</v>
      </c>
      <c r="D129" s="3" t="s">
        <v>32</v>
      </c>
      <c r="E129" s="3" t="s">
        <v>33</v>
      </c>
      <c r="F129" s="3" t="s">
        <v>32</v>
      </c>
      <c r="G129" s="3" t="s">
        <v>33</v>
      </c>
      <c r="H129" s="9">
        <v>1.1599999999999999E-2</v>
      </c>
      <c r="I129" s="2">
        <v>46202</v>
      </c>
      <c r="J129" s="1" t="s">
        <v>33</v>
      </c>
      <c r="K129" s="1" t="s">
        <v>33</v>
      </c>
      <c r="L129" s="1" t="s">
        <v>32</v>
      </c>
      <c r="M129" s="1" t="s">
        <v>33</v>
      </c>
      <c r="N129" s="1" t="s">
        <v>32</v>
      </c>
      <c r="O129" s="1" t="s">
        <v>32</v>
      </c>
      <c r="P129" s="57">
        <v>3.2899999999999999E-2</v>
      </c>
      <c r="Q129" s="84">
        <f t="shared" si="10"/>
        <v>2.1299999999999999E-2</v>
      </c>
      <c r="S129" s="4">
        <v>46202</v>
      </c>
      <c r="T129" s="3" t="s">
        <v>33</v>
      </c>
      <c r="U129" s="3" t="s">
        <v>33</v>
      </c>
      <c r="V129" s="3" t="s">
        <v>33</v>
      </c>
      <c r="W129" s="3" t="s">
        <v>33</v>
      </c>
      <c r="X129" s="6">
        <v>3.5000000000000003E-2</v>
      </c>
      <c r="Y129" s="3" t="s">
        <v>33</v>
      </c>
      <c r="Z129" s="6">
        <v>1.5100000000000001E-2</v>
      </c>
      <c r="AA129" s="2">
        <v>46202</v>
      </c>
      <c r="AB129" s="1" t="s">
        <v>33</v>
      </c>
      <c r="AC129" s="1" t="s">
        <v>33</v>
      </c>
      <c r="AD129" s="1" t="s">
        <v>33</v>
      </c>
      <c r="AE129" s="1" t="s">
        <v>33</v>
      </c>
      <c r="AF129" s="1" t="s">
        <v>33</v>
      </c>
      <c r="AG129" s="1" t="s">
        <v>33</v>
      </c>
      <c r="AH129" s="57">
        <v>2.5000000000000001E-2</v>
      </c>
      <c r="AI129" s="12">
        <f t="shared" si="6"/>
        <v>9.9000000000000008E-3</v>
      </c>
      <c r="AK129" s="4">
        <v>46202</v>
      </c>
      <c r="AL129" s="6">
        <v>0.02</v>
      </c>
      <c r="AM129" s="3"/>
      <c r="AN129" s="3"/>
      <c r="AO129" s="3"/>
      <c r="AP129" s="3" t="s">
        <v>33</v>
      </c>
      <c r="AQ129" s="3" t="s">
        <v>33</v>
      </c>
      <c r="AR129" s="6">
        <v>1.23E-2</v>
      </c>
      <c r="AS129" s="2">
        <v>46202</v>
      </c>
      <c r="AT129" s="13">
        <v>3.2000000000000001E-2</v>
      </c>
      <c r="AU129" s="13">
        <v>3.78E-2</v>
      </c>
      <c r="AV129" s="13">
        <v>4.0800000000000003E-2</v>
      </c>
      <c r="AW129" s="13">
        <v>5.8400000000000001E-2</v>
      </c>
      <c r="AX129" s="13">
        <v>0.04</v>
      </c>
      <c r="AY129" s="13">
        <v>4.3999999999999997E-2</v>
      </c>
      <c r="AZ129" s="13">
        <v>3.6600000000000001E-2</v>
      </c>
      <c r="BA129" s="12">
        <f t="shared" si="5"/>
        <v>2.4300000000000002E-2</v>
      </c>
      <c r="BC129" s="4">
        <v>46202</v>
      </c>
      <c r="BD129" s="6">
        <v>1.52E-2</v>
      </c>
      <c r="BE129" s="6">
        <v>1.55E-2</v>
      </c>
      <c r="BF129" s="6">
        <v>1.5800000000000002E-2</v>
      </c>
      <c r="BG129" s="3"/>
      <c r="BH129" s="3"/>
      <c r="BI129" s="3"/>
      <c r="BJ129" s="6">
        <v>1.84E-2</v>
      </c>
      <c r="BK129" s="2">
        <v>46202</v>
      </c>
      <c r="BL129" s="57">
        <v>5.1900000000000002E-2</v>
      </c>
      <c r="BM129" s="1"/>
      <c r="BN129" s="57">
        <v>6.2199999999999998E-2</v>
      </c>
      <c r="BO129" s="1"/>
      <c r="BP129" s="1"/>
      <c r="BQ129" s="1"/>
      <c r="BR129" s="57">
        <v>4.3200000000000002E-2</v>
      </c>
      <c r="BS129" s="12">
        <f t="shared" si="3"/>
        <v>2.4800000000000003E-2</v>
      </c>
    </row>
    <row r="130" spans="1:71" x14ac:dyDescent="0.35">
      <c r="A130" s="4">
        <v>46203</v>
      </c>
      <c r="B130" s="3" t="s">
        <v>33</v>
      </c>
      <c r="C130" s="3" t="s">
        <v>33</v>
      </c>
      <c r="D130" s="3" t="s">
        <v>32</v>
      </c>
      <c r="E130" s="3" t="s">
        <v>33</v>
      </c>
      <c r="F130" s="3" t="s">
        <v>32</v>
      </c>
      <c r="G130" s="3" t="s">
        <v>33</v>
      </c>
      <c r="H130" s="9">
        <v>1.3599999999999999E-2</v>
      </c>
      <c r="I130" s="2">
        <v>46203</v>
      </c>
      <c r="J130" s="1" t="s">
        <v>33</v>
      </c>
      <c r="K130" s="1" t="s">
        <v>33</v>
      </c>
      <c r="L130" s="1" t="s">
        <v>32</v>
      </c>
      <c r="M130" s="1" t="s">
        <v>33</v>
      </c>
      <c r="N130" s="1" t="s">
        <v>32</v>
      </c>
      <c r="O130" s="1" t="s">
        <v>32</v>
      </c>
      <c r="P130" s="57">
        <v>3.5900000000000001E-2</v>
      </c>
      <c r="Q130" s="84">
        <f t="shared" si="10"/>
        <v>2.23E-2</v>
      </c>
      <c r="S130" s="4">
        <v>46203</v>
      </c>
      <c r="T130" s="3" t="s">
        <v>33</v>
      </c>
      <c r="U130" s="3" t="s">
        <v>33</v>
      </c>
      <c r="V130" s="3" t="s">
        <v>33</v>
      </c>
      <c r="W130" s="3" t="s">
        <v>33</v>
      </c>
      <c r="X130" s="6">
        <v>3.5000000000000003E-2</v>
      </c>
      <c r="Y130" s="3" t="s">
        <v>33</v>
      </c>
      <c r="Z130" s="6">
        <v>1.6199999999999999E-2</v>
      </c>
      <c r="AA130" s="2">
        <v>46203</v>
      </c>
      <c r="AB130" s="1" t="s">
        <v>33</v>
      </c>
      <c r="AC130" s="1" t="s">
        <v>33</v>
      </c>
      <c r="AD130" s="1" t="s">
        <v>33</v>
      </c>
      <c r="AE130" s="1" t="s">
        <v>33</v>
      </c>
      <c r="AF130" s="1" t="s">
        <v>33</v>
      </c>
      <c r="AG130" s="1" t="s">
        <v>33</v>
      </c>
      <c r="AH130" s="57">
        <v>2.5000000000000001E-2</v>
      </c>
      <c r="AI130" s="12">
        <f t="shared" si="6"/>
        <v>8.8000000000000023E-3</v>
      </c>
      <c r="AK130" s="4">
        <v>46203</v>
      </c>
      <c r="AL130" s="6">
        <v>0.02</v>
      </c>
      <c r="AM130" s="3"/>
      <c r="AN130" s="3"/>
      <c r="AO130" s="3"/>
      <c r="AP130" s="3" t="s">
        <v>33</v>
      </c>
      <c r="AQ130" s="3" t="s">
        <v>33</v>
      </c>
      <c r="AR130" s="6">
        <v>1.38E-2</v>
      </c>
      <c r="AS130" s="2">
        <v>46203</v>
      </c>
      <c r="AT130" s="13">
        <v>0.03</v>
      </c>
      <c r="AU130" s="13">
        <v>3.1899999999999998E-2</v>
      </c>
      <c r="AV130" s="13">
        <v>3.9E-2</v>
      </c>
      <c r="AW130" s="13">
        <v>5.7799999999999997E-2</v>
      </c>
      <c r="AX130" s="13">
        <v>4.4999999999999998E-2</v>
      </c>
      <c r="AY130" s="13">
        <v>4.1000000000000002E-2</v>
      </c>
      <c r="AZ130" s="13">
        <v>3.9800000000000002E-2</v>
      </c>
      <c r="BA130" s="12">
        <f t="shared" si="5"/>
        <v>2.6000000000000002E-2</v>
      </c>
      <c r="BC130" s="4">
        <v>46203</v>
      </c>
      <c r="BD130" s="6">
        <v>1.52E-2</v>
      </c>
      <c r="BE130" s="6">
        <v>1.55E-2</v>
      </c>
      <c r="BF130" s="6">
        <v>1.5800000000000002E-2</v>
      </c>
      <c r="BG130" s="3"/>
      <c r="BH130" s="3"/>
      <c r="BI130" s="3"/>
      <c r="BJ130" s="6">
        <v>1.84E-2</v>
      </c>
      <c r="BK130" s="2">
        <v>46203</v>
      </c>
      <c r="BL130" s="57">
        <v>5.1900000000000002E-2</v>
      </c>
      <c r="BM130" s="1"/>
      <c r="BN130" s="57">
        <v>6.2199999999999998E-2</v>
      </c>
      <c r="BO130" s="1"/>
      <c r="BP130" s="1"/>
      <c r="BQ130" s="1"/>
      <c r="BR130" s="57">
        <v>4.3200000000000002E-2</v>
      </c>
      <c r="BS130" s="12">
        <f t="shared" si="3"/>
        <v>2.4800000000000003E-2</v>
      </c>
    </row>
    <row r="131" spans="1:71" x14ac:dyDescent="0.35">
      <c r="A131" s="4">
        <v>46204</v>
      </c>
      <c r="B131" s="3" t="s">
        <v>33</v>
      </c>
      <c r="C131" s="3" t="s">
        <v>33</v>
      </c>
      <c r="D131" s="3" t="s">
        <v>32</v>
      </c>
      <c r="E131" s="3" t="s">
        <v>33</v>
      </c>
      <c r="F131" s="3" t="s">
        <v>32</v>
      </c>
      <c r="G131" s="3" t="s">
        <v>33</v>
      </c>
      <c r="H131" s="9">
        <v>1.35E-2</v>
      </c>
      <c r="I131" s="2">
        <v>46204</v>
      </c>
      <c r="J131" s="1" t="s">
        <v>33</v>
      </c>
      <c r="K131" s="1" t="s">
        <v>33</v>
      </c>
      <c r="L131" s="1" t="s">
        <v>32</v>
      </c>
      <c r="M131" s="1" t="s">
        <v>33</v>
      </c>
      <c r="N131" s="1" t="s">
        <v>32</v>
      </c>
      <c r="O131" s="1" t="s">
        <v>32</v>
      </c>
      <c r="P131" s="57">
        <v>3.5499999999999997E-2</v>
      </c>
      <c r="Q131" s="84">
        <f t="shared" si="10"/>
        <v>2.1999999999999999E-2</v>
      </c>
      <c r="S131" s="4">
        <v>46204</v>
      </c>
      <c r="T131" s="3" t="s">
        <v>33</v>
      </c>
      <c r="U131" s="3" t="s">
        <v>33</v>
      </c>
      <c r="V131" s="3" t="s">
        <v>33</v>
      </c>
      <c r="W131" s="3" t="s">
        <v>33</v>
      </c>
      <c r="X131" s="6">
        <v>3.5000000000000003E-2</v>
      </c>
      <c r="Y131" s="3" t="s">
        <v>33</v>
      </c>
      <c r="Z131" s="6">
        <v>1.6500000000000001E-2</v>
      </c>
      <c r="AA131" s="2">
        <v>46204</v>
      </c>
      <c r="AB131" s="1" t="s">
        <v>33</v>
      </c>
      <c r="AC131" s="1" t="s">
        <v>33</v>
      </c>
      <c r="AD131" s="1" t="s">
        <v>33</v>
      </c>
      <c r="AE131" s="1" t="s">
        <v>33</v>
      </c>
      <c r="AF131" s="1" t="s">
        <v>33</v>
      </c>
      <c r="AG131" s="1" t="s">
        <v>33</v>
      </c>
      <c r="AH131" s="57">
        <v>2.5000000000000001E-2</v>
      </c>
      <c r="AI131" s="12">
        <f t="shared" si="6"/>
        <v>8.5000000000000006E-3</v>
      </c>
      <c r="AK131" s="4">
        <v>46204</v>
      </c>
      <c r="AL131" s="6">
        <v>0.02</v>
      </c>
      <c r="AM131" s="3"/>
      <c r="AN131" s="3"/>
      <c r="AO131" s="3"/>
      <c r="AP131" s="3" t="s">
        <v>33</v>
      </c>
      <c r="AQ131" s="3" t="s">
        <v>33</v>
      </c>
      <c r="AR131" s="6">
        <v>1.46E-2</v>
      </c>
      <c r="AS131" s="2">
        <v>46204</v>
      </c>
      <c r="AT131" s="13">
        <v>3.2000000000000001E-2</v>
      </c>
      <c r="AU131" s="13">
        <v>4.2999999999999997E-2</v>
      </c>
      <c r="AV131" s="13">
        <v>4.1000000000000002E-2</v>
      </c>
      <c r="AW131" s="13">
        <v>5.8000000000000003E-2</v>
      </c>
      <c r="AX131" s="13">
        <v>4.9500000000000002E-2</v>
      </c>
      <c r="AY131" s="13">
        <v>5.5E-2</v>
      </c>
      <c r="AZ131" s="13">
        <v>3.9600000000000003E-2</v>
      </c>
      <c r="BA131" s="12">
        <f t="shared" si="5"/>
        <v>2.5000000000000001E-2</v>
      </c>
      <c r="BC131" s="4">
        <v>46204</v>
      </c>
      <c r="BD131" s="6">
        <v>1.3599999999999999E-2</v>
      </c>
      <c r="BE131" s="6">
        <v>1.38E-2</v>
      </c>
      <c r="BF131" s="6">
        <v>1.41E-2</v>
      </c>
      <c r="BG131" s="3"/>
      <c r="BH131" s="3"/>
      <c r="BI131" s="3"/>
      <c r="BJ131" s="6">
        <v>1.34E-2</v>
      </c>
      <c r="BK131" s="2">
        <v>46204</v>
      </c>
      <c r="BL131" s="57">
        <v>4.87E-2</v>
      </c>
      <c r="BM131" s="1"/>
      <c r="BN131" s="57">
        <v>5.16E-2</v>
      </c>
      <c r="BO131" s="1"/>
      <c r="BP131" s="1"/>
      <c r="BQ131" s="1"/>
      <c r="BR131" s="57">
        <v>3.5900000000000001E-2</v>
      </c>
      <c r="BS131" s="12">
        <f t="shared" ref="BS131:BS132" si="11">BR131-BJ131</f>
        <v>2.2499999999999999E-2</v>
      </c>
    </row>
    <row r="132" spans="1:71" x14ac:dyDescent="0.35">
      <c r="A132" s="4">
        <v>46205</v>
      </c>
      <c r="B132" s="3" t="s">
        <v>33</v>
      </c>
      <c r="C132" s="3" t="s">
        <v>33</v>
      </c>
      <c r="D132" s="3" t="s">
        <v>32</v>
      </c>
      <c r="E132" s="3" t="s">
        <v>33</v>
      </c>
      <c r="F132" s="3" t="s">
        <v>32</v>
      </c>
      <c r="G132" s="3" t="s">
        <v>33</v>
      </c>
      <c r="H132" s="9">
        <v>1.4E-2</v>
      </c>
      <c r="I132" s="2">
        <v>46205</v>
      </c>
      <c r="J132" s="1" t="s">
        <v>33</v>
      </c>
      <c r="K132" s="1" t="s">
        <v>33</v>
      </c>
      <c r="L132" s="1" t="s">
        <v>32</v>
      </c>
      <c r="M132" s="1" t="s">
        <v>33</v>
      </c>
      <c r="N132" s="1" t="s">
        <v>32</v>
      </c>
      <c r="O132" s="1" t="s">
        <v>32</v>
      </c>
      <c r="P132" s="57">
        <v>3.6299999999999999E-2</v>
      </c>
      <c r="Q132" s="84">
        <f t="shared" si="10"/>
        <v>2.23E-2</v>
      </c>
      <c r="S132" s="4">
        <v>46205</v>
      </c>
      <c r="T132" s="3" t="s">
        <v>33</v>
      </c>
      <c r="U132" s="3" t="s">
        <v>33</v>
      </c>
      <c r="V132" s="3" t="s">
        <v>33</v>
      </c>
      <c r="W132" s="3" t="s">
        <v>33</v>
      </c>
      <c r="X132" s="6">
        <v>3.5000000000000003E-2</v>
      </c>
      <c r="Y132" s="3" t="s">
        <v>33</v>
      </c>
      <c r="Z132" s="6">
        <v>1.7600000000000001E-2</v>
      </c>
      <c r="AA132" s="2">
        <v>46205</v>
      </c>
      <c r="AB132" s="1" t="s">
        <v>33</v>
      </c>
      <c r="AC132" s="1" t="s">
        <v>33</v>
      </c>
      <c r="AD132" s="1" t="s">
        <v>33</v>
      </c>
      <c r="AE132" s="1" t="s">
        <v>33</v>
      </c>
      <c r="AF132" s="1" t="s">
        <v>33</v>
      </c>
      <c r="AG132" s="1" t="s">
        <v>33</v>
      </c>
      <c r="AH132" s="57">
        <v>2.5000000000000001E-2</v>
      </c>
      <c r="AI132" s="12">
        <f t="shared" si="6"/>
        <v>7.4000000000000003E-3</v>
      </c>
      <c r="AK132" s="4">
        <v>46205</v>
      </c>
      <c r="AL132" s="6">
        <v>0.02</v>
      </c>
      <c r="AM132" s="3"/>
      <c r="AN132" s="3"/>
      <c r="AO132" s="3"/>
      <c r="AP132" s="3" t="s">
        <v>33</v>
      </c>
      <c r="AQ132" s="3" t="s">
        <v>33</v>
      </c>
      <c r="AR132" s="6">
        <v>1.55E-2</v>
      </c>
      <c r="AS132" s="2">
        <v>46205</v>
      </c>
      <c r="AT132" s="13">
        <v>3.5000000000000003E-2</v>
      </c>
      <c r="AU132" s="13">
        <v>4.2999999999999997E-2</v>
      </c>
      <c r="AV132" s="13">
        <v>4.1000000000000002E-2</v>
      </c>
      <c r="AW132" s="13">
        <v>5.21E-2</v>
      </c>
      <c r="AX132" s="13">
        <v>4.8800000000000003E-2</v>
      </c>
      <c r="AY132" s="13">
        <v>5.9700000000000003E-2</v>
      </c>
      <c r="AZ132" s="13">
        <v>4.0300000000000002E-2</v>
      </c>
      <c r="BA132" s="12">
        <f t="shared" si="5"/>
        <v>2.4800000000000003E-2</v>
      </c>
      <c r="BC132" s="4">
        <v>46205</v>
      </c>
      <c r="BD132" s="6">
        <v>1.52E-2</v>
      </c>
      <c r="BE132" s="6">
        <v>1.54E-2</v>
      </c>
      <c r="BF132" s="6">
        <v>1.5599999999999999E-2</v>
      </c>
      <c r="BG132" s="3"/>
      <c r="BH132" s="3"/>
      <c r="BI132" s="3"/>
      <c r="BJ132" s="6">
        <v>1.49E-2</v>
      </c>
      <c r="BK132" s="2">
        <v>46205</v>
      </c>
      <c r="BL132" s="57">
        <v>4.7E-2</v>
      </c>
      <c r="BM132" s="1"/>
      <c r="BN132" s="57">
        <v>5.4199999999999998E-2</v>
      </c>
      <c r="BO132" s="1"/>
      <c r="BP132" s="1"/>
      <c r="BQ132" s="1"/>
      <c r="BR132" s="57">
        <v>3.7600000000000001E-2</v>
      </c>
      <c r="BS132" s="12">
        <f t="shared" si="11"/>
        <v>2.2700000000000001E-2</v>
      </c>
    </row>
    <row r="133" spans="1:71" x14ac:dyDescent="0.35">
      <c r="A133" s="4">
        <v>46206</v>
      </c>
      <c r="B133" s="3" t="s">
        <v>33</v>
      </c>
      <c r="C133" s="3" t="s">
        <v>33</v>
      </c>
      <c r="D133" s="3" t="s">
        <v>32</v>
      </c>
      <c r="E133" s="3" t="s">
        <v>33</v>
      </c>
      <c r="F133" s="3" t="s">
        <v>32</v>
      </c>
      <c r="G133" s="3" t="s">
        <v>33</v>
      </c>
      <c r="H133" s="9">
        <v>1.49E-2</v>
      </c>
      <c r="I133" s="2">
        <v>46206</v>
      </c>
      <c r="J133" s="1" t="s">
        <v>33</v>
      </c>
      <c r="K133" s="1" t="s">
        <v>33</v>
      </c>
      <c r="L133" s="1" t="s">
        <v>32</v>
      </c>
      <c r="M133" s="1" t="s">
        <v>33</v>
      </c>
      <c r="N133" s="1" t="s">
        <v>32</v>
      </c>
      <c r="O133" s="1" t="s">
        <v>32</v>
      </c>
      <c r="P133" s="57">
        <v>3.73E-2</v>
      </c>
      <c r="Q133" s="84">
        <f t="shared" ref="Q133:Q141" si="12">P133-H133</f>
        <v>2.24E-2</v>
      </c>
      <c r="S133" s="4">
        <v>46206</v>
      </c>
      <c r="T133" s="3" t="s">
        <v>33</v>
      </c>
      <c r="U133" s="3" t="s">
        <v>33</v>
      </c>
      <c r="V133" s="3" t="s">
        <v>33</v>
      </c>
      <c r="W133" s="3" t="s">
        <v>33</v>
      </c>
      <c r="X133" s="6">
        <v>3.5000000000000003E-2</v>
      </c>
      <c r="Y133" s="3" t="s">
        <v>33</v>
      </c>
      <c r="Z133" s="6">
        <v>1.7399999999999999E-2</v>
      </c>
      <c r="AA133" s="2">
        <v>46206</v>
      </c>
      <c r="AB133" s="1" t="s">
        <v>33</v>
      </c>
      <c r="AC133" s="1" t="s">
        <v>33</v>
      </c>
      <c r="AD133" s="1" t="s">
        <v>33</v>
      </c>
      <c r="AE133" s="1" t="s">
        <v>33</v>
      </c>
      <c r="AF133" s="1" t="s">
        <v>33</v>
      </c>
      <c r="AG133" s="1" t="s">
        <v>33</v>
      </c>
      <c r="AH133" s="57">
        <v>2.5000000000000001E-2</v>
      </c>
      <c r="AI133" s="12">
        <f t="shared" ref="AI133:AI174" si="13">AH133-Z133</f>
        <v>7.6000000000000026E-3</v>
      </c>
      <c r="AK133" s="4">
        <v>46206</v>
      </c>
      <c r="AL133" s="6">
        <v>0.02</v>
      </c>
      <c r="AM133" s="3"/>
      <c r="AN133" s="3"/>
      <c r="AO133" s="3"/>
      <c r="AP133" s="3" t="s">
        <v>33</v>
      </c>
      <c r="AQ133" s="3" t="s">
        <v>33</v>
      </c>
      <c r="AR133" s="6">
        <v>1.6400000000000001E-2</v>
      </c>
      <c r="AS133" s="2">
        <v>46206</v>
      </c>
      <c r="AT133" s="13">
        <v>3.49E-2</v>
      </c>
      <c r="AU133" s="13">
        <v>3.7999999999999999E-2</v>
      </c>
      <c r="AV133" s="13">
        <v>3.9899999999999998E-2</v>
      </c>
      <c r="AW133" s="13">
        <v>5.7599999999999998E-2</v>
      </c>
      <c r="AX133" s="13">
        <v>3.9100000000000003E-2</v>
      </c>
      <c r="AY133" s="13">
        <v>5.1999999999999998E-2</v>
      </c>
      <c r="AZ133" s="13">
        <v>4.1500000000000002E-2</v>
      </c>
      <c r="BA133" s="12">
        <f t="shared" ref="BA133:BA141" si="14">AZ133-AR133</f>
        <v>2.5100000000000001E-2</v>
      </c>
      <c r="BC133" s="4">
        <v>46206</v>
      </c>
      <c r="BD133" s="6">
        <v>1.52E-2</v>
      </c>
      <c r="BE133" s="6">
        <v>1.54E-2</v>
      </c>
      <c r="BF133" s="6">
        <v>1.5599999999999999E-2</v>
      </c>
      <c r="BG133" s="3"/>
      <c r="BH133" s="3"/>
      <c r="BI133" s="3"/>
      <c r="BJ133" s="6">
        <v>1.4999999999999999E-2</v>
      </c>
      <c r="BK133" s="2">
        <v>46206</v>
      </c>
      <c r="BL133" s="57">
        <v>4.6600000000000003E-2</v>
      </c>
      <c r="BM133" s="1"/>
      <c r="BN133" s="57">
        <v>5.3499999999999999E-2</v>
      </c>
      <c r="BO133" s="1"/>
      <c r="BP133" s="1"/>
      <c r="BQ133" s="1"/>
      <c r="BR133" s="57">
        <v>3.7100000000000001E-2</v>
      </c>
      <c r="BS133" s="12">
        <f t="shared" ref="BS133:BS141" si="15">BR133-BJ133</f>
        <v>2.2100000000000002E-2</v>
      </c>
    </row>
    <row r="134" spans="1:71" x14ac:dyDescent="0.35">
      <c r="A134" s="4">
        <v>46207</v>
      </c>
      <c r="B134" s="3" t="s">
        <v>33</v>
      </c>
      <c r="C134" s="3" t="s">
        <v>33</v>
      </c>
      <c r="D134" s="3" t="s">
        <v>32</v>
      </c>
      <c r="E134" s="3" t="s">
        <v>33</v>
      </c>
      <c r="F134" s="3" t="s">
        <v>32</v>
      </c>
      <c r="G134" s="3" t="s">
        <v>33</v>
      </c>
      <c r="H134" s="9">
        <v>1.4500000000000001E-2</v>
      </c>
      <c r="I134" s="2">
        <v>46207</v>
      </c>
      <c r="J134" s="1" t="s">
        <v>33</v>
      </c>
      <c r="K134" s="1" t="s">
        <v>33</v>
      </c>
      <c r="L134" s="1" t="s">
        <v>32</v>
      </c>
      <c r="M134" s="1" t="s">
        <v>33</v>
      </c>
      <c r="N134" s="1" t="s">
        <v>32</v>
      </c>
      <c r="O134" s="1" t="s">
        <v>32</v>
      </c>
      <c r="P134" s="57">
        <v>3.6900000000000002E-2</v>
      </c>
      <c r="Q134" s="84">
        <f t="shared" si="12"/>
        <v>2.2400000000000003E-2</v>
      </c>
      <c r="S134" s="4">
        <v>46207</v>
      </c>
      <c r="T134" s="3" t="s">
        <v>33</v>
      </c>
      <c r="U134" s="3" t="s">
        <v>33</v>
      </c>
      <c r="V134" s="3" t="s">
        <v>33</v>
      </c>
      <c r="W134" s="3" t="s">
        <v>33</v>
      </c>
      <c r="X134" s="6">
        <v>3.5000000000000003E-2</v>
      </c>
      <c r="Y134" s="3" t="s">
        <v>33</v>
      </c>
      <c r="Z134" s="6">
        <v>1.7299999999999999E-2</v>
      </c>
      <c r="AA134" s="2">
        <v>46207</v>
      </c>
      <c r="AB134" s="1" t="s">
        <v>33</v>
      </c>
      <c r="AC134" s="1" t="s">
        <v>33</v>
      </c>
      <c r="AD134" s="1" t="s">
        <v>33</v>
      </c>
      <c r="AE134" s="1" t="s">
        <v>33</v>
      </c>
      <c r="AF134" s="1" t="s">
        <v>33</v>
      </c>
      <c r="AG134" s="1" t="s">
        <v>33</v>
      </c>
      <c r="AH134" s="57">
        <v>2.5000000000000001E-2</v>
      </c>
      <c r="AI134" s="12">
        <f t="shared" si="13"/>
        <v>7.700000000000002E-3</v>
      </c>
      <c r="AK134" s="4">
        <v>46207</v>
      </c>
      <c r="AL134" s="6">
        <v>0.02</v>
      </c>
      <c r="AM134" s="3"/>
      <c r="AN134" s="3"/>
      <c r="AO134" s="3"/>
      <c r="AP134" s="3" t="s">
        <v>33</v>
      </c>
      <c r="AQ134" s="3" t="s">
        <v>33</v>
      </c>
      <c r="AR134" s="6">
        <v>1.6E-2</v>
      </c>
      <c r="AS134" s="2">
        <v>46207</v>
      </c>
      <c r="AT134" s="13">
        <v>5.0999999999999997E-2</v>
      </c>
      <c r="AU134" s="13">
        <v>4.2799999999999998E-2</v>
      </c>
      <c r="AV134" s="13">
        <v>0.04</v>
      </c>
      <c r="AW134" s="13">
        <v>5.5899999999999998E-2</v>
      </c>
      <c r="AX134" s="13">
        <v>3.9100000000000003E-2</v>
      </c>
      <c r="AY134" s="13">
        <v>4.0099999999999997E-2</v>
      </c>
      <c r="AZ134" s="13">
        <v>4.1000000000000002E-2</v>
      </c>
      <c r="BA134" s="12">
        <f t="shared" si="14"/>
        <v>2.5000000000000001E-2</v>
      </c>
      <c r="BC134" s="4">
        <v>46207</v>
      </c>
      <c r="BD134" s="6">
        <v>1.52E-2</v>
      </c>
      <c r="BE134" s="6">
        <v>1.54E-2</v>
      </c>
      <c r="BF134" s="6">
        <v>1.5599999999999999E-2</v>
      </c>
      <c r="BG134" s="3"/>
      <c r="BH134" s="3"/>
      <c r="BI134" s="3"/>
      <c r="BJ134" s="6">
        <v>1.3899999999999999E-2</v>
      </c>
      <c r="BK134" s="2">
        <v>46207</v>
      </c>
      <c r="BL134" s="57">
        <v>4.5999999999999999E-2</v>
      </c>
      <c r="BM134" s="1"/>
      <c r="BN134" s="57">
        <v>5.4899999999999997E-2</v>
      </c>
      <c r="BO134" s="1"/>
      <c r="BP134" s="1"/>
      <c r="BQ134" s="1"/>
      <c r="BR134" s="57">
        <v>3.73E-2</v>
      </c>
      <c r="BS134" s="12">
        <f t="shared" si="15"/>
        <v>2.3400000000000001E-2</v>
      </c>
    </row>
    <row r="135" spans="1:71" x14ac:dyDescent="0.35">
      <c r="A135" s="4">
        <v>46208</v>
      </c>
      <c r="B135" s="3" t="s">
        <v>33</v>
      </c>
      <c r="C135" s="3" t="s">
        <v>33</v>
      </c>
      <c r="D135" s="3" t="s">
        <v>32</v>
      </c>
      <c r="E135" s="3" t="s">
        <v>33</v>
      </c>
      <c r="F135" s="3" t="s">
        <v>32</v>
      </c>
      <c r="G135" s="3" t="s">
        <v>33</v>
      </c>
      <c r="H135" s="9">
        <v>1.4500000000000001E-2</v>
      </c>
      <c r="I135" s="2">
        <v>46208</v>
      </c>
      <c r="J135" s="1" t="s">
        <v>33</v>
      </c>
      <c r="K135" s="1" t="s">
        <v>33</v>
      </c>
      <c r="L135" s="1" t="s">
        <v>32</v>
      </c>
      <c r="M135" s="1" t="s">
        <v>33</v>
      </c>
      <c r="N135" s="1" t="s">
        <v>32</v>
      </c>
      <c r="O135" s="1" t="s">
        <v>32</v>
      </c>
      <c r="P135" s="57">
        <v>3.7999999999999999E-2</v>
      </c>
      <c r="Q135" s="84">
        <f t="shared" si="12"/>
        <v>2.35E-2</v>
      </c>
      <c r="S135" s="4">
        <v>46208</v>
      </c>
      <c r="T135" s="3" t="s">
        <v>33</v>
      </c>
      <c r="U135" s="3" t="s">
        <v>33</v>
      </c>
      <c r="V135" s="3" t="s">
        <v>33</v>
      </c>
      <c r="W135" s="3" t="s">
        <v>33</v>
      </c>
      <c r="X135" s="6">
        <v>3.5000000000000003E-2</v>
      </c>
      <c r="Y135" s="3" t="s">
        <v>33</v>
      </c>
      <c r="Z135" s="6">
        <v>1.7000000000000001E-2</v>
      </c>
      <c r="AA135" s="2">
        <v>46208</v>
      </c>
      <c r="AB135" s="1" t="s">
        <v>33</v>
      </c>
      <c r="AC135" s="1" t="s">
        <v>33</v>
      </c>
      <c r="AD135" s="1" t="s">
        <v>33</v>
      </c>
      <c r="AE135" s="1" t="s">
        <v>33</v>
      </c>
      <c r="AF135" s="1" t="s">
        <v>33</v>
      </c>
      <c r="AG135" s="1" t="s">
        <v>33</v>
      </c>
      <c r="AH135" s="57">
        <v>2.5000000000000001E-2</v>
      </c>
      <c r="AI135" s="12">
        <f t="shared" si="13"/>
        <v>8.0000000000000002E-3</v>
      </c>
      <c r="AK135" s="4">
        <v>46208</v>
      </c>
      <c r="AL135" s="6">
        <v>0.02</v>
      </c>
      <c r="AM135" s="3"/>
      <c r="AN135" s="3"/>
      <c r="AO135" s="3"/>
      <c r="AP135" s="3" t="s">
        <v>33</v>
      </c>
      <c r="AQ135" s="3" t="s">
        <v>33</v>
      </c>
      <c r="AR135" s="6">
        <v>1.6E-2</v>
      </c>
      <c r="AS135" s="2">
        <v>46208</v>
      </c>
      <c r="AT135" s="13">
        <v>5.0999999999999997E-2</v>
      </c>
      <c r="AU135" s="13">
        <v>4.2799999999999998E-2</v>
      </c>
      <c r="AV135" s="13">
        <v>0.04</v>
      </c>
      <c r="AW135" s="13">
        <v>5.5899999999999998E-2</v>
      </c>
      <c r="AX135" s="13">
        <v>3.9100000000000003E-2</v>
      </c>
      <c r="AY135" s="13">
        <v>4.0099999999999997E-2</v>
      </c>
      <c r="AZ135" s="13">
        <v>4.1000000000000002E-2</v>
      </c>
      <c r="BA135" s="12">
        <f t="shared" si="14"/>
        <v>2.5000000000000001E-2</v>
      </c>
      <c r="BC135" s="4">
        <v>46208</v>
      </c>
      <c r="BD135" s="6">
        <v>1.52E-2</v>
      </c>
      <c r="BE135" s="6">
        <v>1.54E-2</v>
      </c>
      <c r="BF135" s="6">
        <v>1.5599999999999999E-2</v>
      </c>
      <c r="BG135" s="3"/>
      <c r="BH135" s="3"/>
      <c r="BI135" s="3"/>
      <c r="BJ135" s="6">
        <v>1.3599999999999999E-2</v>
      </c>
      <c r="BK135" s="2">
        <v>46208</v>
      </c>
      <c r="BL135" s="57">
        <v>4.5999999999999999E-2</v>
      </c>
      <c r="BM135" s="1"/>
      <c r="BN135" s="57">
        <v>5.4899999999999997E-2</v>
      </c>
      <c r="BO135" s="1"/>
      <c r="BP135" s="1"/>
      <c r="BQ135" s="1"/>
      <c r="BR135" s="57">
        <v>3.7499999999999999E-2</v>
      </c>
      <c r="BS135" s="12">
        <f t="shared" si="15"/>
        <v>2.3899999999999998E-2</v>
      </c>
    </row>
    <row r="136" spans="1:71" x14ac:dyDescent="0.35">
      <c r="A136" s="4">
        <v>46209</v>
      </c>
      <c r="B136" s="3" t="s">
        <v>33</v>
      </c>
      <c r="C136" s="3" t="s">
        <v>33</v>
      </c>
      <c r="D136" s="3" t="s">
        <v>32</v>
      </c>
      <c r="E136" s="3" t="s">
        <v>33</v>
      </c>
      <c r="F136" s="3" t="s">
        <v>32</v>
      </c>
      <c r="G136" s="3" t="s">
        <v>33</v>
      </c>
      <c r="H136" s="9">
        <v>1.46E-2</v>
      </c>
      <c r="I136" s="2">
        <v>46209</v>
      </c>
      <c r="J136" s="1" t="s">
        <v>33</v>
      </c>
      <c r="K136" s="1" t="s">
        <v>33</v>
      </c>
      <c r="L136" s="1" t="s">
        <v>32</v>
      </c>
      <c r="M136" s="1" t="s">
        <v>33</v>
      </c>
      <c r="N136" s="1" t="s">
        <v>32</v>
      </c>
      <c r="O136" s="1" t="s">
        <v>32</v>
      </c>
      <c r="P136" s="57">
        <v>3.8199999999999998E-2</v>
      </c>
      <c r="Q136" s="84">
        <f t="shared" si="12"/>
        <v>2.3599999999999996E-2</v>
      </c>
      <c r="S136" s="4">
        <v>46209</v>
      </c>
      <c r="T136" s="3" t="s">
        <v>33</v>
      </c>
      <c r="U136" s="3" t="s">
        <v>33</v>
      </c>
      <c r="V136" s="3" t="s">
        <v>33</v>
      </c>
      <c r="W136" s="3" t="s">
        <v>33</v>
      </c>
      <c r="X136" s="6">
        <v>3.5000000000000003E-2</v>
      </c>
      <c r="Y136" s="3" t="s">
        <v>33</v>
      </c>
      <c r="Z136" s="6">
        <v>1.55E-2</v>
      </c>
      <c r="AA136" s="2">
        <v>46209</v>
      </c>
      <c r="AB136" s="1" t="s">
        <v>33</v>
      </c>
      <c r="AC136" s="1" t="s">
        <v>33</v>
      </c>
      <c r="AD136" s="1" t="s">
        <v>33</v>
      </c>
      <c r="AE136" s="1" t="s">
        <v>33</v>
      </c>
      <c r="AF136" s="1" t="s">
        <v>33</v>
      </c>
      <c r="AG136" s="1" t="s">
        <v>33</v>
      </c>
      <c r="AH136" s="57">
        <v>2.5000000000000001E-2</v>
      </c>
      <c r="AI136" s="12">
        <f t="shared" si="13"/>
        <v>9.5000000000000015E-3</v>
      </c>
      <c r="AK136" s="4">
        <v>46209</v>
      </c>
      <c r="AL136" s="6">
        <v>0.02</v>
      </c>
      <c r="AM136" s="3"/>
      <c r="AN136" s="3"/>
      <c r="AO136" s="3"/>
      <c r="AP136" s="3" t="s">
        <v>33</v>
      </c>
      <c r="AQ136" s="3" t="s">
        <v>33</v>
      </c>
      <c r="AR136" s="6">
        <v>1.6E-2</v>
      </c>
      <c r="AS136" s="2">
        <v>46209</v>
      </c>
      <c r="AT136" s="13">
        <v>5.0999999999999997E-2</v>
      </c>
      <c r="AU136" s="13">
        <v>4.2799999999999998E-2</v>
      </c>
      <c r="AV136" s="13">
        <v>0.04</v>
      </c>
      <c r="AW136" s="13">
        <v>5.5899999999999998E-2</v>
      </c>
      <c r="AX136" s="13">
        <v>3.9100000000000003E-2</v>
      </c>
      <c r="AY136" s="13">
        <v>4.0099999999999997E-2</v>
      </c>
      <c r="AZ136" s="13">
        <v>4.1000000000000002E-2</v>
      </c>
      <c r="BA136" s="12">
        <f t="shared" si="14"/>
        <v>2.5000000000000001E-2</v>
      </c>
      <c r="BC136" s="4">
        <v>46209</v>
      </c>
      <c r="BD136" s="6">
        <v>1.52E-2</v>
      </c>
      <c r="BE136" s="6">
        <v>1.54E-2</v>
      </c>
      <c r="BF136" s="6">
        <v>1.5599999999999999E-2</v>
      </c>
      <c r="BG136" s="3"/>
      <c r="BH136" s="3"/>
      <c r="BI136" s="3"/>
      <c r="BJ136" s="6">
        <v>1.43E-2</v>
      </c>
      <c r="BK136" s="2">
        <v>46209</v>
      </c>
      <c r="BL136" s="57">
        <v>4.5999999999999999E-2</v>
      </c>
      <c r="BM136" s="1"/>
      <c r="BN136" s="57">
        <v>5.4899999999999997E-2</v>
      </c>
      <c r="BO136" s="1"/>
      <c r="BP136" s="1"/>
      <c r="BQ136" s="1"/>
      <c r="BR136" s="57">
        <v>3.8199999999999998E-2</v>
      </c>
      <c r="BS136" s="12">
        <f t="shared" si="15"/>
        <v>2.3899999999999998E-2</v>
      </c>
    </row>
    <row r="137" spans="1:71" x14ac:dyDescent="0.35">
      <c r="A137" s="4">
        <v>46210</v>
      </c>
      <c r="B137" s="3" t="s">
        <v>33</v>
      </c>
      <c r="C137" s="3" t="s">
        <v>33</v>
      </c>
      <c r="D137" s="3" t="s">
        <v>32</v>
      </c>
      <c r="E137" s="3" t="s">
        <v>33</v>
      </c>
      <c r="F137" s="3" t="s">
        <v>32</v>
      </c>
      <c r="G137" s="3" t="s">
        <v>33</v>
      </c>
      <c r="H137" s="9">
        <v>1.5100000000000001E-2</v>
      </c>
      <c r="I137" s="2">
        <v>46210</v>
      </c>
      <c r="J137" s="1" t="s">
        <v>33</v>
      </c>
      <c r="K137" s="1" t="s">
        <v>33</v>
      </c>
      <c r="L137" s="1" t="s">
        <v>32</v>
      </c>
      <c r="M137" s="1" t="s">
        <v>33</v>
      </c>
      <c r="N137" s="1" t="s">
        <v>32</v>
      </c>
      <c r="O137" s="1" t="s">
        <v>32</v>
      </c>
      <c r="P137" s="57">
        <v>3.7600000000000001E-2</v>
      </c>
      <c r="Q137" s="84">
        <f t="shared" si="12"/>
        <v>2.2499999999999999E-2</v>
      </c>
      <c r="S137" s="4">
        <v>46210</v>
      </c>
      <c r="T137" s="3" t="s">
        <v>33</v>
      </c>
      <c r="U137" s="3" t="s">
        <v>33</v>
      </c>
      <c r="V137" s="3" t="s">
        <v>33</v>
      </c>
      <c r="W137" s="3" t="s">
        <v>33</v>
      </c>
      <c r="X137" s="6">
        <v>3.5000000000000003E-2</v>
      </c>
      <c r="Y137" s="3" t="s">
        <v>33</v>
      </c>
      <c r="Z137" s="6">
        <v>1.83E-2</v>
      </c>
      <c r="AA137" s="2">
        <v>46210</v>
      </c>
      <c r="AB137" s="1" t="s">
        <v>33</v>
      </c>
      <c r="AC137" s="1" t="s">
        <v>33</v>
      </c>
      <c r="AD137" s="1" t="s">
        <v>33</v>
      </c>
      <c r="AE137" s="1" t="s">
        <v>33</v>
      </c>
      <c r="AF137" s="1" t="s">
        <v>33</v>
      </c>
      <c r="AG137" s="1" t="s">
        <v>33</v>
      </c>
      <c r="AH137" s="57">
        <v>2.5000000000000001E-2</v>
      </c>
      <c r="AI137" s="12">
        <f t="shared" si="13"/>
        <v>6.7000000000000011E-3</v>
      </c>
      <c r="AK137" s="4">
        <v>46210</v>
      </c>
      <c r="AL137" s="6">
        <v>0.02</v>
      </c>
      <c r="AM137" s="3"/>
      <c r="AN137" s="3"/>
      <c r="AO137" s="3"/>
      <c r="AP137" s="3" t="s">
        <v>33</v>
      </c>
      <c r="AQ137" s="3" t="s">
        <v>33</v>
      </c>
      <c r="AR137" s="6">
        <v>1.7000000000000001E-2</v>
      </c>
      <c r="AS137" s="2">
        <v>46210</v>
      </c>
      <c r="AT137" s="13">
        <v>3.5000000000000003E-2</v>
      </c>
      <c r="AU137" s="13">
        <v>0.04</v>
      </c>
      <c r="AV137" s="13">
        <v>4.4999999999999998E-2</v>
      </c>
      <c r="AW137" s="13">
        <v>5.5E-2</v>
      </c>
      <c r="AX137" s="13">
        <v>4.4900000000000002E-2</v>
      </c>
      <c r="AY137" s="13">
        <v>4.0099999999999997E-2</v>
      </c>
      <c r="AZ137" s="13">
        <v>4.2000000000000003E-2</v>
      </c>
      <c r="BA137" s="12">
        <f t="shared" si="14"/>
        <v>2.5000000000000001E-2</v>
      </c>
      <c r="BC137" s="4">
        <v>46210</v>
      </c>
      <c r="BD137" s="6">
        <v>1.52E-2</v>
      </c>
      <c r="BE137" s="6">
        <v>1.54E-2</v>
      </c>
      <c r="BF137" s="6">
        <v>1.5599999999999999E-2</v>
      </c>
      <c r="BG137" s="3"/>
      <c r="BH137" s="3"/>
      <c r="BI137" s="3"/>
      <c r="BJ137" s="6">
        <v>1.4500000000000001E-2</v>
      </c>
      <c r="BK137" s="2">
        <v>46210</v>
      </c>
      <c r="BL137" s="57">
        <v>4.6300000000000001E-2</v>
      </c>
      <c r="BM137" s="1"/>
      <c r="BN137" s="57">
        <v>5.5599999999999997E-2</v>
      </c>
      <c r="BO137" s="1"/>
      <c r="BP137" s="1"/>
      <c r="BQ137" s="1"/>
      <c r="BR137" s="57">
        <v>3.8600000000000002E-2</v>
      </c>
      <c r="BS137" s="12">
        <f t="shared" si="15"/>
        <v>2.4100000000000003E-2</v>
      </c>
    </row>
    <row r="138" spans="1:71" x14ac:dyDescent="0.35">
      <c r="A138" s="4">
        <v>46211</v>
      </c>
      <c r="B138" s="3" t="s">
        <v>33</v>
      </c>
      <c r="C138" s="3" t="s">
        <v>33</v>
      </c>
      <c r="D138" s="3" t="s">
        <v>32</v>
      </c>
      <c r="E138" s="3" t="s">
        <v>33</v>
      </c>
      <c r="F138" s="3" t="s">
        <v>32</v>
      </c>
      <c r="G138" s="3" t="s">
        <v>33</v>
      </c>
      <c r="H138" s="9">
        <v>1.5100000000000001E-2</v>
      </c>
      <c r="I138" s="2">
        <v>46211</v>
      </c>
      <c r="J138" s="1" t="s">
        <v>33</v>
      </c>
      <c r="K138" s="1" t="s">
        <v>33</v>
      </c>
      <c r="L138" s="1" t="s">
        <v>32</v>
      </c>
      <c r="M138" s="1" t="s">
        <v>33</v>
      </c>
      <c r="N138" s="1" t="s">
        <v>32</v>
      </c>
      <c r="O138" s="1" t="s">
        <v>32</v>
      </c>
      <c r="P138" s="57">
        <v>3.7600000000000001E-2</v>
      </c>
      <c r="Q138" s="84">
        <f t="shared" si="12"/>
        <v>2.2499999999999999E-2</v>
      </c>
      <c r="S138" s="4">
        <v>46211</v>
      </c>
      <c r="T138" s="3" t="s">
        <v>33</v>
      </c>
      <c r="U138" s="3" t="s">
        <v>33</v>
      </c>
      <c r="V138" s="3" t="s">
        <v>33</v>
      </c>
      <c r="W138" s="3" t="s">
        <v>33</v>
      </c>
      <c r="X138" s="6">
        <v>3.5000000000000003E-2</v>
      </c>
      <c r="Y138" s="3" t="s">
        <v>33</v>
      </c>
      <c r="Z138" s="6">
        <v>1.83E-2</v>
      </c>
      <c r="AA138" s="2">
        <v>46211</v>
      </c>
      <c r="AB138" s="1" t="s">
        <v>33</v>
      </c>
      <c r="AC138" s="1" t="s">
        <v>33</v>
      </c>
      <c r="AD138" s="1" t="s">
        <v>33</v>
      </c>
      <c r="AE138" s="1" t="s">
        <v>33</v>
      </c>
      <c r="AF138" s="1" t="s">
        <v>33</v>
      </c>
      <c r="AG138" s="1" t="s">
        <v>33</v>
      </c>
      <c r="AH138" s="57">
        <v>2.5000000000000001E-2</v>
      </c>
      <c r="AI138" s="12">
        <f t="shared" si="13"/>
        <v>6.7000000000000011E-3</v>
      </c>
      <c r="AK138" s="4">
        <v>46211</v>
      </c>
      <c r="AL138" s="6">
        <v>0.02</v>
      </c>
      <c r="AM138" s="3"/>
      <c r="AN138" s="3"/>
      <c r="AO138" s="3"/>
      <c r="AP138" s="3" t="s">
        <v>33</v>
      </c>
      <c r="AQ138" s="3" t="s">
        <v>33</v>
      </c>
      <c r="AR138" s="6">
        <v>1.6199999999999999E-2</v>
      </c>
      <c r="AS138" s="2">
        <v>46211</v>
      </c>
      <c r="AT138" s="13">
        <v>3.49E-2</v>
      </c>
      <c r="AU138" s="13">
        <v>0.04</v>
      </c>
      <c r="AV138" s="13">
        <v>4.1000000000000002E-2</v>
      </c>
      <c r="AW138" s="13">
        <v>4.2900000000000001E-2</v>
      </c>
      <c r="AX138" s="13">
        <v>4.2900000000000001E-2</v>
      </c>
      <c r="AY138" s="13">
        <v>4.0099999999999997E-2</v>
      </c>
      <c r="AZ138" s="13">
        <v>4.19E-2</v>
      </c>
      <c r="BA138" s="12">
        <f t="shared" si="14"/>
        <v>2.5700000000000001E-2</v>
      </c>
      <c r="BC138" s="4">
        <v>46211</v>
      </c>
      <c r="BD138" s="6">
        <v>1.52E-2</v>
      </c>
      <c r="BE138" s="6">
        <v>1.54E-2</v>
      </c>
      <c r="BF138" s="6">
        <v>1.5599999999999999E-2</v>
      </c>
      <c r="BG138" s="3"/>
      <c r="BH138" s="3"/>
      <c r="BI138" s="3"/>
      <c r="BJ138" s="6">
        <v>1.4999999999999999E-2</v>
      </c>
      <c r="BK138" s="2">
        <v>46211</v>
      </c>
      <c r="BL138" s="57">
        <v>4.7399999999999998E-2</v>
      </c>
      <c r="BM138" s="1"/>
      <c r="BN138" s="57">
        <v>5.6899999999999999E-2</v>
      </c>
      <c r="BO138" s="1"/>
      <c r="BP138" s="1"/>
      <c r="BQ138" s="1"/>
      <c r="BR138" s="57">
        <v>3.9399999999999998E-2</v>
      </c>
      <c r="BS138" s="12">
        <f t="shared" si="15"/>
        <v>2.4399999999999998E-2</v>
      </c>
    </row>
    <row r="139" spans="1:71" x14ac:dyDescent="0.35">
      <c r="A139" s="4">
        <v>46212</v>
      </c>
      <c r="B139" s="3" t="s">
        <v>33</v>
      </c>
      <c r="C139" s="3" t="s">
        <v>33</v>
      </c>
      <c r="D139" s="3" t="s">
        <v>32</v>
      </c>
      <c r="E139" s="3" t="s">
        <v>33</v>
      </c>
      <c r="F139" s="3" t="s">
        <v>32</v>
      </c>
      <c r="G139" s="3" t="s">
        <v>33</v>
      </c>
      <c r="H139" s="9">
        <v>1.47E-2</v>
      </c>
      <c r="I139" s="2">
        <v>46212</v>
      </c>
      <c r="J139" s="1" t="s">
        <v>33</v>
      </c>
      <c r="K139" s="1" t="s">
        <v>33</v>
      </c>
      <c r="L139" s="1" t="s">
        <v>32</v>
      </c>
      <c r="M139" s="1" t="s">
        <v>33</v>
      </c>
      <c r="N139" s="1" t="s">
        <v>32</v>
      </c>
      <c r="O139" s="1" t="s">
        <v>32</v>
      </c>
      <c r="P139" s="57">
        <v>3.7100000000000001E-2</v>
      </c>
      <c r="Q139" s="84">
        <f t="shared" si="12"/>
        <v>2.2400000000000003E-2</v>
      </c>
      <c r="S139" s="4">
        <v>46212</v>
      </c>
      <c r="T139" s="3" t="s">
        <v>33</v>
      </c>
      <c r="U139" s="3" t="s">
        <v>33</v>
      </c>
      <c r="V139" s="3" t="s">
        <v>33</v>
      </c>
      <c r="W139" s="3" t="s">
        <v>33</v>
      </c>
      <c r="X139" s="6">
        <v>3.5000000000000003E-2</v>
      </c>
      <c r="Y139" s="3" t="s">
        <v>33</v>
      </c>
      <c r="Z139" s="6">
        <v>1.8499999999999999E-2</v>
      </c>
      <c r="AA139" s="2">
        <v>46212</v>
      </c>
      <c r="AB139" s="1" t="s">
        <v>33</v>
      </c>
      <c r="AC139" s="1" t="s">
        <v>33</v>
      </c>
      <c r="AD139" s="1" t="s">
        <v>33</v>
      </c>
      <c r="AE139" s="1" t="s">
        <v>33</v>
      </c>
      <c r="AF139" s="1" t="s">
        <v>33</v>
      </c>
      <c r="AG139" s="1" t="s">
        <v>33</v>
      </c>
      <c r="AH139" s="57">
        <v>2.5000000000000001E-2</v>
      </c>
      <c r="AI139" s="12">
        <f t="shared" si="13"/>
        <v>6.5000000000000023E-3</v>
      </c>
      <c r="AK139" s="4">
        <v>46212</v>
      </c>
      <c r="AL139" s="6">
        <v>0.02</v>
      </c>
      <c r="AM139" s="3"/>
      <c r="AN139" s="3"/>
      <c r="AO139" s="3"/>
      <c r="AP139" s="3" t="s">
        <v>33</v>
      </c>
      <c r="AQ139" s="3" t="s">
        <v>33</v>
      </c>
      <c r="AR139" s="6">
        <v>1.61E-2</v>
      </c>
      <c r="AS139" s="2">
        <v>46212</v>
      </c>
      <c r="AT139" s="13">
        <v>3.2000000000000001E-2</v>
      </c>
      <c r="AU139" s="13">
        <v>0.04</v>
      </c>
      <c r="AV139" s="13">
        <v>4.02E-2</v>
      </c>
      <c r="AW139" s="13">
        <v>4.2900000000000001E-2</v>
      </c>
      <c r="AX139" s="13">
        <v>4.2900000000000001E-2</v>
      </c>
      <c r="AY139" s="13">
        <v>4.0099999999999997E-2</v>
      </c>
      <c r="AZ139" s="13">
        <v>4.1099999999999998E-2</v>
      </c>
      <c r="BA139" s="12">
        <f t="shared" si="14"/>
        <v>2.4999999999999998E-2</v>
      </c>
      <c r="BC139" s="4">
        <v>46212</v>
      </c>
      <c r="BD139" s="6">
        <v>1.52E-2</v>
      </c>
      <c r="BE139" s="6">
        <v>1.54E-2</v>
      </c>
      <c r="BF139" s="6">
        <v>1.5599999999999999E-2</v>
      </c>
      <c r="BG139" s="3"/>
      <c r="BH139" s="3"/>
      <c r="BI139" s="3"/>
      <c r="BJ139" s="6">
        <v>1.4999999999999999E-2</v>
      </c>
      <c r="BK139" s="2">
        <v>46212</v>
      </c>
      <c r="BL139" s="57">
        <v>4.6300000000000001E-2</v>
      </c>
      <c r="BM139" s="1"/>
      <c r="BN139" s="57">
        <v>5.5599999999999997E-2</v>
      </c>
      <c r="BO139" s="1"/>
      <c r="BP139" s="1"/>
      <c r="BQ139" s="1"/>
      <c r="BR139" s="57">
        <v>3.8600000000000002E-2</v>
      </c>
      <c r="BS139" s="12">
        <f t="shared" si="15"/>
        <v>2.3600000000000003E-2</v>
      </c>
    </row>
    <row r="140" spans="1:71" x14ac:dyDescent="0.35">
      <c r="A140" s="4">
        <v>46213</v>
      </c>
      <c r="B140" s="3" t="s">
        <v>33</v>
      </c>
      <c r="C140" s="3" t="s">
        <v>33</v>
      </c>
      <c r="D140" s="3" t="s">
        <v>32</v>
      </c>
      <c r="E140" s="3" t="s">
        <v>33</v>
      </c>
      <c r="F140" s="3" t="s">
        <v>32</v>
      </c>
      <c r="G140" s="3" t="s">
        <v>33</v>
      </c>
      <c r="H140" s="9">
        <v>1.44E-2</v>
      </c>
      <c r="I140" s="2">
        <v>46213</v>
      </c>
      <c r="J140" s="1" t="s">
        <v>33</v>
      </c>
      <c r="K140" s="1" t="s">
        <v>33</v>
      </c>
      <c r="L140" s="1" t="s">
        <v>32</v>
      </c>
      <c r="M140" s="1" t="s">
        <v>33</v>
      </c>
      <c r="N140" s="1" t="s">
        <v>32</v>
      </c>
      <c r="O140" s="1" t="s">
        <v>32</v>
      </c>
      <c r="P140" s="57">
        <v>3.6700000000000003E-2</v>
      </c>
      <c r="Q140" s="84">
        <f t="shared" si="12"/>
        <v>2.2300000000000004E-2</v>
      </c>
      <c r="S140" s="4">
        <v>46213</v>
      </c>
      <c r="T140" s="3" t="s">
        <v>33</v>
      </c>
      <c r="U140" s="3" t="s">
        <v>33</v>
      </c>
      <c r="V140" s="3" t="s">
        <v>33</v>
      </c>
      <c r="W140" s="3" t="s">
        <v>33</v>
      </c>
      <c r="X140" s="6">
        <v>3.5000000000000003E-2</v>
      </c>
      <c r="Y140" s="3" t="s">
        <v>33</v>
      </c>
      <c r="Z140" s="6">
        <v>1.8700000000000001E-2</v>
      </c>
      <c r="AA140" s="2">
        <v>46213</v>
      </c>
      <c r="AB140" s="1" t="s">
        <v>33</v>
      </c>
      <c r="AC140" s="1" t="s">
        <v>33</v>
      </c>
      <c r="AD140" s="1" t="s">
        <v>33</v>
      </c>
      <c r="AE140" s="1" t="s">
        <v>33</v>
      </c>
      <c r="AF140" s="1" t="s">
        <v>33</v>
      </c>
      <c r="AG140" s="1" t="s">
        <v>33</v>
      </c>
      <c r="AH140" s="57">
        <v>2.5000000000000001E-2</v>
      </c>
      <c r="AI140" s="12">
        <f t="shared" si="13"/>
        <v>6.3E-3</v>
      </c>
      <c r="AK140" s="4">
        <v>46213</v>
      </c>
      <c r="AL140" s="6">
        <v>0.02</v>
      </c>
      <c r="AM140" s="3"/>
      <c r="AN140" s="3"/>
      <c r="AO140" s="3"/>
      <c r="AP140" s="3" t="s">
        <v>33</v>
      </c>
      <c r="AQ140" s="3" t="s">
        <v>33</v>
      </c>
      <c r="AR140" s="6">
        <v>1.5100000000000001E-2</v>
      </c>
      <c r="AS140" s="2">
        <v>46213</v>
      </c>
      <c r="AT140" s="13">
        <v>3.5000000000000003E-2</v>
      </c>
      <c r="AU140" s="13">
        <v>3.5000000000000003E-2</v>
      </c>
      <c r="AV140" s="13">
        <v>4.0099999999999997E-2</v>
      </c>
      <c r="AW140" s="13">
        <v>4.2900000000000001E-2</v>
      </c>
      <c r="AX140" s="13">
        <v>4.2900000000000001E-2</v>
      </c>
      <c r="AY140" s="13">
        <v>5.4899999999999997E-2</v>
      </c>
      <c r="AZ140" s="13">
        <v>4.0300000000000002E-2</v>
      </c>
      <c r="BA140" s="12">
        <f t="shared" si="14"/>
        <v>2.52E-2</v>
      </c>
      <c r="BC140" s="4">
        <v>46213</v>
      </c>
      <c r="BD140" s="6">
        <v>1.52E-2</v>
      </c>
      <c r="BE140" s="6">
        <v>1.54E-2</v>
      </c>
      <c r="BF140" s="6">
        <v>1.5599999999999999E-2</v>
      </c>
      <c r="BG140" s="3"/>
      <c r="BH140" s="3"/>
      <c r="BI140" s="3"/>
      <c r="BJ140" s="6">
        <v>1.47E-2</v>
      </c>
      <c r="BK140" s="2">
        <v>46213</v>
      </c>
      <c r="BL140" s="57">
        <v>4.4900000000000002E-2</v>
      </c>
      <c r="BM140" s="1"/>
      <c r="BN140" s="57">
        <v>5.3800000000000001E-2</v>
      </c>
      <c r="BO140" s="1"/>
      <c r="BP140" s="1"/>
      <c r="BQ140" s="1"/>
      <c r="BR140" s="57">
        <v>3.7400000000000003E-2</v>
      </c>
      <c r="BS140" s="12">
        <f t="shared" si="15"/>
        <v>2.2700000000000005E-2</v>
      </c>
    </row>
    <row r="141" spans="1:71" x14ac:dyDescent="0.35">
      <c r="A141" s="4">
        <v>46214</v>
      </c>
      <c r="B141" s="3" t="s">
        <v>33</v>
      </c>
      <c r="C141" s="3" t="s">
        <v>33</v>
      </c>
      <c r="D141" s="3" t="s">
        <v>32</v>
      </c>
      <c r="E141" s="3" t="s">
        <v>33</v>
      </c>
      <c r="F141" s="3" t="s">
        <v>32</v>
      </c>
      <c r="G141" s="3" t="s">
        <v>33</v>
      </c>
      <c r="H141" s="9">
        <v>1.46E-2</v>
      </c>
      <c r="I141" s="2">
        <v>46214</v>
      </c>
      <c r="J141" s="1" t="s">
        <v>33</v>
      </c>
      <c r="K141" s="1" t="s">
        <v>33</v>
      </c>
      <c r="L141" s="1" t="s">
        <v>32</v>
      </c>
      <c r="M141" s="1" t="s">
        <v>33</v>
      </c>
      <c r="N141" s="1" t="s">
        <v>32</v>
      </c>
      <c r="O141" s="1" t="s">
        <v>32</v>
      </c>
      <c r="P141" s="57">
        <v>3.8800000000000001E-2</v>
      </c>
      <c r="Q141" s="84">
        <f t="shared" si="12"/>
        <v>2.4199999999999999E-2</v>
      </c>
      <c r="S141" s="4">
        <v>46214</v>
      </c>
      <c r="T141" s="3" t="s">
        <v>33</v>
      </c>
      <c r="U141" s="3" t="s">
        <v>33</v>
      </c>
      <c r="V141" s="3" t="s">
        <v>33</v>
      </c>
      <c r="W141" s="3" t="s">
        <v>33</v>
      </c>
      <c r="X141" s="6">
        <v>3.5000000000000003E-2</v>
      </c>
      <c r="Y141" s="3" t="s">
        <v>33</v>
      </c>
      <c r="Z141" s="6">
        <v>1.8599999999999998E-2</v>
      </c>
      <c r="AA141" s="2">
        <v>46214</v>
      </c>
      <c r="AB141" s="1" t="s">
        <v>33</v>
      </c>
      <c r="AC141" s="1" t="s">
        <v>33</v>
      </c>
      <c r="AD141" s="1" t="s">
        <v>33</v>
      </c>
      <c r="AE141" s="1" t="s">
        <v>33</v>
      </c>
      <c r="AF141" s="1" t="s">
        <v>33</v>
      </c>
      <c r="AG141" s="1" t="s">
        <v>33</v>
      </c>
      <c r="AH141" s="57">
        <v>2.5000000000000001E-2</v>
      </c>
      <c r="AI141" s="12">
        <f t="shared" si="13"/>
        <v>6.4000000000000029E-3</v>
      </c>
      <c r="AK141" s="4">
        <v>46214</v>
      </c>
      <c r="AL141" s="6">
        <v>0.02</v>
      </c>
      <c r="AM141" s="3"/>
      <c r="AN141" s="3"/>
      <c r="AO141" s="3"/>
      <c r="AP141" s="3" t="s">
        <v>33</v>
      </c>
      <c r="AQ141" s="3" t="s">
        <v>33</v>
      </c>
      <c r="AR141" s="6">
        <v>1.47E-2</v>
      </c>
      <c r="AS141" s="2">
        <v>46214</v>
      </c>
      <c r="AT141" s="13">
        <v>3.5000000000000003E-2</v>
      </c>
      <c r="AU141" s="13">
        <v>3.5000000000000003E-2</v>
      </c>
      <c r="AV141" s="13">
        <v>3.9899999999999998E-2</v>
      </c>
      <c r="AW141" s="13">
        <v>0.04</v>
      </c>
      <c r="AX141" s="13">
        <v>4.4499999999999998E-2</v>
      </c>
      <c r="AY141" s="13">
        <v>3.9300000000000002E-2</v>
      </c>
      <c r="AZ141" s="13">
        <v>3.9899999999999998E-2</v>
      </c>
      <c r="BA141" s="12">
        <f t="shared" si="14"/>
        <v>2.52E-2</v>
      </c>
      <c r="BC141" s="4">
        <v>46214</v>
      </c>
      <c r="BD141" s="6">
        <v>1.52E-2</v>
      </c>
      <c r="BE141" s="6">
        <v>1.54E-2</v>
      </c>
      <c r="BF141" s="6">
        <v>1.5599999999999999E-2</v>
      </c>
      <c r="BG141" s="3"/>
      <c r="BH141" s="3"/>
      <c r="BI141" s="3"/>
      <c r="BJ141" s="6">
        <v>1.5599999999999999E-2</v>
      </c>
      <c r="BK141" s="2">
        <v>46214</v>
      </c>
      <c r="BL141" s="57">
        <v>4.4600000000000001E-2</v>
      </c>
      <c r="BM141" s="1"/>
      <c r="BN141" s="57">
        <v>5.3499999999999999E-2</v>
      </c>
      <c r="BO141" s="1"/>
      <c r="BP141" s="1"/>
      <c r="BQ141" s="1"/>
      <c r="BR141" s="57">
        <v>3.8899999999999997E-2</v>
      </c>
      <c r="BS141" s="12">
        <f t="shared" si="15"/>
        <v>2.3299999999999998E-2</v>
      </c>
    </row>
    <row r="142" spans="1:71" x14ac:dyDescent="0.35">
      <c r="A142" s="4">
        <v>46215</v>
      </c>
      <c r="B142" s="3" t="s">
        <v>33</v>
      </c>
      <c r="C142" s="3" t="s">
        <v>33</v>
      </c>
      <c r="D142" s="3" t="s">
        <v>32</v>
      </c>
      <c r="E142" s="3" t="s">
        <v>33</v>
      </c>
      <c r="F142" s="3" t="s">
        <v>32</v>
      </c>
      <c r="G142" s="3" t="s">
        <v>33</v>
      </c>
      <c r="H142" s="9">
        <v>1.4E-2</v>
      </c>
      <c r="I142" s="2">
        <v>46215</v>
      </c>
      <c r="J142" s="1" t="s">
        <v>33</v>
      </c>
      <c r="K142" s="1" t="s">
        <v>33</v>
      </c>
      <c r="L142" s="1" t="s">
        <v>32</v>
      </c>
      <c r="M142" s="1" t="s">
        <v>33</v>
      </c>
      <c r="N142" s="1" t="s">
        <v>32</v>
      </c>
      <c r="O142" s="1" t="s">
        <v>32</v>
      </c>
      <c r="P142" s="57">
        <v>3.7699999999999997E-2</v>
      </c>
      <c r="Q142" s="84">
        <f t="shared" ref="Q142:Q146" si="16">P142-H142</f>
        <v>2.3699999999999999E-2</v>
      </c>
      <c r="S142" s="4">
        <v>46215</v>
      </c>
      <c r="T142" s="3" t="s">
        <v>33</v>
      </c>
      <c r="U142" s="3" t="s">
        <v>33</v>
      </c>
      <c r="V142" s="3" t="s">
        <v>33</v>
      </c>
      <c r="W142" s="3" t="s">
        <v>33</v>
      </c>
      <c r="X142" s="6">
        <v>3.5000000000000003E-2</v>
      </c>
      <c r="Y142" s="3" t="s">
        <v>33</v>
      </c>
      <c r="Z142" s="6">
        <v>1.83E-2</v>
      </c>
      <c r="AA142" s="2">
        <v>46215</v>
      </c>
      <c r="AB142" s="1" t="s">
        <v>33</v>
      </c>
      <c r="AC142" s="1" t="s">
        <v>33</v>
      </c>
      <c r="AD142" s="1" t="s">
        <v>33</v>
      </c>
      <c r="AE142" s="1" t="s">
        <v>33</v>
      </c>
      <c r="AF142" s="1" t="s">
        <v>33</v>
      </c>
      <c r="AG142" s="1" t="s">
        <v>33</v>
      </c>
      <c r="AH142" s="57">
        <v>2.5000000000000001E-2</v>
      </c>
      <c r="AI142" s="12">
        <f t="shared" si="13"/>
        <v>6.7000000000000011E-3</v>
      </c>
      <c r="AK142" s="4">
        <v>46215</v>
      </c>
      <c r="AL142" s="6">
        <v>0.02</v>
      </c>
      <c r="AM142" s="3"/>
      <c r="AN142" s="3"/>
      <c r="AO142" s="3"/>
      <c r="AP142" s="3" t="s">
        <v>33</v>
      </c>
      <c r="AQ142" s="3" t="s">
        <v>33</v>
      </c>
      <c r="AR142" s="6">
        <v>1.44E-2</v>
      </c>
      <c r="AS142" s="2">
        <v>46215</v>
      </c>
      <c r="AT142" s="13">
        <v>3.5000000000000003E-2</v>
      </c>
      <c r="AU142" s="13">
        <v>3.5000000000000003E-2</v>
      </c>
      <c r="AV142" s="13">
        <v>3.9899999999999998E-2</v>
      </c>
      <c r="AW142" s="13">
        <v>0.04</v>
      </c>
      <c r="AX142" s="13">
        <v>4.4499999999999998E-2</v>
      </c>
      <c r="AY142" s="13">
        <v>3.9300000000000002E-2</v>
      </c>
      <c r="AZ142" s="13">
        <v>3.9899999999999998E-2</v>
      </c>
      <c r="BA142" s="12">
        <f t="shared" ref="BA142:BA146" si="17">AZ142-AR142</f>
        <v>2.5499999999999998E-2</v>
      </c>
      <c r="BC142" s="4">
        <v>46215</v>
      </c>
      <c r="BD142" s="6">
        <v>1.52E-2</v>
      </c>
      <c r="BE142" s="6">
        <v>1.54E-2</v>
      </c>
      <c r="BF142" s="6">
        <v>1.5599999999999999E-2</v>
      </c>
      <c r="BG142" s="3"/>
      <c r="BH142" s="3"/>
      <c r="BI142" s="3"/>
      <c r="BJ142" s="6">
        <v>1.5599999999999999E-2</v>
      </c>
      <c r="BK142" s="2">
        <v>46215</v>
      </c>
      <c r="BL142" s="57">
        <v>4.4600000000000001E-2</v>
      </c>
      <c r="BM142" s="1"/>
      <c r="BN142" s="57">
        <v>5.3499999999999999E-2</v>
      </c>
      <c r="BO142" s="1"/>
      <c r="BP142" s="1"/>
      <c r="BQ142" s="1"/>
      <c r="BR142" s="57">
        <v>3.8100000000000002E-2</v>
      </c>
      <c r="BS142" s="12">
        <f t="shared" ref="BS142:BS173" si="18">BR142-BJ142</f>
        <v>2.2500000000000003E-2</v>
      </c>
    </row>
    <row r="143" spans="1:71" x14ac:dyDescent="0.35">
      <c r="A143" s="4">
        <v>46216</v>
      </c>
      <c r="B143" s="3" t="s">
        <v>33</v>
      </c>
      <c r="C143" s="3" t="s">
        <v>33</v>
      </c>
      <c r="D143" s="3" t="s">
        <v>32</v>
      </c>
      <c r="E143" s="3" t="s">
        <v>33</v>
      </c>
      <c r="F143" s="3" t="s">
        <v>32</v>
      </c>
      <c r="G143" s="3" t="s">
        <v>33</v>
      </c>
      <c r="H143" s="9">
        <v>1.38E-2</v>
      </c>
      <c r="I143" s="2">
        <v>46216</v>
      </c>
      <c r="J143" s="1" t="s">
        <v>33</v>
      </c>
      <c r="K143" s="1" t="s">
        <v>33</v>
      </c>
      <c r="L143" s="1" t="s">
        <v>32</v>
      </c>
      <c r="M143" s="1" t="s">
        <v>33</v>
      </c>
      <c r="N143" s="1" t="s">
        <v>32</v>
      </c>
      <c r="O143" s="1" t="s">
        <v>32</v>
      </c>
      <c r="P143" s="57">
        <v>3.7100000000000001E-2</v>
      </c>
      <c r="Q143" s="84">
        <f t="shared" si="16"/>
        <v>2.3300000000000001E-2</v>
      </c>
      <c r="S143" s="4">
        <v>46216</v>
      </c>
      <c r="T143" s="3" t="s">
        <v>33</v>
      </c>
      <c r="U143" s="3" t="s">
        <v>33</v>
      </c>
      <c r="V143" s="3" t="s">
        <v>33</v>
      </c>
      <c r="W143" s="3" t="s">
        <v>33</v>
      </c>
      <c r="X143" s="6">
        <v>3.5000000000000003E-2</v>
      </c>
      <c r="Y143" s="3" t="s">
        <v>33</v>
      </c>
      <c r="Z143" s="6">
        <v>1.6299999999999999E-2</v>
      </c>
      <c r="AA143" s="2">
        <v>46216</v>
      </c>
      <c r="AB143" s="1" t="s">
        <v>33</v>
      </c>
      <c r="AC143" s="1" t="s">
        <v>33</v>
      </c>
      <c r="AD143" s="1" t="s">
        <v>33</v>
      </c>
      <c r="AE143" s="1" t="s">
        <v>33</v>
      </c>
      <c r="AF143" s="1" t="s">
        <v>33</v>
      </c>
      <c r="AG143" s="1" t="s">
        <v>33</v>
      </c>
      <c r="AH143" s="57">
        <v>2.5000000000000001E-2</v>
      </c>
      <c r="AI143" s="12">
        <f t="shared" si="13"/>
        <v>8.7000000000000029E-3</v>
      </c>
      <c r="AK143" s="4">
        <v>46216</v>
      </c>
      <c r="AL143" s="6">
        <v>0.02</v>
      </c>
      <c r="AM143" s="3"/>
      <c r="AN143" s="3"/>
      <c r="AO143" s="3"/>
      <c r="AP143" s="3" t="s">
        <v>33</v>
      </c>
      <c r="AQ143" s="3" t="s">
        <v>33</v>
      </c>
      <c r="AR143" s="6">
        <v>1.3599999999999999E-2</v>
      </c>
      <c r="AS143" s="2">
        <v>46216</v>
      </c>
      <c r="AT143" s="13">
        <v>3.5000000000000003E-2</v>
      </c>
      <c r="AU143" s="13">
        <v>3.5000000000000003E-2</v>
      </c>
      <c r="AV143" s="13">
        <v>3.9899999999999998E-2</v>
      </c>
      <c r="AW143" s="13">
        <v>0.04</v>
      </c>
      <c r="AX143" s="13">
        <v>4.4499999999999998E-2</v>
      </c>
      <c r="AY143" s="13">
        <v>3.9300000000000002E-2</v>
      </c>
      <c r="AZ143" s="13">
        <v>3.9899999999999998E-2</v>
      </c>
      <c r="BA143" s="12">
        <f t="shared" si="17"/>
        <v>2.6299999999999997E-2</v>
      </c>
      <c r="BC143" s="4">
        <v>46216</v>
      </c>
      <c r="BD143" s="6">
        <v>1.52E-2</v>
      </c>
      <c r="BE143" s="6">
        <v>1.54E-2</v>
      </c>
      <c r="BF143" s="6">
        <v>1.5599999999999999E-2</v>
      </c>
      <c r="BG143" s="3"/>
      <c r="BH143" s="3"/>
      <c r="BI143" s="3"/>
      <c r="BJ143" s="6">
        <v>1.54E-2</v>
      </c>
      <c r="BK143" s="2">
        <v>46216</v>
      </c>
      <c r="BL143" s="57">
        <v>4.4600000000000001E-2</v>
      </c>
      <c r="BM143" s="1"/>
      <c r="BN143" s="57">
        <v>5.3499999999999999E-2</v>
      </c>
      <c r="BO143" s="1"/>
      <c r="BP143" s="1"/>
      <c r="BQ143" s="1"/>
      <c r="BR143" s="57">
        <v>3.7199999999999997E-2</v>
      </c>
      <c r="BS143" s="12">
        <f t="shared" si="18"/>
        <v>2.1799999999999996E-2</v>
      </c>
    </row>
    <row r="144" spans="1:71" x14ac:dyDescent="0.35">
      <c r="A144" s="4">
        <v>46217</v>
      </c>
      <c r="B144" s="3" t="s">
        <v>33</v>
      </c>
      <c r="C144" s="3" t="s">
        <v>33</v>
      </c>
      <c r="D144" s="3" t="s">
        <v>32</v>
      </c>
      <c r="E144" s="3" t="s">
        <v>33</v>
      </c>
      <c r="F144" s="3" t="s">
        <v>32</v>
      </c>
      <c r="G144" s="3" t="s">
        <v>33</v>
      </c>
      <c r="H144" s="9">
        <v>1.4500000000000001E-2</v>
      </c>
      <c r="I144" s="2">
        <v>46217</v>
      </c>
      <c r="J144" s="1" t="s">
        <v>33</v>
      </c>
      <c r="K144" s="1" t="s">
        <v>33</v>
      </c>
      <c r="L144" s="1" t="s">
        <v>32</v>
      </c>
      <c r="M144" s="1" t="s">
        <v>33</v>
      </c>
      <c r="N144" s="1" t="s">
        <v>32</v>
      </c>
      <c r="O144" s="1" t="s">
        <v>32</v>
      </c>
      <c r="P144" s="57">
        <v>3.6900000000000002E-2</v>
      </c>
      <c r="Q144" s="84">
        <f t="shared" si="16"/>
        <v>2.2400000000000003E-2</v>
      </c>
      <c r="S144" s="4">
        <v>46217</v>
      </c>
      <c r="T144" s="3" t="s">
        <v>33</v>
      </c>
      <c r="U144" s="3" t="s">
        <v>33</v>
      </c>
      <c r="V144" s="3" t="s">
        <v>33</v>
      </c>
      <c r="W144" s="3" t="s">
        <v>33</v>
      </c>
      <c r="X144" s="6">
        <v>3.5000000000000003E-2</v>
      </c>
      <c r="Y144" s="3" t="s">
        <v>33</v>
      </c>
      <c r="Z144" s="6">
        <v>1.8499999999999999E-2</v>
      </c>
      <c r="AA144" s="2">
        <v>46217</v>
      </c>
      <c r="AB144" s="1" t="s">
        <v>33</v>
      </c>
      <c r="AC144" s="1" t="s">
        <v>33</v>
      </c>
      <c r="AD144" s="1" t="s">
        <v>33</v>
      </c>
      <c r="AE144" s="1" t="s">
        <v>33</v>
      </c>
      <c r="AF144" s="1" t="s">
        <v>33</v>
      </c>
      <c r="AG144" s="1" t="s">
        <v>33</v>
      </c>
      <c r="AH144" s="57">
        <v>2.5000000000000001E-2</v>
      </c>
      <c r="AI144" s="12">
        <f t="shared" si="13"/>
        <v>6.5000000000000023E-3</v>
      </c>
      <c r="AK144" s="4">
        <v>46217</v>
      </c>
      <c r="AL144" s="6">
        <v>0.02</v>
      </c>
      <c r="AM144" s="3"/>
      <c r="AN144" s="3"/>
      <c r="AO144" s="3"/>
      <c r="AP144" s="3" t="s">
        <v>33</v>
      </c>
      <c r="AQ144" s="3" t="s">
        <v>33</v>
      </c>
      <c r="AR144" s="6">
        <v>1.43E-2</v>
      </c>
      <c r="AS144" s="2">
        <v>46217</v>
      </c>
      <c r="AT144" s="13">
        <v>3.5000000000000003E-2</v>
      </c>
      <c r="AU144" s="13">
        <v>4.2999999999999997E-2</v>
      </c>
      <c r="AV144" s="13">
        <v>0.04</v>
      </c>
      <c r="AW144" s="13">
        <v>0.04</v>
      </c>
      <c r="AX144" s="13">
        <v>4.4499999999999998E-2</v>
      </c>
      <c r="AY144" s="13">
        <v>5.7299999999999997E-2</v>
      </c>
      <c r="AZ144" s="13">
        <v>4.0599999999999997E-2</v>
      </c>
      <c r="BA144" s="12">
        <f t="shared" si="17"/>
        <v>2.6299999999999997E-2</v>
      </c>
      <c r="BC144" s="4">
        <v>46217</v>
      </c>
      <c r="BD144" s="6">
        <v>1.52E-2</v>
      </c>
      <c r="BE144" s="6">
        <v>1.54E-2</v>
      </c>
      <c r="BF144" s="6">
        <v>1.5599999999999999E-2</v>
      </c>
      <c r="BG144" s="3"/>
      <c r="BH144" s="3"/>
      <c r="BI144" s="3"/>
      <c r="BJ144" s="6">
        <v>1.4500000000000001E-2</v>
      </c>
      <c r="BK144" s="2">
        <v>46217</v>
      </c>
      <c r="BL144" s="57">
        <v>4.5600000000000002E-2</v>
      </c>
      <c r="BM144" s="1"/>
      <c r="BN144" s="57">
        <v>5.4699999999999999E-2</v>
      </c>
      <c r="BO144" s="1"/>
      <c r="BP144" s="1"/>
      <c r="BQ144" s="1"/>
      <c r="BR144" s="57">
        <v>3.7999999999999999E-2</v>
      </c>
      <c r="BS144" s="12">
        <f t="shared" si="18"/>
        <v>2.35E-2</v>
      </c>
    </row>
    <row r="145" spans="1:71" x14ac:dyDescent="0.35">
      <c r="A145" s="4">
        <v>46218</v>
      </c>
      <c r="B145" s="3" t="s">
        <v>33</v>
      </c>
      <c r="C145" s="3" t="s">
        <v>33</v>
      </c>
      <c r="D145" s="3" t="s">
        <v>32</v>
      </c>
      <c r="E145" s="3" t="s">
        <v>33</v>
      </c>
      <c r="F145" s="3" t="s">
        <v>32</v>
      </c>
      <c r="G145" s="3" t="s">
        <v>33</v>
      </c>
      <c r="H145" s="9">
        <v>1.54E-2</v>
      </c>
      <c r="I145" s="2">
        <v>46218</v>
      </c>
      <c r="J145" s="1" t="s">
        <v>33</v>
      </c>
      <c r="K145" s="1" t="s">
        <v>33</v>
      </c>
      <c r="L145" s="1" t="s">
        <v>32</v>
      </c>
      <c r="M145" s="1" t="s">
        <v>33</v>
      </c>
      <c r="N145" s="1" t="s">
        <v>32</v>
      </c>
      <c r="O145" s="1" t="s">
        <v>32</v>
      </c>
      <c r="P145" s="57">
        <v>3.8300000000000001E-2</v>
      </c>
      <c r="Q145" s="84">
        <f t="shared" si="16"/>
        <v>2.29E-2</v>
      </c>
      <c r="S145" s="4">
        <v>46218</v>
      </c>
      <c r="T145" s="3" t="s">
        <v>33</v>
      </c>
      <c r="U145" s="3" t="s">
        <v>33</v>
      </c>
      <c r="V145" s="3" t="s">
        <v>33</v>
      </c>
      <c r="W145" s="3" t="s">
        <v>33</v>
      </c>
      <c r="X145" s="6">
        <v>3.5000000000000003E-2</v>
      </c>
      <c r="Y145" s="3" t="s">
        <v>33</v>
      </c>
      <c r="Z145" s="6">
        <v>1.89E-2</v>
      </c>
      <c r="AA145" s="2">
        <v>46218</v>
      </c>
      <c r="AB145" s="1" t="s">
        <v>33</v>
      </c>
      <c r="AC145" s="1" t="s">
        <v>33</v>
      </c>
      <c r="AD145" s="1" t="s">
        <v>33</v>
      </c>
      <c r="AE145" s="1" t="s">
        <v>33</v>
      </c>
      <c r="AF145" s="1" t="s">
        <v>33</v>
      </c>
      <c r="AG145" s="1" t="s">
        <v>33</v>
      </c>
      <c r="AH145" s="57">
        <v>2.5000000000000001E-2</v>
      </c>
      <c r="AI145" s="12">
        <f t="shared" si="13"/>
        <v>6.1000000000000013E-3</v>
      </c>
      <c r="AK145" s="4">
        <v>46218</v>
      </c>
      <c r="AL145" s="6">
        <v>0.02</v>
      </c>
      <c r="AM145" s="3"/>
      <c r="AN145" s="3"/>
      <c r="AO145" s="3"/>
      <c r="AP145" s="3" t="s">
        <v>33</v>
      </c>
      <c r="AQ145" s="3" t="s">
        <v>33</v>
      </c>
      <c r="AR145" s="6">
        <v>1.6299999999999999E-2</v>
      </c>
      <c r="AS145" s="2">
        <v>46218</v>
      </c>
      <c r="AT145" s="13">
        <v>3.3000000000000002E-2</v>
      </c>
      <c r="AU145" s="13">
        <v>3.3000000000000002E-2</v>
      </c>
      <c r="AV145" s="13">
        <v>3.7900000000000003E-2</v>
      </c>
      <c r="AW145" s="13">
        <v>0.04</v>
      </c>
      <c r="AX145" s="13">
        <v>4.2900000000000001E-2</v>
      </c>
      <c r="AY145" s="13">
        <v>5.7299999999999997E-2</v>
      </c>
      <c r="AZ145" s="13">
        <v>4.2200000000000001E-2</v>
      </c>
      <c r="BA145" s="12">
        <f t="shared" si="17"/>
        <v>2.5900000000000003E-2</v>
      </c>
      <c r="BC145" s="4">
        <v>46218</v>
      </c>
      <c r="BD145" s="6">
        <v>1.52E-2</v>
      </c>
      <c r="BE145" s="6">
        <v>1.54E-2</v>
      </c>
      <c r="BF145" s="6">
        <v>1.5599999999999999E-2</v>
      </c>
      <c r="BG145" s="3"/>
      <c r="BH145" s="3"/>
      <c r="BI145" s="3"/>
      <c r="BJ145" s="6">
        <v>1.5599999999999999E-2</v>
      </c>
      <c r="BK145" s="2">
        <v>46218</v>
      </c>
      <c r="BL145" s="57">
        <v>4.7199999999999999E-2</v>
      </c>
      <c r="BM145" s="1"/>
      <c r="BN145" s="57">
        <v>5.6599999999999998E-2</v>
      </c>
      <c r="BO145" s="1"/>
      <c r="BP145" s="1"/>
      <c r="BQ145" s="1"/>
      <c r="BR145" s="57">
        <v>3.95E-2</v>
      </c>
      <c r="BS145" s="12">
        <f t="shared" si="18"/>
        <v>2.3900000000000001E-2</v>
      </c>
    </row>
    <row r="146" spans="1:71" x14ac:dyDescent="0.35">
      <c r="A146" s="4">
        <v>46219</v>
      </c>
      <c r="B146" s="3" t="s">
        <v>33</v>
      </c>
      <c r="C146" s="3" t="s">
        <v>33</v>
      </c>
      <c r="D146" s="3" t="s">
        <v>32</v>
      </c>
      <c r="E146" s="3" t="s">
        <v>33</v>
      </c>
      <c r="F146" s="3" t="s">
        <v>32</v>
      </c>
      <c r="G146" s="3" t="s">
        <v>33</v>
      </c>
      <c r="H146" s="9">
        <v>1.54E-2</v>
      </c>
      <c r="I146" s="2">
        <v>46219</v>
      </c>
      <c r="J146" s="1" t="s">
        <v>33</v>
      </c>
      <c r="K146" s="1" t="s">
        <v>33</v>
      </c>
      <c r="L146" s="1" t="s">
        <v>32</v>
      </c>
      <c r="M146" s="1" t="s">
        <v>33</v>
      </c>
      <c r="N146" s="1" t="s">
        <v>32</v>
      </c>
      <c r="O146" s="1" t="s">
        <v>32</v>
      </c>
      <c r="P146" s="57">
        <v>3.8100000000000002E-2</v>
      </c>
      <c r="Q146" s="84">
        <f t="shared" si="16"/>
        <v>2.2700000000000001E-2</v>
      </c>
      <c r="S146" s="4">
        <v>46219</v>
      </c>
      <c r="T146" s="3" t="s">
        <v>33</v>
      </c>
      <c r="U146" s="3" t="s">
        <v>33</v>
      </c>
      <c r="V146" s="3" t="s">
        <v>33</v>
      </c>
      <c r="W146" s="3" t="s">
        <v>33</v>
      </c>
      <c r="X146" s="6">
        <v>3.5000000000000003E-2</v>
      </c>
      <c r="Y146" s="3" t="s">
        <v>33</v>
      </c>
      <c r="Z146" s="6">
        <v>1.9099999999999999E-2</v>
      </c>
      <c r="AA146" s="2">
        <v>46219</v>
      </c>
      <c r="AB146" s="1" t="s">
        <v>33</v>
      </c>
      <c r="AC146" s="1" t="s">
        <v>33</v>
      </c>
      <c r="AD146" s="1" t="s">
        <v>33</v>
      </c>
      <c r="AE146" s="1" t="s">
        <v>33</v>
      </c>
      <c r="AF146" s="1" t="s">
        <v>33</v>
      </c>
      <c r="AG146" s="1" t="s">
        <v>33</v>
      </c>
      <c r="AH146" s="57">
        <v>2.5000000000000001E-2</v>
      </c>
      <c r="AI146" s="12">
        <f t="shared" si="13"/>
        <v>5.9000000000000025E-3</v>
      </c>
      <c r="AK146" s="4">
        <v>46219</v>
      </c>
      <c r="AL146" s="6">
        <v>0.02</v>
      </c>
      <c r="AM146" s="3"/>
      <c r="AN146" s="3"/>
      <c r="AO146" s="3"/>
      <c r="AP146" s="3" t="s">
        <v>33</v>
      </c>
      <c r="AQ146" s="3" t="s">
        <v>33</v>
      </c>
      <c r="AR146" s="6">
        <v>1.6299999999999999E-2</v>
      </c>
      <c r="AS146" s="2">
        <v>46219</v>
      </c>
      <c r="AT146" s="13">
        <v>3.3000000000000002E-2</v>
      </c>
      <c r="AU146" s="13">
        <v>3.3000000000000002E-2</v>
      </c>
      <c r="AV146" s="13">
        <v>3.7900000000000003E-2</v>
      </c>
      <c r="AW146" s="13">
        <v>0.04</v>
      </c>
      <c r="AX146" s="13">
        <v>4.2900000000000001E-2</v>
      </c>
      <c r="AY146" s="13">
        <v>5.7299999999999997E-2</v>
      </c>
      <c r="AZ146" s="13">
        <v>4.2200000000000001E-2</v>
      </c>
      <c r="BA146" s="12">
        <f t="shared" si="17"/>
        <v>2.5900000000000003E-2</v>
      </c>
      <c r="BC146" s="4">
        <v>46219</v>
      </c>
      <c r="BD146" s="6">
        <v>1.52E-2</v>
      </c>
      <c r="BE146" s="6">
        <v>1.54E-2</v>
      </c>
      <c r="BF146" s="6">
        <v>1.5599999999999999E-2</v>
      </c>
      <c r="BG146" s="3"/>
      <c r="BH146" s="3"/>
      <c r="BI146" s="3"/>
      <c r="BJ146" s="6">
        <v>1.5599999999999999E-2</v>
      </c>
      <c r="BK146" s="2">
        <v>46219</v>
      </c>
      <c r="BL146" s="57">
        <v>4.7199999999999999E-2</v>
      </c>
      <c r="BM146" s="1"/>
      <c r="BN146" s="57">
        <v>5.6599999999999998E-2</v>
      </c>
      <c r="BO146" s="1"/>
      <c r="BP146" s="1"/>
      <c r="BQ146" s="1"/>
      <c r="BR146" s="57">
        <v>3.9399999999999998E-2</v>
      </c>
      <c r="BS146" s="12">
        <f t="shared" si="18"/>
        <v>2.3799999999999998E-2</v>
      </c>
    </row>
    <row r="147" spans="1:71" x14ac:dyDescent="0.35">
      <c r="A147" s="4">
        <v>46220</v>
      </c>
      <c r="B147" s="3" t="s">
        <v>33</v>
      </c>
      <c r="C147" s="3" t="s">
        <v>33</v>
      </c>
      <c r="D147" s="3" t="s">
        <v>32</v>
      </c>
      <c r="E147" s="3" t="s">
        <v>33</v>
      </c>
      <c r="F147" s="3" t="s">
        <v>32</v>
      </c>
      <c r="G147" s="3" t="s">
        <v>33</v>
      </c>
      <c r="H147" s="9">
        <v>1.5100000000000001E-2</v>
      </c>
      <c r="I147" s="2">
        <v>46220</v>
      </c>
      <c r="J147" s="1" t="s">
        <v>33</v>
      </c>
      <c r="K147" s="1" t="s">
        <v>33</v>
      </c>
      <c r="L147" s="1" t="s">
        <v>32</v>
      </c>
      <c r="M147" s="1" t="s">
        <v>33</v>
      </c>
      <c r="N147" s="1" t="s">
        <v>32</v>
      </c>
      <c r="O147" s="1" t="s">
        <v>32</v>
      </c>
      <c r="P147" s="57">
        <v>3.7699999999999997E-2</v>
      </c>
      <c r="Q147" s="84">
        <f t="shared" ref="Q147:Q152" si="19">P147-H147</f>
        <v>2.2599999999999995E-2</v>
      </c>
      <c r="S147" s="4">
        <v>46220</v>
      </c>
      <c r="T147" s="3" t="s">
        <v>33</v>
      </c>
      <c r="U147" s="3" t="s">
        <v>33</v>
      </c>
      <c r="V147" s="3" t="s">
        <v>33</v>
      </c>
      <c r="W147" s="3" t="s">
        <v>33</v>
      </c>
      <c r="X147" s="6">
        <v>3.5000000000000003E-2</v>
      </c>
      <c r="Y147" s="3" t="s">
        <v>33</v>
      </c>
      <c r="Z147" s="6">
        <v>1.9E-2</v>
      </c>
      <c r="AA147" s="2">
        <v>46220</v>
      </c>
      <c r="AB147" s="1" t="s">
        <v>33</v>
      </c>
      <c r="AC147" s="1" t="s">
        <v>33</v>
      </c>
      <c r="AD147" s="1" t="s">
        <v>33</v>
      </c>
      <c r="AE147" s="1" t="s">
        <v>33</v>
      </c>
      <c r="AF147" s="1" t="s">
        <v>33</v>
      </c>
      <c r="AG147" s="1" t="s">
        <v>33</v>
      </c>
      <c r="AH147" s="57">
        <v>2.5000000000000001E-2</v>
      </c>
      <c r="AI147" s="12">
        <f t="shared" si="13"/>
        <v>6.0000000000000019E-3</v>
      </c>
      <c r="AK147" s="4">
        <v>46220</v>
      </c>
      <c r="AL147" s="6">
        <v>0.02</v>
      </c>
      <c r="AM147" s="3"/>
      <c r="AN147" s="3"/>
      <c r="AO147" s="3"/>
      <c r="AP147" s="3" t="s">
        <v>33</v>
      </c>
      <c r="AQ147" s="3" t="s">
        <v>33</v>
      </c>
      <c r="AR147" s="6">
        <v>1.5800000000000002E-2</v>
      </c>
      <c r="AS147" s="2">
        <v>46220</v>
      </c>
      <c r="AT147" s="13">
        <v>3.5000000000000003E-2</v>
      </c>
      <c r="AU147" s="13">
        <v>3.3000000000000002E-2</v>
      </c>
      <c r="AV147" s="13">
        <v>3.5000000000000003E-2</v>
      </c>
      <c r="AW147" s="13">
        <v>0.04</v>
      </c>
      <c r="AX147" s="13">
        <v>4.2900000000000001E-2</v>
      </c>
      <c r="AY147" s="13">
        <v>5.7000000000000002E-2</v>
      </c>
      <c r="AZ147" s="13">
        <v>4.1700000000000001E-2</v>
      </c>
      <c r="BA147" s="12">
        <f t="shared" ref="BA147:BA152" si="20">AZ147-AR147</f>
        <v>2.5899999999999999E-2</v>
      </c>
      <c r="BC147" s="4">
        <v>46220</v>
      </c>
      <c r="BD147" s="6">
        <v>1.52E-2</v>
      </c>
      <c r="BE147" s="6">
        <v>1.54E-2</v>
      </c>
      <c r="BF147" s="6">
        <v>1.5599999999999999E-2</v>
      </c>
      <c r="BG147" s="3"/>
      <c r="BH147" s="3"/>
      <c r="BI147" s="3"/>
      <c r="BJ147" s="6">
        <v>1.61E-2</v>
      </c>
      <c r="BK147" s="2">
        <v>46220</v>
      </c>
      <c r="BL147" s="57">
        <v>4.6199999999999998E-2</v>
      </c>
      <c r="BM147" s="1"/>
      <c r="BN147" s="57">
        <v>5.5399999999999998E-2</v>
      </c>
      <c r="BO147" s="1"/>
      <c r="BP147" s="1"/>
      <c r="BQ147" s="1"/>
      <c r="BR147" s="57">
        <v>3.8699999999999998E-2</v>
      </c>
      <c r="BS147" s="12">
        <f t="shared" si="18"/>
        <v>2.2599999999999999E-2</v>
      </c>
    </row>
    <row r="148" spans="1:71" x14ac:dyDescent="0.35">
      <c r="A148" s="4">
        <v>46221</v>
      </c>
      <c r="B148" s="3" t="s">
        <v>33</v>
      </c>
      <c r="C148" s="3" t="s">
        <v>33</v>
      </c>
      <c r="D148" s="3" t="s">
        <v>32</v>
      </c>
      <c r="E148" s="3" t="s">
        <v>33</v>
      </c>
      <c r="F148" s="3" t="s">
        <v>32</v>
      </c>
      <c r="G148" s="3" t="s">
        <v>33</v>
      </c>
      <c r="H148" s="9">
        <v>1.4E-2</v>
      </c>
      <c r="I148" s="2">
        <v>46221</v>
      </c>
      <c r="J148" s="1" t="s">
        <v>33</v>
      </c>
      <c r="K148" s="1" t="s">
        <v>33</v>
      </c>
      <c r="L148" s="1" t="s">
        <v>32</v>
      </c>
      <c r="M148" s="1" t="s">
        <v>33</v>
      </c>
      <c r="N148" s="1" t="s">
        <v>32</v>
      </c>
      <c r="O148" s="1" t="s">
        <v>32</v>
      </c>
      <c r="P148" s="57">
        <v>3.7400000000000003E-2</v>
      </c>
      <c r="Q148" s="84">
        <f t="shared" si="19"/>
        <v>2.3400000000000004E-2</v>
      </c>
      <c r="S148" s="4">
        <v>46221</v>
      </c>
      <c r="T148" s="3" t="s">
        <v>33</v>
      </c>
      <c r="U148" s="3" t="s">
        <v>33</v>
      </c>
      <c r="V148" s="3" t="s">
        <v>33</v>
      </c>
      <c r="W148" s="3" t="s">
        <v>33</v>
      </c>
      <c r="X148" s="6">
        <v>3.5000000000000003E-2</v>
      </c>
      <c r="Y148" s="3" t="s">
        <v>33</v>
      </c>
      <c r="Z148" s="6">
        <v>1.9E-2</v>
      </c>
      <c r="AA148" s="2">
        <v>46221</v>
      </c>
      <c r="AB148" s="1" t="s">
        <v>33</v>
      </c>
      <c r="AC148" s="1" t="s">
        <v>33</v>
      </c>
      <c r="AD148" s="1" t="s">
        <v>33</v>
      </c>
      <c r="AE148" s="1" t="s">
        <v>33</v>
      </c>
      <c r="AF148" s="1" t="s">
        <v>33</v>
      </c>
      <c r="AG148" s="1" t="s">
        <v>33</v>
      </c>
      <c r="AH148" s="57">
        <v>2.5000000000000001E-2</v>
      </c>
      <c r="AI148" s="12">
        <f t="shared" si="13"/>
        <v>6.0000000000000019E-3</v>
      </c>
      <c r="AK148" s="4">
        <v>46221</v>
      </c>
      <c r="AL148" s="6">
        <v>0.02</v>
      </c>
      <c r="AM148" s="3"/>
      <c r="AN148" s="3"/>
      <c r="AO148" s="3"/>
      <c r="AP148" s="3" t="s">
        <v>33</v>
      </c>
      <c r="AQ148" s="3" t="s">
        <v>33</v>
      </c>
      <c r="AR148" s="6">
        <v>1.4999999999999999E-2</v>
      </c>
      <c r="AS148" s="2">
        <v>46221</v>
      </c>
      <c r="AT148" s="13">
        <v>3.3000000000000002E-2</v>
      </c>
      <c r="AU148" s="13">
        <v>3.39E-2</v>
      </c>
      <c r="AV148" s="13">
        <v>3.7699999999999997E-2</v>
      </c>
      <c r="AW148" s="13">
        <v>3.9899999999999998E-2</v>
      </c>
      <c r="AX148" s="13">
        <v>4.2900000000000001E-2</v>
      </c>
      <c r="AY148" s="13">
        <v>4.9799999999999997E-2</v>
      </c>
      <c r="AZ148" s="13">
        <v>4.0599999999999997E-2</v>
      </c>
      <c r="BA148" s="12">
        <f t="shared" si="20"/>
        <v>2.5599999999999998E-2</v>
      </c>
      <c r="BC148" s="4">
        <v>46221</v>
      </c>
      <c r="BD148" s="6">
        <v>1.52E-2</v>
      </c>
      <c r="BE148" s="6">
        <v>1.54E-2</v>
      </c>
      <c r="BF148" s="6">
        <v>1.5599999999999999E-2</v>
      </c>
      <c r="BG148" s="3"/>
      <c r="BH148" s="3"/>
      <c r="BI148" s="3"/>
      <c r="BJ148" s="6">
        <v>1.4999999999999999E-2</v>
      </c>
      <c r="BK148" s="2">
        <v>46221</v>
      </c>
      <c r="BL148" s="57">
        <v>4.5199999999999997E-2</v>
      </c>
      <c r="BM148" s="1"/>
      <c r="BN148" s="57">
        <v>5.4199999999999998E-2</v>
      </c>
      <c r="BO148" s="1"/>
      <c r="BP148" s="1"/>
      <c r="BQ148" s="1"/>
      <c r="BR148" s="57">
        <v>3.7499999999999999E-2</v>
      </c>
      <c r="BS148" s="12">
        <f t="shared" si="18"/>
        <v>2.2499999999999999E-2</v>
      </c>
    </row>
    <row r="149" spans="1:71" x14ac:dyDescent="0.35">
      <c r="A149" s="4">
        <v>46222</v>
      </c>
      <c r="B149" s="3" t="s">
        <v>33</v>
      </c>
      <c r="C149" s="3" t="s">
        <v>33</v>
      </c>
      <c r="D149" s="3" t="s">
        <v>32</v>
      </c>
      <c r="E149" s="3" t="s">
        <v>33</v>
      </c>
      <c r="F149" s="3" t="s">
        <v>32</v>
      </c>
      <c r="G149" s="3" t="s">
        <v>33</v>
      </c>
      <c r="H149" s="9">
        <v>1.41E-2</v>
      </c>
      <c r="I149" s="2">
        <v>46222</v>
      </c>
      <c r="J149" s="1" t="s">
        <v>33</v>
      </c>
      <c r="K149" s="1" t="s">
        <v>33</v>
      </c>
      <c r="L149" s="1" t="s">
        <v>32</v>
      </c>
      <c r="M149" s="1" t="s">
        <v>33</v>
      </c>
      <c r="N149" s="1" t="s">
        <v>32</v>
      </c>
      <c r="O149" s="1" t="s">
        <v>32</v>
      </c>
      <c r="P149" s="57">
        <v>3.6799999999999999E-2</v>
      </c>
      <c r="Q149" s="84">
        <f t="shared" si="19"/>
        <v>2.2699999999999998E-2</v>
      </c>
      <c r="S149" s="4">
        <v>46222</v>
      </c>
      <c r="T149" s="3" t="s">
        <v>33</v>
      </c>
      <c r="U149" s="3" t="s">
        <v>33</v>
      </c>
      <c r="V149" s="3" t="s">
        <v>33</v>
      </c>
      <c r="W149" s="3" t="s">
        <v>33</v>
      </c>
      <c r="X149" s="6">
        <v>3.5000000000000003E-2</v>
      </c>
      <c r="Y149" s="3" t="s">
        <v>33</v>
      </c>
      <c r="Z149" s="6">
        <v>1.9199999999999998E-2</v>
      </c>
      <c r="AA149" s="2">
        <v>46222</v>
      </c>
      <c r="AB149" s="1" t="s">
        <v>33</v>
      </c>
      <c r="AC149" s="1" t="s">
        <v>33</v>
      </c>
      <c r="AD149" s="1" t="s">
        <v>33</v>
      </c>
      <c r="AE149" s="1" t="s">
        <v>33</v>
      </c>
      <c r="AF149" s="1" t="s">
        <v>33</v>
      </c>
      <c r="AG149" s="1" t="s">
        <v>33</v>
      </c>
      <c r="AH149" s="57">
        <v>2.5000000000000001E-2</v>
      </c>
      <c r="AI149" s="12">
        <f t="shared" si="13"/>
        <v>5.8000000000000031E-3</v>
      </c>
      <c r="AK149" s="4">
        <v>46222</v>
      </c>
      <c r="AL149" s="6">
        <v>0.02</v>
      </c>
      <c r="AM149" s="3"/>
      <c r="AN149" s="3"/>
      <c r="AO149" s="3"/>
      <c r="AP149" s="3" t="s">
        <v>33</v>
      </c>
      <c r="AQ149" s="3" t="s">
        <v>33</v>
      </c>
      <c r="AR149" s="6">
        <v>1.4999999999999999E-2</v>
      </c>
      <c r="AS149" s="2">
        <v>46222</v>
      </c>
      <c r="AT149" s="13">
        <v>3.3000000000000002E-2</v>
      </c>
      <c r="AU149" s="13">
        <v>3.39E-2</v>
      </c>
      <c r="AV149" s="13">
        <v>3.7699999999999997E-2</v>
      </c>
      <c r="AW149" s="13">
        <v>3.9899999999999998E-2</v>
      </c>
      <c r="AX149" s="13">
        <v>4.2900000000000001E-2</v>
      </c>
      <c r="AY149" s="13">
        <v>4.9799999999999997E-2</v>
      </c>
      <c r="AZ149" s="13">
        <v>4.0599999999999997E-2</v>
      </c>
      <c r="BA149" s="12">
        <f t="shared" si="20"/>
        <v>2.5599999999999998E-2</v>
      </c>
      <c r="BC149" s="4">
        <v>46222</v>
      </c>
      <c r="BD149" s="6">
        <v>1.52E-2</v>
      </c>
      <c r="BE149" s="6">
        <v>1.54E-2</v>
      </c>
      <c r="BF149" s="6">
        <v>1.5599999999999999E-2</v>
      </c>
      <c r="BG149" s="3"/>
      <c r="BH149" s="3"/>
      <c r="BI149" s="3"/>
      <c r="BJ149" s="6">
        <v>1.49E-2</v>
      </c>
      <c r="BK149" s="2">
        <v>46222</v>
      </c>
      <c r="BL149" s="57">
        <v>4.5199999999999997E-2</v>
      </c>
      <c r="BM149" s="1"/>
      <c r="BN149" s="57">
        <v>5.4199999999999998E-2</v>
      </c>
      <c r="BO149" s="1"/>
      <c r="BP149" s="1"/>
      <c r="BQ149" s="1"/>
      <c r="BR149" s="57">
        <v>3.6999999999999998E-2</v>
      </c>
      <c r="BS149" s="12">
        <f t="shared" si="18"/>
        <v>2.2099999999999998E-2</v>
      </c>
    </row>
    <row r="150" spans="1:71" x14ac:dyDescent="0.35">
      <c r="A150" s="4">
        <v>46223</v>
      </c>
      <c r="B150" s="3" t="s">
        <v>33</v>
      </c>
      <c r="C150" s="3" t="s">
        <v>33</v>
      </c>
      <c r="D150" s="3" t="s">
        <v>32</v>
      </c>
      <c r="E150" s="3" t="s">
        <v>33</v>
      </c>
      <c r="F150" s="3" t="s">
        <v>32</v>
      </c>
      <c r="G150" s="3" t="s">
        <v>33</v>
      </c>
      <c r="H150" s="9">
        <v>1.43E-2</v>
      </c>
      <c r="I150" s="2">
        <v>46223</v>
      </c>
      <c r="J150" s="1" t="s">
        <v>33</v>
      </c>
      <c r="K150" s="1" t="s">
        <v>33</v>
      </c>
      <c r="L150" s="1" t="s">
        <v>32</v>
      </c>
      <c r="M150" s="1" t="s">
        <v>33</v>
      </c>
      <c r="N150" s="1" t="s">
        <v>32</v>
      </c>
      <c r="O150" s="1" t="s">
        <v>32</v>
      </c>
      <c r="P150" s="57">
        <v>3.7400000000000003E-2</v>
      </c>
      <c r="Q150" s="84">
        <f t="shared" si="19"/>
        <v>2.3100000000000002E-2</v>
      </c>
      <c r="S150" s="4">
        <v>46223</v>
      </c>
      <c r="T150" s="3" t="s">
        <v>33</v>
      </c>
      <c r="U150" s="3" t="s">
        <v>33</v>
      </c>
      <c r="V150" s="3" t="s">
        <v>33</v>
      </c>
      <c r="W150" s="3" t="s">
        <v>33</v>
      </c>
      <c r="X150" s="6">
        <v>3.5000000000000003E-2</v>
      </c>
      <c r="Y150" s="3" t="s">
        <v>33</v>
      </c>
      <c r="Z150" s="6">
        <v>1.72E-2</v>
      </c>
      <c r="AA150" s="2">
        <v>46223</v>
      </c>
      <c r="AB150" s="1" t="s">
        <v>33</v>
      </c>
      <c r="AC150" s="1" t="s">
        <v>33</v>
      </c>
      <c r="AD150" s="1" t="s">
        <v>33</v>
      </c>
      <c r="AE150" s="1" t="s">
        <v>33</v>
      </c>
      <c r="AF150" s="1" t="s">
        <v>33</v>
      </c>
      <c r="AG150" s="1" t="s">
        <v>33</v>
      </c>
      <c r="AH150" s="57">
        <v>2.5000000000000001E-2</v>
      </c>
      <c r="AI150" s="12">
        <f t="shared" si="13"/>
        <v>7.8000000000000014E-3</v>
      </c>
      <c r="AK150" s="4">
        <v>46223</v>
      </c>
      <c r="AL150" s="6">
        <v>0.02</v>
      </c>
      <c r="AM150" s="3"/>
      <c r="AN150" s="3"/>
      <c r="AO150" s="3"/>
      <c r="AP150" s="3" t="s">
        <v>33</v>
      </c>
      <c r="AQ150" s="3" t="s">
        <v>33</v>
      </c>
      <c r="AR150" s="6">
        <v>1.4999999999999999E-2</v>
      </c>
      <c r="AS150" s="2">
        <v>46223</v>
      </c>
      <c r="AT150" s="13">
        <v>3.3000000000000002E-2</v>
      </c>
      <c r="AU150" s="13">
        <v>3.39E-2</v>
      </c>
      <c r="AV150" s="13">
        <v>3.7699999999999997E-2</v>
      </c>
      <c r="AW150" s="13">
        <v>3.9899999999999998E-2</v>
      </c>
      <c r="AX150" s="13">
        <v>4.2900000000000001E-2</v>
      </c>
      <c r="AY150" s="13">
        <v>4.9799999999999997E-2</v>
      </c>
      <c r="AZ150" s="13">
        <v>4.0599999999999997E-2</v>
      </c>
      <c r="BA150" s="12">
        <f t="shared" si="20"/>
        <v>2.5599999999999998E-2</v>
      </c>
      <c r="BC150" s="4">
        <v>46223</v>
      </c>
      <c r="BD150" s="6">
        <v>1.52E-2</v>
      </c>
      <c r="BE150" s="6">
        <v>1.54E-2</v>
      </c>
      <c r="BF150" s="6">
        <v>1.5599999999999999E-2</v>
      </c>
      <c r="BG150" s="3"/>
      <c r="BH150" s="3"/>
      <c r="BI150" s="3"/>
      <c r="BJ150" s="6">
        <v>1.4800000000000001E-2</v>
      </c>
      <c r="BK150" s="2">
        <v>46223</v>
      </c>
      <c r="BL150" s="57">
        <v>4.5199999999999997E-2</v>
      </c>
      <c r="BM150" s="1"/>
      <c r="BN150" s="57">
        <v>5.4199999999999998E-2</v>
      </c>
      <c r="BO150" s="1"/>
      <c r="BP150" s="1"/>
      <c r="BQ150" s="1"/>
      <c r="BR150" s="57">
        <v>3.78E-2</v>
      </c>
      <c r="BS150" s="12">
        <f t="shared" si="18"/>
        <v>2.3E-2</v>
      </c>
    </row>
    <row r="151" spans="1:71" x14ac:dyDescent="0.35">
      <c r="A151" s="4">
        <v>46224</v>
      </c>
      <c r="B151" s="3" t="s">
        <v>33</v>
      </c>
      <c r="C151" s="3" t="s">
        <v>33</v>
      </c>
      <c r="D151" s="3" t="s">
        <v>32</v>
      </c>
      <c r="E151" s="3" t="s">
        <v>33</v>
      </c>
      <c r="F151" s="3" t="s">
        <v>32</v>
      </c>
      <c r="G151" s="3" t="s">
        <v>33</v>
      </c>
      <c r="H151" s="9">
        <v>1.5100000000000001E-2</v>
      </c>
      <c r="I151" s="2">
        <v>46224</v>
      </c>
      <c r="J151" s="1" t="s">
        <v>33</v>
      </c>
      <c r="K151" s="1" t="s">
        <v>33</v>
      </c>
      <c r="L151" s="1" t="s">
        <v>32</v>
      </c>
      <c r="M151" s="1" t="s">
        <v>33</v>
      </c>
      <c r="N151" s="1" t="s">
        <v>32</v>
      </c>
      <c r="O151" s="1" t="s">
        <v>32</v>
      </c>
      <c r="P151" s="57">
        <v>3.78E-2</v>
      </c>
      <c r="Q151" s="84">
        <f t="shared" si="19"/>
        <v>2.2699999999999998E-2</v>
      </c>
      <c r="S151" s="4">
        <v>46224</v>
      </c>
      <c r="T151" s="3" t="s">
        <v>33</v>
      </c>
      <c r="U151" s="3" t="s">
        <v>33</v>
      </c>
      <c r="V151" s="3" t="s">
        <v>33</v>
      </c>
      <c r="W151" s="3" t="s">
        <v>33</v>
      </c>
      <c r="X151" s="6">
        <v>3.5000000000000003E-2</v>
      </c>
      <c r="Y151" s="3" t="s">
        <v>33</v>
      </c>
      <c r="Z151" s="6">
        <v>1.9300000000000001E-2</v>
      </c>
      <c r="AA151" s="2">
        <v>46224</v>
      </c>
      <c r="AB151" s="1" t="s">
        <v>33</v>
      </c>
      <c r="AC151" s="1" t="s">
        <v>33</v>
      </c>
      <c r="AD151" s="1" t="s">
        <v>33</v>
      </c>
      <c r="AE151" s="1" t="s">
        <v>33</v>
      </c>
      <c r="AF151" s="1" t="s">
        <v>33</v>
      </c>
      <c r="AG151" s="1" t="s">
        <v>33</v>
      </c>
      <c r="AH151" s="57">
        <v>2.5000000000000001E-2</v>
      </c>
      <c r="AI151" s="12">
        <f t="shared" si="13"/>
        <v>5.7000000000000002E-3</v>
      </c>
      <c r="AK151" s="4">
        <v>46224</v>
      </c>
      <c r="AL151" s="6">
        <v>0.02</v>
      </c>
      <c r="AM151" s="3"/>
      <c r="AN151" s="3"/>
      <c r="AO151" s="3"/>
      <c r="AP151" s="3" t="s">
        <v>33</v>
      </c>
      <c r="AQ151" s="3" t="s">
        <v>33</v>
      </c>
      <c r="AR151" s="6">
        <v>1.61E-2</v>
      </c>
      <c r="AS151" s="2">
        <v>46224</v>
      </c>
      <c r="AT151" s="13">
        <v>3.39E-2</v>
      </c>
      <c r="AU151" s="13">
        <v>3.49E-2</v>
      </c>
      <c r="AV151" s="13">
        <v>3.7499999999999999E-2</v>
      </c>
      <c r="AW151" s="13">
        <v>3.9899999999999998E-2</v>
      </c>
      <c r="AX151" s="13">
        <v>4.1799999999999997E-2</v>
      </c>
      <c r="AY151" s="13">
        <v>4.99E-2</v>
      </c>
      <c r="AZ151" s="13">
        <v>4.1300000000000003E-2</v>
      </c>
      <c r="BA151" s="12">
        <f t="shared" si="20"/>
        <v>2.5200000000000004E-2</v>
      </c>
      <c r="BC151" s="4">
        <v>46224</v>
      </c>
      <c r="BD151" s="6">
        <v>1.52E-2</v>
      </c>
      <c r="BE151" s="6">
        <v>1.54E-2</v>
      </c>
      <c r="BF151" s="6">
        <v>1.5599999999999999E-2</v>
      </c>
      <c r="BG151" s="3"/>
      <c r="BH151" s="3"/>
      <c r="BI151" s="3"/>
      <c r="BJ151" s="6">
        <v>1.41E-2</v>
      </c>
      <c r="BK151" s="2">
        <v>46224</v>
      </c>
      <c r="BL151" s="57">
        <v>4.5900000000000003E-2</v>
      </c>
      <c r="BM151" s="1"/>
      <c r="BN151" s="57">
        <v>5.5100000000000003E-2</v>
      </c>
      <c r="BO151" s="1"/>
      <c r="BP151" s="1"/>
      <c r="BQ151" s="1"/>
      <c r="BR151" s="57">
        <v>3.8300000000000001E-2</v>
      </c>
      <c r="BS151" s="12">
        <f t="shared" si="18"/>
        <v>2.4199999999999999E-2</v>
      </c>
    </row>
    <row r="152" spans="1:71" x14ac:dyDescent="0.35">
      <c r="A152" s="4">
        <v>46225</v>
      </c>
      <c r="B152" s="3" t="s">
        <v>33</v>
      </c>
      <c r="C152" s="3" t="s">
        <v>33</v>
      </c>
      <c r="D152" s="3" t="s">
        <v>32</v>
      </c>
      <c r="E152" s="3" t="s">
        <v>33</v>
      </c>
      <c r="F152" s="3" t="s">
        <v>32</v>
      </c>
      <c r="G152" s="3" t="s">
        <v>33</v>
      </c>
      <c r="H152" s="9">
        <v>1.4800000000000001E-2</v>
      </c>
      <c r="I152" s="2">
        <v>46225</v>
      </c>
      <c r="J152" s="1" t="s">
        <v>33</v>
      </c>
      <c r="K152" s="1" t="s">
        <v>33</v>
      </c>
      <c r="L152" s="1" t="s">
        <v>32</v>
      </c>
      <c r="M152" s="1" t="s">
        <v>33</v>
      </c>
      <c r="N152" s="1" t="s">
        <v>32</v>
      </c>
      <c r="O152" s="1" t="s">
        <v>32</v>
      </c>
      <c r="P152" s="57">
        <v>3.7400000000000003E-2</v>
      </c>
      <c r="Q152" s="84">
        <f t="shared" si="19"/>
        <v>2.2600000000000002E-2</v>
      </c>
      <c r="S152" s="4">
        <v>46225</v>
      </c>
      <c r="T152" s="3" t="s">
        <v>33</v>
      </c>
      <c r="U152" s="3" t="s">
        <v>33</v>
      </c>
      <c r="V152" s="3" t="s">
        <v>33</v>
      </c>
      <c r="W152" s="3" t="s">
        <v>33</v>
      </c>
      <c r="X152" s="6">
        <v>3.5000000000000003E-2</v>
      </c>
      <c r="Y152" s="3" t="s">
        <v>33</v>
      </c>
      <c r="Z152" s="6">
        <v>1.9199999999999998E-2</v>
      </c>
      <c r="AA152" s="2">
        <v>46225</v>
      </c>
      <c r="AB152" s="1" t="s">
        <v>33</v>
      </c>
      <c r="AC152" s="1" t="s">
        <v>33</v>
      </c>
      <c r="AD152" s="1" t="s">
        <v>33</v>
      </c>
      <c r="AE152" s="1" t="s">
        <v>33</v>
      </c>
      <c r="AF152" s="1" t="s">
        <v>33</v>
      </c>
      <c r="AG152" s="1" t="s">
        <v>33</v>
      </c>
      <c r="AH152" s="57">
        <v>2.5000000000000001E-2</v>
      </c>
      <c r="AI152" s="12">
        <f t="shared" si="13"/>
        <v>5.8000000000000031E-3</v>
      </c>
      <c r="AK152" s="4">
        <v>46225</v>
      </c>
      <c r="AL152" s="6">
        <v>0.02</v>
      </c>
      <c r="AM152" s="3"/>
      <c r="AN152" s="3"/>
      <c r="AO152" s="3"/>
      <c r="AP152" s="3" t="s">
        <v>33</v>
      </c>
      <c r="AQ152" s="3" t="s">
        <v>33</v>
      </c>
      <c r="AR152" s="6">
        <v>1.6299999999999999E-2</v>
      </c>
      <c r="AS152" s="2">
        <v>46225</v>
      </c>
      <c r="AT152" s="13">
        <v>3.5000000000000003E-2</v>
      </c>
      <c r="AU152" s="13">
        <v>3.5000000000000003E-2</v>
      </c>
      <c r="AV152" s="13">
        <v>3.5900000000000001E-2</v>
      </c>
      <c r="AW152" s="13">
        <v>3.9899999999999998E-2</v>
      </c>
      <c r="AX152" s="13">
        <v>4.19E-2</v>
      </c>
      <c r="AY152" s="13">
        <v>5.0999999999999997E-2</v>
      </c>
      <c r="AZ152" s="13">
        <v>4.1300000000000003E-2</v>
      </c>
      <c r="BA152" s="12">
        <f t="shared" si="20"/>
        <v>2.5000000000000005E-2</v>
      </c>
      <c r="BC152" s="4">
        <v>46225</v>
      </c>
      <c r="BD152" s="6">
        <v>1.52E-2</v>
      </c>
      <c r="BE152" s="6">
        <v>1.54E-2</v>
      </c>
      <c r="BF152" s="6">
        <v>1.5599999999999999E-2</v>
      </c>
      <c r="BG152" s="3"/>
      <c r="BH152" s="3"/>
      <c r="BI152" s="3"/>
      <c r="BJ152" s="6">
        <v>1.4800000000000001E-2</v>
      </c>
      <c r="BK152" s="2">
        <v>46225</v>
      </c>
      <c r="BL152" s="57">
        <v>4.65E-2</v>
      </c>
      <c r="BM152" s="1"/>
      <c r="BN152" s="57">
        <v>5.5800000000000002E-2</v>
      </c>
      <c r="BO152" s="1"/>
      <c r="BP152" s="1"/>
      <c r="BQ152" s="1"/>
      <c r="BR152" s="57">
        <v>3.9E-2</v>
      </c>
      <c r="BS152" s="12">
        <f t="shared" si="18"/>
        <v>2.4199999999999999E-2</v>
      </c>
    </row>
    <row r="153" spans="1:71" x14ac:dyDescent="0.35">
      <c r="A153" s="4">
        <v>46226</v>
      </c>
      <c r="B153" s="3" t="s">
        <v>33</v>
      </c>
      <c r="C153" s="3" t="s">
        <v>33</v>
      </c>
      <c r="D153" s="3" t="s">
        <v>32</v>
      </c>
      <c r="E153" s="3" t="s">
        <v>33</v>
      </c>
      <c r="F153" s="3" t="s">
        <v>32</v>
      </c>
      <c r="G153" s="3" t="s">
        <v>33</v>
      </c>
      <c r="H153" s="9">
        <v>1.5800000000000002E-2</v>
      </c>
      <c r="I153" s="2">
        <v>46226</v>
      </c>
      <c r="J153" s="1" t="s">
        <v>33</v>
      </c>
      <c r="K153" s="1" t="s">
        <v>33</v>
      </c>
      <c r="L153" s="1" t="s">
        <v>32</v>
      </c>
      <c r="M153" s="1" t="s">
        <v>33</v>
      </c>
      <c r="N153" s="1" t="s">
        <v>32</v>
      </c>
      <c r="O153" s="1" t="s">
        <v>32</v>
      </c>
      <c r="P153" s="57">
        <v>3.8699999999999998E-2</v>
      </c>
      <c r="Q153" s="84">
        <f t="shared" ref="Q153:Q173" si="21">P153-H153</f>
        <v>2.2899999999999997E-2</v>
      </c>
      <c r="S153" s="4">
        <v>46226</v>
      </c>
      <c r="T153" s="3" t="s">
        <v>33</v>
      </c>
      <c r="U153" s="3" t="s">
        <v>33</v>
      </c>
      <c r="V153" s="3" t="s">
        <v>33</v>
      </c>
      <c r="W153" s="3" t="s">
        <v>33</v>
      </c>
      <c r="X153" s="6">
        <v>3.5000000000000003E-2</v>
      </c>
      <c r="Y153" s="3" t="s">
        <v>33</v>
      </c>
      <c r="Z153" s="6">
        <v>1.9300000000000001E-2</v>
      </c>
      <c r="AA153" s="2">
        <v>46226</v>
      </c>
      <c r="AB153" s="1" t="s">
        <v>33</v>
      </c>
      <c r="AC153" s="1" t="s">
        <v>33</v>
      </c>
      <c r="AD153" s="1" t="s">
        <v>33</v>
      </c>
      <c r="AE153" s="1" t="s">
        <v>33</v>
      </c>
      <c r="AF153" s="1" t="s">
        <v>33</v>
      </c>
      <c r="AG153" s="1" t="s">
        <v>33</v>
      </c>
      <c r="AH153" s="57">
        <v>2.5000000000000001E-2</v>
      </c>
      <c r="AI153" s="12">
        <f t="shared" si="13"/>
        <v>5.7000000000000002E-3</v>
      </c>
      <c r="AK153" s="4">
        <v>46226</v>
      </c>
      <c r="AL153" s="6">
        <v>0.02</v>
      </c>
      <c r="AM153" s="3"/>
      <c r="AN153" s="3"/>
      <c r="AO153" s="3"/>
      <c r="AP153" s="3" t="s">
        <v>33</v>
      </c>
      <c r="AQ153" s="3" t="s">
        <v>33</v>
      </c>
      <c r="AR153" s="6">
        <v>1.6400000000000001E-2</v>
      </c>
      <c r="AS153" s="2">
        <v>46226</v>
      </c>
      <c r="AT153" s="13">
        <v>3.49E-2</v>
      </c>
      <c r="AU153" s="13">
        <v>3.5000000000000003E-2</v>
      </c>
      <c r="AV153" s="13">
        <v>3.49E-2</v>
      </c>
      <c r="AW153" s="13">
        <v>3.9899999999999998E-2</v>
      </c>
      <c r="AX153" s="13">
        <v>0.04</v>
      </c>
      <c r="AY153" s="13">
        <v>5.0799999999999998E-2</v>
      </c>
      <c r="AZ153" s="13">
        <v>4.1799999999999997E-2</v>
      </c>
      <c r="BA153" s="12">
        <f t="shared" ref="BA153:BA154" si="22">AZ153-AR153</f>
        <v>2.5399999999999995E-2</v>
      </c>
      <c r="BC153" s="4">
        <v>46226</v>
      </c>
      <c r="BD153" s="6">
        <v>1.52E-2</v>
      </c>
      <c r="BE153" s="6">
        <v>1.54E-2</v>
      </c>
      <c r="BF153" s="6">
        <v>1.5599999999999999E-2</v>
      </c>
      <c r="BG153" s="3"/>
      <c r="BH153" s="3"/>
      <c r="BI153" s="3"/>
      <c r="BJ153" s="6">
        <v>1.47E-2</v>
      </c>
      <c r="BK153" s="2">
        <v>46226</v>
      </c>
      <c r="BL153" s="57">
        <v>4.7300000000000002E-2</v>
      </c>
      <c r="BM153" s="1"/>
      <c r="BN153" s="57">
        <v>5.67E-2</v>
      </c>
      <c r="BO153" s="1"/>
      <c r="BP153" s="1"/>
      <c r="BQ153" s="1"/>
      <c r="BR153" s="57">
        <v>3.9600000000000003E-2</v>
      </c>
      <c r="BS153" s="12">
        <f t="shared" si="18"/>
        <v>2.4900000000000005E-2</v>
      </c>
    </row>
    <row r="154" spans="1:71" x14ac:dyDescent="0.35">
      <c r="A154" s="4">
        <v>46227</v>
      </c>
      <c r="B154" s="3" t="s">
        <v>33</v>
      </c>
      <c r="C154" s="3" t="s">
        <v>33</v>
      </c>
      <c r="D154" s="3" t="s">
        <v>32</v>
      </c>
      <c r="E154" s="3" t="s">
        <v>33</v>
      </c>
      <c r="F154" s="3" t="s">
        <v>32</v>
      </c>
      <c r="G154" s="3" t="s">
        <v>33</v>
      </c>
      <c r="H154" s="9">
        <v>1.6E-2</v>
      </c>
      <c r="I154" s="2">
        <v>46227</v>
      </c>
      <c r="J154" s="1" t="s">
        <v>33</v>
      </c>
      <c r="K154" s="1" t="s">
        <v>33</v>
      </c>
      <c r="L154" s="1" t="s">
        <v>32</v>
      </c>
      <c r="M154" s="1" t="s">
        <v>33</v>
      </c>
      <c r="N154" s="1" t="s">
        <v>32</v>
      </c>
      <c r="O154" s="1" t="s">
        <v>32</v>
      </c>
      <c r="P154" s="57">
        <v>3.8899999999999997E-2</v>
      </c>
      <c r="Q154" s="84">
        <f t="shared" si="21"/>
        <v>2.2899999999999997E-2</v>
      </c>
      <c r="S154" s="4">
        <v>46227</v>
      </c>
      <c r="T154" s="3" t="s">
        <v>33</v>
      </c>
      <c r="U154" s="3" t="s">
        <v>33</v>
      </c>
      <c r="V154" s="3" t="s">
        <v>33</v>
      </c>
      <c r="W154" s="3" t="s">
        <v>33</v>
      </c>
      <c r="X154" s="6">
        <v>3.5000000000000003E-2</v>
      </c>
      <c r="Y154" s="3" t="s">
        <v>33</v>
      </c>
      <c r="Z154" s="6">
        <v>1.9400000000000001E-2</v>
      </c>
      <c r="AA154" s="2">
        <v>46227</v>
      </c>
      <c r="AB154" s="1" t="s">
        <v>33</v>
      </c>
      <c r="AC154" s="1" t="s">
        <v>33</v>
      </c>
      <c r="AD154" s="1" t="s">
        <v>33</v>
      </c>
      <c r="AE154" s="1" t="s">
        <v>33</v>
      </c>
      <c r="AF154" s="1" t="s">
        <v>33</v>
      </c>
      <c r="AG154" s="1" t="s">
        <v>33</v>
      </c>
      <c r="AH154" s="57">
        <v>2.5000000000000001E-2</v>
      </c>
      <c r="AI154" s="12">
        <f t="shared" si="13"/>
        <v>5.6000000000000008E-3</v>
      </c>
      <c r="AK154" s="4">
        <v>46227</v>
      </c>
      <c r="AL154" s="6">
        <v>0.02</v>
      </c>
      <c r="AM154" s="3"/>
      <c r="AN154" s="3"/>
      <c r="AO154" s="3"/>
      <c r="AP154" s="3" t="s">
        <v>33</v>
      </c>
      <c r="AQ154" s="3" t="s">
        <v>33</v>
      </c>
      <c r="AR154" s="6">
        <v>1.6400000000000001E-2</v>
      </c>
      <c r="AS154" s="2">
        <v>46227</v>
      </c>
      <c r="AT154" s="13">
        <v>3.5000000000000003E-2</v>
      </c>
      <c r="AU154" s="13">
        <v>3.6900000000000002E-2</v>
      </c>
      <c r="AV154" s="13">
        <v>3.5900000000000001E-2</v>
      </c>
      <c r="AW154" s="13">
        <v>3.9899999999999998E-2</v>
      </c>
      <c r="AX154" s="13">
        <v>4.4400000000000002E-2</v>
      </c>
      <c r="AY154" s="13">
        <v>4.9700000000000001E-2</v>
      </c>
      <c r="AZ154" s="13">
        <v>4.2700000000000002E-2</v>
      </c>
      <c r="BA154" s="12">
        <f t="shared" si="22"/>
        <v>2.63E-2</v>
      </c>
      <c r="BC154" s="4">
        <v>46227</v>
      </c>
      <c r="BD154" s="6">
        <v>1.52E-2</v>
      </c>
      <c r="BE154" s="6">
        <v>1.54E-2</v>
      </c>
      <c r="BF154" s="6">
        <v>1.5599999999999999E-2</v>
      </c>
      <c r="BG154" s="3"/>
      <c r="BH154" s="3"/>
      <c r="BI154" s="3"/>
      <c r="BJ154" s="6">
        <v>1.4500000000000001E-2</v>
      </c>
      <c r="BK154" s="2">
        <v>46227</v>
      </c>
      <c r="BL154" s="57">
        <v>4.7300000000000002E-2</v>
      </c>
      <c r="BM154" s="1"/>
      <c r="BN154" s="57">
        <v>5.67E-2</v>
      </c>
      <c r="BO154" s="1"/>
      <c r="BP154" s="1"/>
      <c r="BQ154" s="1"/>
      <c r="BR154" s="57">
        <v>3.9399999999999998E-2</v>
      </c>
      <c r="BS154" s="12">
        <f t="shared" si="18"/>
        <v>2.4899999999999999E-2</v>
      </c>
    </row>
    <row r="155" spans="1:71" x14ac:dyDescent="0.35">
      <c r="A155" s="4">
        <v>46228</v>
      </c>
      <c r="B155" s="3" t="s">
        <v>33</v>
      </c>
      <c r="C155" s="3" t="s">
        <v>33</v>
      </c>
      <c r="D155" s="3" t="s">
        <v>32</v>
      </c>
      <c r="E155" s="3" t="s">
        <v>33</v>
      </c>
      <c r="F155" s="3" t="s">
        <v>32</v>
      </c>
      <c r="G155" s="3" t="s">
        <v>33</v>
      </c>
      <c r="H155" s="9">
        <v>1.5299999999999999E-2</v>
      </c>
      <c r="I155" s="2">
        <v>46228</v>
      </c>
      <c r="J155" s="1" t="s">
        <v>33</v>
      </c>
      <c r="K155" s="1" t="s">
        <v>33</v>
      </c>
      <c r="L155" s="1" t="s">
        <v>32</v>
      </c>
      <c r="M155" s="1" t="s">
        <v>33</v>
      </c>
      <c r="N155" s="1" t="s">
        <v>32</v>
      </c>
      <c r="O155" s="1" t="s">
        <v>32</v>
      </c>
      <c r="P155" s="57">
        <v>3.9100000000000003E-2</v>
      </c>
      <c r="Q155" s="84">
        <f t="shared" si="21"/>
        <v>2.3800000000000002E-2</v>
      </c>
      <c r="S155" s="4">
        <v>46228</v>
      </c>
      <c r="T155" s="3" t="s">
        <v>33</v>
      </c>
      <c r="U155" s="3" t="s">
        <v>33</v>
      </c>
      <c r="V155" s="3" t="s">
        <v>33</v>
      </c>
      <c r="W155" s="3" t="s">
        <v>33</v>
      </c>
      <c r="X155" s="6">
        <v>3.5000000000000003E-2</v>
      </c>
      <c r="Y155" s="3" t="s">
        <v>33</v>
      </c>
      <c r="Z155" s="6">
        <v>1.89E-2</v>
      </c>
      <c r="AA155" s="2">
        <v>46228</v>
      </c>
      <c r="AB155" s="1" t="s">
        <v>33</v>
      </c>
      <c r="AC155" s="1" t="s">
        <v>33</v>
      </c>
      <c r="AD155" s="1" t="s">
        <v>33</v>
      </c>
      <c r="AE155" s="1" t="s">
        <v>33</v>
      </c>
      <c r="AF155" s="1" t="s">
        <v>33</v>
      </c>
      <c r="AG155" s="1" t="s">
        <v>33</v>
      </c>
      <c r="AH155" s="57">
        <v>2.5000000000000001E-2</v>
      </c>
      <c r="AI155" s="12">
        <f t="shared" si="13"/>
        <v>6.1000000000000013E-3</v>
      </c>
      <c r="AK155" s="4">
        <v>46228</v>
      </c>
      <c r="AL155" s="6">
        <v>0.02</v>
      </c>
      <c r="AM155" s="3"/>
      <c r="AN155" s="3"/>
      <c r="AO155" s="3"/>
      <c r="AP155" s="3" t="s">
        <v>33</v>
      </c>
      <c r="AQ155" s="3" t="s">
        <v>33</v>
      </c>
      <c r="AR155" s="6">
        <v>1.6400000000000001E-2</v>
      </c>
      <c r="AS155" s="2">
        <v>46228</v>
      </c>
      <c r="AT155" s="13">
        <v>3.5000000000000003E-2</v>
      </c>
      <c r="AU155" s="13">
        <v>3.5000000000000003E-2</v>
      </c>
      <c r="AV155" s="13">
        <v>3.78E-2</v>
      </c>
      <c r="AW155" s="13">
        <v>3.9800000000000002E-2</v>
      </c>
      <c r="AX155" s="13">
        <v>4.4600000000000001E-2</v>
      </c>
      <c r="AY155" s="13">
        <v>4.9700000000000001E-2</v>
      </c>
      <c r="AZ155" s="13">
        <v>4.24E-2</v>
      </c>
      <c r="BA155" s="12">
        <f>AZ156-AR155</f>
        <v>2.5999999999999999E-2</v>
      </c>
      <c r="BC155" s="4">
        <v>46228</v>
      </c>
      <c r="BD155" s="6">
        <v>1.52E-2</v>
      </c>
      <c r="BE155" s="6">
        <v>1.54E-2</v>
      </c>
      <c r="BF155" s="6">
        <v>1.5599999999999999E-2</v>
      </c>
      <c r="BG155" s="3"/>
      <c r="BH155" s="3"/>
      <c r="BI155" s="3"/>
      <c r="BJ155" s="6">
        <v>1.43E-2</v>
      </c>
      <c r="BK155" s="2">
        <v>46228</v>
      </c>
      <c r="BL155" s="57">
        <v>4.7199999999999999E-2</v>
      </c>
      <c r="BM155" s="1"/>
      <c r="BN155" s="57">
        <v>5.6599999999999998E-2</v>
      </c>
      <c r="BO155" s="1"/>
      <c r="BP155" s="1"/>
      <c r="BQ155" s="1"/>
      <c r="BR155" s="57">
        <v>3.9100000000000003E-2</v>
      </c>
      <c r="BS155" s="12">
        <f t="shared" si="18"/>
        <v>2.4800000000000003E-2</v>
      </c>
    </row>
    <row r="156" spans="1:71" x14ac:dyDescent="0.35">
      <c r="A156" s="4">
        <v>46229</v>
      </c>
      <c r="B156" s="3" t="s">
        <v>33</v>
      </c>
      <c r="C156" s="3" t="s">
        <v>33</v>
      </c>
      <c r="D156" s="3" t="s">
        <v>32</v>
      </c>
      <c r="E156" s="3" t="s">
        <v>33</v>
      </c>
      <c r="F156" s="3" t="s">
        <v>32</v>
      </c>
      <c r="G156" s="3" t="s">
        <v>33</v>
      </c>
      <c r="H156" s="9">
        <v>1.5299999999999999E-2</v>
      </c>
      <c r="I156" s="2">
        <v>46229</v>
      </c>
      <c r="J156" s="1" t="s">
        <v>33</v>
      </c>
      <c r="K156" s="1" t="s">
        <v>33</v>
      </c>
      <c r="L156" s="1" t="s">
        <v>32</v>
      </c>
      <c r="M156" s="1" t="s">
        <v>33</v>
      </c>
      <c r="N156" s="1" t="s">
        <v>32</v>
      </c>
      <c r="O156" s="1" t="s">
        <v>32</v>
      </c>
      <c r="P156" s="57">
        <v>3.85E-2</v>
      </c>
      <c r="Q156" s="84">
        <f t="shared" si="21"/>
        <v>2.3199999999999998E-2</v>
      </c>
      <c r="S156" s="4">
        <v>46229</v>
      </c>
      <c r="T156" s="3" t="s">
        <v>33</v>
      </c>
      <c r="U156" s="3" t="s">
        <v>33</v>
      </c>
      <c r="V156" s="3" t="s">
        <v>33</v>
      </c>
      <c r="W156" s="3" t="s">
        <v>33</v>
      </c>
      <c r="X156" s="6">
        <v>3.5000000000000003E-2</v>
      </c>
      <c r="Y156" s="3" t="s">
        <v>33</v>
      </c>
      <c r="Z156" s="6">
        <v>1.9E-2</v>
      </c>
      <c r="AA156" s="2">
        <v>46229</v>
      </c>
      <c r="AB156" s="1" t="s">
        <v>33</v>
      </c>
      <c r="AC156" s="1" t="s">
        <v>33</v>
      </c>
      <c r="AD156" s="1" t="s">
        <v>33</v>
      </c>
      <c r="AE156" s="1" t="s">
        <v>33</v>
      </c>
      <c r="AF156" s="1" t="s">
        <v>33</v>
      </c>
      <c r="AG156" s="1" t="s">
        <v>33</v>
      </c>
      <c r="AH156" s="57">
        <v>2.5000000000000001E-2</v>
      </c>
      <c r="AI156" s="12">
        <f t="shared" si="13"/>
        <v>6.0000000000000019E-3</v>
      </c>
      <c r="AK156" s="4">
        <v>46229</v>
      </c>
      <c r="AL156" s="6">
        <v>0.02</v>
      </c>
      <c r="AM156" s="3"/>
      <c r="AN156" s="3"/>
      <c r="AO156" s="3"/>
      <c r="AP156" s="3" t="s">
        <v>33</v>
      </c>
      <c r="AQ156" s="3" t="s">
        <v>33</v>
      </c>
      <c r="AR156" s="6">
        <v>1.6400000000000001E-2</v>
      </c>
      <c r="AS156" s="2">
        <v>46229</v>
      </c>
      <c r="AT156" s="13">
        <v>3.5000000000000003E-2</v>
      </c>
      <c r="AU156" s="13">
        <v>3.5000000000000003E-2</v>
      </c>
      <c r="AV156" s="13">
        <v>3.78E-2</v>
      </c>
      <c r="AW156" s="13">
        <v>3.9800000000000002E-2</v>
      </c>
      <c r="AX156" s="13">
        <v>4.4600000000000001E-2</v>
      </c>
      <c r="AY156" s="13">
        <v>4.9700000000000001E-2</v>
      </c>
      <c r="AZ156" s="13">
        <v>4.24E-2</v>
      </c>
      <c r="BA156" s="12">
        <f t="shared" ref="BA156" si="23">AZ157-AR156</f>
        <v>2.5999999999999999E-2</v>
      </c>
      <c r="BC156" s="4">
        <v>46229</v>
      </c>
      <c r="BD156" s="6">
        <v>1.52E-2</v>
      </c>
      <c r="BE156" s="6">
        <v>1.54E-2</v>
      </c>
      <c r="BF156" s="6">
        <v>1.5599999999999999E-2</v>
      </c>
      <c r="BG156" s="3"/>
      <c r="BH156" s="3"/>
      <c r="BI156" s="3"/>
      <c r="BJ156" s="6">
        <v>1.41E-2</v>
      </c>
      <c r="BK156" s="2">
        <v>46229</v>
      </c>
      <c r="BL156" s="57">
        <v>4.7199999999999999E-2</v>
      </c>
      <c r="BM156" s="1"/>
      <c r="BN156" s="57">
        <v>5.6599999999999998E-2</v>
      </c>
      <c r="BO156" s="1"/>
      <c r="BP156" s="1"/>
      <c r="BQ156" s="1"/>
      <c r="BR156" s="57">
        <v>3.85E-2</v>
      </c>
      <c r="BS156" s="12">
        <f t="shared" si="18"/>
        <v>2.4399999999999998E-2</v>
      </c>
    </row>
    <row r="157" spans="1:71" x14ac:dyDescent="0.35">
      <c r="A157" s="4">
        <v>46230</v>
      </c>
      <c r="B157" s="3" t="s">
        <v>33</v>
      </c>
      <c r="C157" s="3" t="s">
        <v>33</v>
      </c>
      <c r="D157" s="3" t="s">
        <v>32</v>
      </c>
      <c r="E157" s="3" t="s">
        <v>33</v>
      </c>
      <c r="F157" s="3" t="s">
        <v>32</v>
      </c>
      <c r="G157" s="3" t="s">
        <v>33</v>
      </c>
      <c r="H157" s="9">
        <v>1.54E-2</v>
      </c>
      <c r="I157" s="2">
        <v>46230</v>
      </c>
      <c r="J157" s="1" t="s">
        <v>33</v>
      </c>
      <c r="K157" s="1" t="s">
        <v>33</v>
      </c>
      <c r="L157" s="1" t="s">
        <v>32</v>
      </c>
      <c r="M157" s="1" t="s">
        <v>33</v>
      </c>
      <c r="N157" s="1" t="s">
        <v>32</v>
      </c>
      <c r="O157" s="1" t="s">
        <v>32</v>
      </c>
      <c r="P157" s="57">
        <v>3.9100000000000003E-2</v>
      </c>
      <c r="Q157" s="84">
        <f t="shared" si="21"/>
        <v>2.3700000000000002E-2</v>
      </c>
      <c r="S157" s="4">
        <v>46230</v>
      </c>
      <c r="T157" s="3" t="s">
        <v>33</v>
      </c>
      <c r="U157" s="3" t="s">
        <v>33</v>
      </c>
      <c r="V157" s="3" t="s">
        <v>33</v>
      </c>
      <c r="W157" s="3" t="s">
        <v>33</v>
      </c>
      <c r="X157" s="6">
        <v>3.5000000000000003E-2</v>
      </c>
      <c r="Y157" s="3" t="s">
        <v>33</v>
      </c>
      <c r="Z157" s="6">
        <v>1.9099999999999999E-2</v>
      </c>
      <c r="AA157" s="2">
        <v>46230</v>
      </c>
      <c r="AB157" s="1" t="s">
        <v>33</v>
      </c>
      <c r="AC157" s="1" t="s">
        <v>33</v>
      </c>
      <c r="AD157" s="1" t="s">
        <v>33</v>
      </c>
      <c r="AE157" s="1" t="s">
        <v>33</v>
      </c>
      <c r="AF157" s="1" t="s">
        <v>33</v>
      </c>
      <c r="AG157" s="1" t="s">
        <v>33</v>
      </c>
      <c r="AH157" s="57">
        <v>2.5000000000000001E-2</v>
      </c>
      <c r="AI157" s="12">
        <f t="shared" si="13"/>
        <v>5.9000000000000025E-3</v>
      </c>
      <c r="AK157" s="4">
        <v>46230</v>
      </c>
      <c r="AL157" s="6">
        <v>0.02</v>
      </c>
      <c r="AM157" s="3"/>
      <c r="AN157" s="3"/>
      <c r="AO157" s="3"/>
      <c r="AP157" s="3" t="s">
        <v>33</v>
      </c>
      <c r="AQ157" s="3" t="s">
        <v>33</v>
      </c>
      <c r="AR157" s="6">
        <v>1.61E-2</v>
      </c>
      <c r="AS157" s="2">
        <v>46230</v>
      </c>
      <c r="AT157" s="13">
        <v>3.5000000000000003E-2</v>
      </c>
      <c r="AU157" s="13">
        <v>3.5000000000000003E-2</v>
      </c>
      <c r="AV157" s="13">
        <v>3.78E-2</v>
      </c>
      <c r="AW157" s="13">
        <v>3.9800000000000002E-2</v>
      </c>
      <c r="AX157" s="13">
        <v>4.4600000000000001E-2</v>
      </c>
      <c r="AY157" s="13">
        <v>4.9700000000000001E-2</v>
      </c>
      <c r="AZ157" s="13">
        <v>4.24E-2</v>
      </c>
      <c r="BA157" s="12">
        <v>2.5999999999999999E-2</v>
      </c>
      <c r="BC157" s="4">
        <v>46230</v>
      </c>
      <c r="BD157" s="6">
        <v>1.52E-2</v>
      </c>
      <c r="BE157" s="6">
        <v>1.54E-2</v>
      </c>
      <c r="BF157" s="6">
        <v>1.5599999999999999E-2</v>
      </c>
      <c r="BG157" s="3"/>
      <c r="BH157" s="3"/>
      <c r="BI157" s="3"/>
      <c r="BJ157" s="6">
        <v>1.6E-2</v>
      </c>
      <c r="BK157" s="2">
        <v>46230</v>
      </c>
      <c r="BL157" s="57">
        <v>4.7199999999999999E-2</v>
      </c>
      <c r="BM157" s="1"/>
      <c r="BN157" s="57">
        <v>5.6599999999999998E-2</v>
      </c>
      <c r="BO157" s="1"/>
      <c r="BP157" s="1"/>
      <c r="BQ157" s="1"/>
      <c r="BR157" s="57">
        <v>3.9600000000000003E-2</v>
      </c>
      <c r="BS157" s="12">
        <f t="shared" si="18"/>
        <v>2.3600000000000003E-2</v>
      </c>
    </row>
    <row r="158" spans="1:71" x14ac:dyDescent="0.35">
      <c r="A158" s="4">
        <v>46231</v>
      </c>
      <c r="B158" s="3" t="s">
        <v>33</v>
      </c>
      <c r="C158" s="3" t="s">
        <v>33</v>
      </c>
      <c r="D158" s="3" t="s">
        <v>32</v>
      </c>
      <c r="E158" s="3" t="s">
        <v>33</v>
      </c>
      <c r="F158" s="3" t="s">
        <v>32</v>
      </c>
      <c r="G158" s="3" t="s">
        <v>33</v>
      </c>
      <c r="H158" s="9">
        <v>1.49E-2</v>
      </c>
      <c r="I158" s="2">
        <v>46231</v>
      </c>
      <c r="J158" s="1" t="s">
        <v>33</v>
      </c>
      <c r="K158" s="1" t="s">
        <v>33</v>
      </c>
      <c r="L158" s="1" t="s">
        <v>32</v>
      </c>
      <c r="M158" s="1" t="s">
        <v>33</v>
      </c>
      <c r="N158" s="1" t="s">
        <v>32</v>
      </c>
      <c r="O158" s="1" t="s">
        <v>32</v>
      </c>
      <c r="P158" s="57">
        <v>3.7600000000000001E-2</v>
      </c>
      <c r="Q158" s="84">
        <f t="shared" si="21"/>
        <v>2.2700000000000001E-2</v>
      </c>
      <c r="S158" s="4">
        <v>46231</v>
      </c>
      <c r="T158" s="3" t="s">
        <v>33</v>
      </c>
      <c r="U158" s="3" t="s">
        <v>33</v>
      </c>
      <c r="V158" s="3" t="s">
        <v>33</v>
      </c>
      <c r="W158" s="3" t="s">
        <v>33</v>
      </c>
      <c r="X158" s="6">
        <v>3.5000000000000003E-2</v>
      </c>
      <c r="Y158" s="3" t="s">
        <v>33</v>
      </c>
      <c r="Z158" s="6">
        <v>1.89E-2</v>
      </c>
      <c r="AA158" s="2">
        <v>46231</v>
      </c>
      <c r="AB158" s="1" t="s">
        <v>33</v>
      </c>
      <c r="AC158" s="1" t="s">
        <v>33</v>
      </c>
      <c r="AD158" s="1" t="s">
        <v>33</v>
      </c>
      <c r="AE158" s="1" t="s">
        <v>33</v>
      </c>
      <c r="AF158" s="1" t="s">
        <v>33</v>
      </c>
      <c r="AG158" s="1" t="s">
        <v>33</v>
      </c>
      <c r="AH158" s="57">
        <v>2.5000000000000001E-2</v>
      </c>
      <c r="AI158" s="12">
        <f t="shared" si="13"/>
        <v>6.1000000000000013E-3</v>
      </c>
      <c r="AK158" s="4">
        <v>46231</v>
      </c>
      <c r="AL158" s="6">
        <v>0.02</v>
      </c>
      <c r="AM158" s="3"/>
      <c r="AN158" s="3"/>
      <c r="AO158" s="3"/>
      <c r="AP158" s="3" t="s">
        <v>33</v>
      </c>
      <c r="AQ158" s="3" t="s">
        <v>33</v>
      </c>
      <c r="AR158" s="6">
        <v>1.54E-2</v>
      </c>
      <c r="AS158" s="2">
        <v>46231</v>
      </c>
      <c r="AT158" s="13">
        <v>3.4799999999999998E-2</v>
      </c>
      <c r="AU158" s="13">
        <v>3.6900000000000002E-2</v>
      </c>
      <c r="AV158" s="13">
        <v>3.5999999999999997E-2</v>
      </c>
      <c r="AW158" s="13">
        <v>3.9899999999999998E-2</v>
      </c>
      <c r="AX158" s="13">
        <v>4.48E-2</v>
      </c>
      <c r="AY158" s="13">
        <v>4.9500000000000002E-2</v>
      </c>
      <c r="AZ158" s="13">
        <v>4.1099999999999998E-2</v>
      </c>
      <c r="BA158" s="12">
        <v>2.5999999999999999E-2</v>
      </c>
      <c r="BC158" s="4">
        <v>46231</v>
      </c>
      <c r="BD158" s="6">
        <v>1.52E-2</v>
      </c>
      <c r="BE158" s="6">
        <v>1.54E-2</v>
      </c>
      <c r="BF158" s="6">
        <v>1.5599999999999999E-2</v>
      </c>
      <c r="BG158" s="3"/>
      <c r="BH158" s="3"/>
      <c r="BI158" s="3"/>
      <c r="BJ158" s="6">
        <v>1.44E-2</v>
      </c>
      <c r="BK158" s="2">
        <v>46231</v>
      </c>
      <c r="BL158" s="57">
        <v>4.5999999999999999E-2</v>
      </c>
      <c r="BM158" s="1"/>
      <c r="BN158" s="57">
        <v>5.5199999999999999E-2</v>
      </c>
      <c r="BO158" s="1"/>
      <c r="BP158" s="1"/>
      <c r="BQ158" s="1"/>
      <c r="BR158" s="57">
        <v>3.8300000000000001E-2</v>
      </c>
      <c r="BS158" s="12">
        <f t="shared" si="18"/>
        <v>2.3900000000000001E-2</v>
      </c>
    </row>
    <row r="159" spans="1:71" x14ac:dyDescent="0.35">
      <c r="A159" s="4">
        <v>46232</v>
      </c>
      <c r="B159" s="3" t="s">
        <v>33</v>
      </c>
      <c r="C159" s="3" t="s">
        <v>33</v>
      </c>
      <c r="D159" s="3" t="s">
        <v>32</v>
      </c>
      <c r="E159" s="3" t="s">
        <v>33</v>
      </c>
      <c r="F159" s="3" t="s">
        <v>32</v>
      </c>
      <c r="G159" s="3" t="s">
        <v>33</v>
      </c>
      <c r="H159" s="9">
        <v>1.61E-2</v>
      </c>
      <c r="I159" s="2">
        <v>46232</v>
      </c>
      <c r="J159" s="1" t="s">
        <v>33</v>
      </c>
      <c r="K159" s="1" t="s">
        <v>33</v>
      </c>
      <c r="L159" s="1" t="s">
        <v>32</v>
      </c>
      <c r="M159" s="1" t="s">
        <v>33</v>
      </c>
      <c r="N159" s="1" t="s">
        <v>32</v>
      </c>
      <c r="O159" s="1" t="s">
        <v>32</v>
      </c>
      <c r="P159" s="57">
        <v>3.9E-2</v>
      </c>
      <c r="Q159" s="84">
        <f t="shared" si="21"/>
        <v>2.29E-2</v>
      </c>
      <c r="S159" s="4">
        <v>46232</v>
      </c>
      <c r="T159" s="3" t="s">
        <v>33</v>
      </c>
      <c r="U159" s="3" t="s">
        <v>33</v>
      </c>
      <c r="V159" s="3" t="s">
        <v>33</v>
      </c>
      <c r="W159" s="3" t="s">
        <v>33</v>
      </c>
      <c r="X159" s="6">
        <v>3.5000000000000003E-2</v>
      </c>
      <c r="Y159" s="3" t="s">
        <v>33</v>
      </c>
      <c r="Z159" s="6">
        <v>1.9099999999999999E-2</v>
      </c>
      <c r="AA159" s="2">
        <v>46232</v>
      </c>
      <c r="AB159" s="1" t="s">
        <v>33</v>
      </c>
      <c r="AC159" s="1" t="s">
        <v>33</v>
      </c>
      <c r="AD159" s="1" t="s">
        <v>33</v>
      </c>
      <c r="AE159" s="1" t="s">
        <v>33</v>
      </c>
      <c r="AF159" s="1" t="s">
        <v>33</v>
      </c>
      <c r="AG159" s="1" t="s">
        <v>33</v>
      </c>
      <c r="AH159" s="57">
        <v>2.5000000000000001E-2</v>
      </c>
      <c r="AI159" s="12">
        <f t="shared" si="13"/>
        <v>5.9000000000000025E-3</v>
      </c>
      <c r="AK159" s="4">
        <v>46232</v>
      </c>
      <c r="AL159" s="6">
        <v>0.02</v>
      </c>
      <c r="AM159" s="3"/>
      <c r="AN159" s="3"/>
      <c r="AO159" s="3"/>
      <c r="AP159" s="3" t="s">
        <v>33</v>
      </c>
      <c r="AQ159" s="3" t="s">
        <v>33</v>
      </c>
      <c r="AR159" s="6">
        <v>1.6199999999999999E-2</v>
      </c>
      <c r="AS159" s="2">
        <v>46232</v>
      </c>
      <c r="AT159" s="13">
        <v>3.2000000000000001E-2</v>
      </c>
      <c r="AU159" s="13">
        <v>3.6900000000000002E-2</v>
      </c>
      <c r="AV159" s="13">
        <v>3.5999999999999997E-2</v>
      </c>
      <c r="AW159" s="13">
        <v>0.04</v>
      </c>
      <c r="AX159" s="13">
        <v>4.48E-2</v>
      </c>
      <c r="AY159" s="13">
        <v>4.9799999999999997E-2</v>
      </c>
      <c r="AZ159" s="13">
        <v>4.24E-2</v>
      </c>
      <c r="BA159" s="12">
        <v>2.5999999999999999E-2</v>
      </c>
      <c r="BC159" s="4">
        <v>46232</v>
      </c>
      <c r="BD159" s="6">
        <v>1.52E-2</v>
      </c>
      <c r="BE159" s="6">
        <v>1.54E-2</v>
      </c>
      <c r="BF159" s="6">
        <v>1.5599999999999999E-2</v>
      </c>
      <c r="BG159" s="3"/>
      <c r="BH159" s="3"/>
      <c r="BI159" s="3"/>
      <c r="BJ159" s="6">
        <v>1.43E-2</v>
      </c>
      <c r="BK159" s="2">
        <v>46232</v>
      </c>
      <c r="BL159" s="57">
        <v>4.6699999999999998E-2</v>
      </c>
      <c r="BM159" s="1"/>
      <c r="BN159" s="57">
        <v>5.6099999999999997E-2</v>
      </c>
      <c r="BO159" s="1"/>
      <c r="BP159" s="1"/>
      <c r="BQ159" s="1"/>
      <c r="BR159" s="57">
        <v>3.9100000000000003E-2</v>
      </c>
      <c r="BS159" s="12">
        <f t="shared" si="18"/>
        <v>2.4800000000000003E-2</v>
      </c>
    </row>
    <row r="160" spans="1:71" x14ac:dyDescent="0.35">
      <c r="A160" s="4">
        <v>46233</v>
      </c>
      <c r="B160" s="3" t="s">
        <v>33</v>
      </c>
      <c r="C160" s="3" t="s">
        <v>33</v>
      </c>
      <c r="D160" s="3" t="s">
        <v>32</v>
      </c>
      <c r="E160" s="3" t="s">
        <v>33</v>
      </c>
      <c r="F160" s="3" t="s">
        <v>32</v>
      </c>
      <c r="G160" s="3" t="s">
        <v>33</v>
      </c>
      <c r="H160" s="9">
        <v>1.7299999999999999E-2</v>
      </c>
      <c r="I160" s="2">
        <v>46233</v>
      </c>
      <c r="J160" s="1" t="s">
        <v>33</v>
      </c>
      <c r="K160" s="1" t="s">
        <v>33</v>
      </c>
      <c r="L160" s="1" t="s">
        <v>32</v>
      </c>
      <c r="M160" s="1" t="s">
        <v>33</v>
      </c>
      <c r="N160" s="1" t="s">
        <v>32</v>
      </c>
      <c r="O160" s="1" t="s">
        <v>32</v>
      </c>
      <c r="P160" s="57">
        <v>4.0500000000000001E-2</v>
      </c>
      <c r="Q160" s="84">
        <f t="shared" si="21"/>
        <v>2.3200000000000002E-2</v>
      </c>
      <c r="S160" s="4">
        <v>46233</v>
      </c>
      <c r="T160" s="3" t="s">
        <v>33</v>
      </c>
      <c r="U160" s="3" t="s">
        <v>33</v>
      </c>
      <c r="V160" s="3" t="s">
        <v>33</v>
      </c>
      <c r="W160" s="3" t="s">
        <v>33</v>
      </c>
      <c r="X160" s="6">
        <v>3.5000000000000003E-2</v>
      </c>
      <c r="Y160" s="3" t="s">
        <v>33</v>
      </c>
      <c r="Z160" s="6">
        <v>1.9400000000000001E-2</v>
      </c>
      <c r="AA160" s="2">
        <v>46233</v>
      </c>
      <c r="AB160" s="1" t="s">
        <v>33</v>
      </c>
      <c r="AC160" s="1" t="s">
        <v>33</v>
      </c>
      <c r="AD160" s="1" t="s">
        <v>33</v>
      </c>
      <c r="AE160" s="1" t="s">
        <v>33</v>
      </c>
      <c r="AF160" s="1" t="s">
        <v>33</v>
      </c>
      <c r="AG160" s="1" t="s">
        <v>33</v>
      </c>
      <c r="AH160" s="57">
        <v>2.5000000000000001E-2</v>
      </c>
      <c r="AI160" s="12">
        <f t="shared" si="13"/>
        <v>5.6000000000000008E-3</v>
      </c>
      <c r="AK160" s="4">
        <v>46233</v>
      </c>
      <c r="AL160" s="6">
        <v>0.02</v>
      </c>
      <c r="AM160" s="3"/>
      <c r="AN160" s="3"/>
      <c r="AO160" s="3"/>
      <c r="AP160" s="3" t="s">
        <v>33</v>
      </c>
      <c r="AQ160" s="3" t="s">
        <v>33</v>
      </c>
      <c r="AR160" s="6">
        <v>1.6799999999999999E-2</v>
      </c>
      <c r="AS160" s="2">
        <v>46233</v>
      </c>
      <c r="AT160" s="13">
        <v>3.49E-2</v>
      </c>
      <c r="AU160" s="13">
        <v>3.0099999999999998E-2</v>
      </c>
      <c r="AV160" s="13">
        <v>2.9499999999999998E-2</v>
      </c>
      <c r="AW160" s="13">
        <v>0.04</v>
      </c>
      <c r="AX160" s="13">
        <v>4.48E-2</v>
      </c>
      <c r="AY160" s="13">
        <v>4.9799999999999997E-2</v>
      </c>
      <c r="AZ160" s="13">
        <v>4.3900000000000002E-2</v>
      </c>
      <c r="BA160" s="12">
        <v>2.5999999999999999E-2</v>
      </c>
      <c r="BC160" s="4">
        <v>46233</v>
      </c>
      <c r="BD160" s="6">
        <v>1.52E-2</v>
      </c>
      <c r="BE160" s="6">
        <v>1.54E-2</v>
      </c>
      <c r="BF160" s="6">
        <v>1.5599999999999999E-2</v>
      </c>
      <c r="BG160" s="3"/>
      <c r="BH160" s="3"/>
      <c r="BI160" s="3"/>
      <c r="BJ160" s="6">
        <v>1.7399999999999999E-2</v>
      </c>
      <c r="BK160" s="2">
        <v>46233</v>
      </c>
      <c r="BL160" s="57">
        <v>4.9000000000000002E-2</v>
      </c>
      <c r="BM160" s="1"/>
      <c r="BN160" s="57">
        <v>5.8799999999999998E-2</v>
      </c>
      <c r="BO160" s="1"/>
      <c r="BP160" s="1"/>
      <c r="BQ160" s="1"/>
      <c r="BR160" s="57">
        <v>4.1200000000000001E-2</v>
      </c>
      <c r="BS160" s="12">
        <f t="shared" si="18"/>
        <v>2.3800000000000002E-2</v>
      </c>
    </row>
    <row r="161" spans="1:71" x14ac:dyDescent="0.35">
      <c r="A161" s="4">
        <v>46234</v>
      </c>
      <c r="B161" s="3" t="s">
        <v>33</v>
      </c>
      <c r="C161" s="3" t="s">
        <v>33</v>
      </c>
      <c r="D161" s="3" t="s">
        <v>32</v>
      </c>
      <c r="E161" s="3" t="s">
        <v>33</v>
      </c>
      <c r="F161" s="3" t="s">
        <v>32</v>
      </c>
      <c r="G161" s="3" t="s">
        <v>33</v>
      </c>
      <c r="H161" s="9">
        <v>1.7500000000000002E-2</v>
      </c>
      <c r="I161" s="2">
        <v>46234</v>
      </c>
      <c r="J161" s="1" t="s">
        <v>33</v>
      </c>
      <c r="K161" s="1" t="s">
        <v>33</v>
      </c>
      <c r="L161" s="1" t="s">
        <v>32</v>
      </c>
      <c r="M161" s="1" t="s">
        <v>33</v>
      </c>
      <c r="N161" s="1" t="s">
        <v>32</v>
      </c>
      <c r="O161" s="1" t="s">
        <v>32</v>
      </c>
      <c r="P161" s="57">
        <v>4.0599999999999997E-2</v>
      </c>
      <c r="Q161" s="84">
        <f t="shared" si="21"/>
        <v>2.3099999999999996E-2</v>
      </c>
      <c r="S161" s="4">
        <v>46234</v>
      </c>
      <c r="T161" s="3" t="s">
        <v>33</v>
      </c>
      <c r="U161" s="3" t="s">
        <v>33</v>
      </c>
      <c r="V161" s="3" t="s">
        <v>33</v>
      </c>
      <c r="W161" s="3" t="s">
        <v>33</v>
      </c>
      <c r="X161" s="6">
        <v>3.5000000000000003E-2</v>
      </c>
      <c r="Y161" s="3" t="s">
        <v>33</v>
      </c>
      <c r="Z161" s="6">
        <v>2.12E-2</v>
      </c>
      <c r="AA161" s="2">
        <v>46234</v>
      </c>
      <c r="AB161" s="1" t="s">
        <v>33</v>
      </c>
      <c r="AC161" s="1" t="s">
        <v>33</v>
      </c>
      <c r="AD161" s="1" t="s">
        <v>33</v>
      </c>
      <c r="AE161" s="1" t="s">
        <v>33</v>
      </c>
      <c r="AF161" s="1" t="s">
        <v>33</v>
      </c>
      <c r="AG161" s="1" t="s">
        <v>33</v>
      </c>
      <c r="AH161" s="57">
        <v>2.5000000000000001E-2</v>
      </c>
      <c r="AI161" s="12">
        <f t="shared" si="13"/>
        <v>3.8000000000000013E-3</v>
      </c>
      <c r="AK161" s="4">
        <v>46234</v>
      </c>
      <c r="AL161" s="6">
        <v>0.02</v>
      </c>
      <c r="AM161" s="3"/>
      <c r="AN161" s="3"/>
      <c r="AO161" s="3"/>
      <c r="AP161" s="3" t="s">
        <v>33</v>
      </c>
      <c r="AQ161" s="3" t="s">
        <v>33</v>
      </c>
      <c r="AR161" s="6">
        <v>1.7399999999999999E-2</v>
      </c>
      <c r="AS161" s="2">
        <v>46234</v>
      </c>
      <c r="AT161" s="13">
        <v>3.0099999999999998E-2</v>
      </c>
      <c r="AU161" s="13">
        <v>3.6900000000000002E-2</v>
      </c>
      <c r="AV161" s="13">
        <v>3.78E-2</v>
      </c>
      <c r="AW161" s="13">
        <v>0.04</v>
      </c>
      <c r="AX161" s="13">
        <v>4.4900000000000002E-2</v>
      </c>
      <c r="AY161" s="13">
        <v>5.0599999999999999E-2</v>
      </c>
      <c r="AZ161" s="13">
        <v>4.41E-2</v>
      </c>
      <c r="BA161" s="12">
        <v>2.5999999999999999E-2</v>
      </c>
      <c r="BC161" s="4">
        <v>46234</v>
      </c>
      <c r="BD161" s="6">
        <v>1.7999999999999999E-2</v>
      </c>
      <c r="BE161" s="6">
        <v>1.8200000000000001E-2</v>
      </c>
      <c r="BF161" s="6">
        <v>1.8499999999999999E-2</v>
      </c>
      <c r="BG161" s="3"/>
      <c r="BH161" s="3"/>
      <c r="BI161" s="3"/>
      <c r="BJ161" s="6">
        <v>1.77E-2</v>
      </c>
      <c r="BK161" s="2">
        <v>46234</v>
      </c>
      <c r="BL161" s="57">
        <v>4.9500000000000002E-2</v>
      </c>
      <c r="BM161" s="1"/>
      <c r="BN161" s="57">
        <v>5.9400000000000001E-2</v>
      </c>
      <c r="BO161" s="1"/>
      <c r="BP161" s="1"/>
      <c r="BQ161" s="1"/>
      <c r="BR161" s="57">
        <v>4.1500000000000002E-2</v>
      </c>
      <c r="BS161" s="12">
        <f t="shared" si="18"/>
        <v>2.3800000000000002E-2</v>
      </c>
    </row>
    <row r="162" spans="1:71" x14ac:dyDescent="0.35">
      <c r="A162" s="4">
        <v>46235</v>
      </c>
      <c r="B162" s="3" t="s">
        <v>33</v>
      </c>
      <c r="C162" s="3" t="s">
        <v>33</v>
      </c>
      <c r="D162" s="3" t="s">
        <v>32</v>
      </c>
      <c r="E162" s="3" t="s">
        <v>33</v>
      </c>
      <c r="F162" s="3" t="s">
        <v>32</v>
      </c>
      <c r="G162" s="3" t="s">
        <v>33</v>
      </c>
      <c r="H162" s="9">
        <v>1.6899999999999998E-2</v>
      </c>
      <c r="I162" s="2">
        <v>46235</v>
      </c>
      <c r="J162" s="1" t="s">
        <v>33</v>
      </c>
      <c r="K162" s="1" t="s">
        <v>33</v>
      </c>
      <c r="L162" s="1" t="s">
        <v>32</v>
      </c>
      <c r="M162" s="1" t="s">
        <v>33</v>
      </c>
      <c r="N162" s="1" t="s">
        <v>32</v>
      </c>
      <c r="O162" s="1" t="s">
        <v>32</v>
      </c>
      <c r="P162" s="57">
        <v>4.02E-2</v>
      </c>
      <c r="Q162" s="84">
        <f t="shared" si="21"/>
        <v>2.3300000000000001E-2</v>
      </c>
      <c r="S162" s="4">
        <v>46235</v>
      </c>
      <c r="T162" s="3" t="s">
        <v>33</v>
      </c>
      <c r="U162" s="3" t="s">
        <v>33</v>
      </c>
      <c r="V162" s="3" t="s">
        <v>33</v>
      </c>
      <c r="W162" s="3" t="s">
        <v>33</v>
      </c>
      <c r="X162" s="6">
        <v>3.5000000000000003E-2</v>
      </c>
      <c r="Y162" s="3" t="s">
        <v>33</v>
      </c>
      <c r="Z162" s="6">
        <v>0.02</v>
      </c>
      <c r="AA162" s="2">
        <v>46235</v>
      </c>
      <c r="AB162" s="1" t="s">
        <v>33</v>
      </c>
      <c r="AC162" s="1" t="s">
        <v>33</v>
      </c>
      <c r="AD162" s="1" t="s">
        <v>33</v>
      </c>
      <c r="AE162" s="1" t="s">
        <v>33</v>
      </c>
      <c r="AF162" s="1" t="s">
        <v>33</v>
      </c>
      <c r="AG162" s="1" t="s">
        <v>33</v>
      </c>
      <c r="AH162" s="57">
        <v>2.5000000000000001E-2</v>
      </c>
      <c r="AI162" s="12">
        <f t="shared" si="13"/>
        <v>5.000000000000001E-3</v>
      </c>
      <c r="AK162" s="4">
        <v>46235</v>
      </c>
      <c r="AL162" s="6">
        <v>0.02</v>
      </c>
      <c r="AM162" s="3"/>
      <c r="AN162" s="3"/>
      <c r="AO162" s="3"/>
      <c r="AP162" s="3" t="s">
        <v>33</v>
      </c>
      <c r="AQ162" s="3" t="s">
        <v>33</v>
      </c>
      <c r="AR162" s="6">
        <v>1.66E-2</v>
      </c>
      <c r="AS162" s="2">
        <v>46235</v>
      </c>
      <c r="AT162" s="13">
        <v>3.6900000000000002E-2</v>
      </c>
      <c r="AU162" s="13">
        <v>3.7900000000000003E-2</v>
      </c>
      <c r="AV162" s="13">
        <v>0.05</v>
      </c>
      <c r="AW162" s="13">
        <v>4.9500000000000002E-2</v>
      </c>
      <c r="AX162" s="13">
        <v>0.04</v>
      </c>
      <c r="AY162" s="13">
        <v>4.8000000000000001E-2</v>
      </c>
      <c r="AZ162" s="13">
        <v>4.3400000000000001E-2</v>
      </c>
      <c r="BA162" s="12">
        <v>2.5999999999999999E-2</v>
      </c>
      <c r="BC162" s="4">
        <v>46235</v>
      </c>
      <c r="BD162" s="6">
        <v>1.7999999999999999E-2</v>
      </c>
      <c r="BE162" s="6">
        <v>2.8000000000000001E-2</v>
      </c>
      <c r="BF162" s="6">
        <v>3.2000000000000001E-2</v>
      </c>
      <c r="BG162" s="3"/>
      <c r="BH162" s="3"/>
      <c r="BI162" s="3"/>
      <c r="BJ162" s="6">
        <v>1.7000000000000001E-2</v>
      </c>
      <c r="BK162" s="2">
        <v>46235</v>
      </c>
      <c r="BL162" s="57">
        <v>4.8300000000000003E-2</v>
      </c>
      <c r="BM162" s="1"/>
      <c r="BN162" s="57">
        <v>5.8000000000000003E-2</v>
      </c>
      <c r="BO162" s="1"/>
      <c r="BP162" s="1"/>
      <c r="BQ162" s="1"/>
      <c r="BR162" s="57">
        <v>4.02E-2</v>
      </c>
      <c r="BS162" s="12">
        <f t="shared" si="18"/>
        <v>2.3199999999999998E-2</v>
      </c>
    </row>
    <row r="163" spans="1:71" x14ac:dyDescent="0.35">
      <c r="A163" s="4">
        <v>46236</v>
      </c>
      <c r="B163" s="3" t="s">
        <v>33</v>
      </c>
      <c r="C163" s="3" t="s">
        <v>33</v>
      </c>
      <c r="D163" s="3" t="s">
        <v>32</v>
      </c>
      <c r="E163" s="3" t="s">
        <v>33</v>
      </c>
      <c r="F163" s="3" t="s">
        <v>32</v>
      </c>
      <c r="G163" s="3" t="s">
        <v>33</v>
      </c>
      <c r="H163" s="9">
        <v>1.5900000000000001E-2</v>
      </c>
      <c r="I163" s="2">
        <v>46236</v>
      </c>
      <c r="J163" s="1" t="s">
        <v>33</v>
      </c>
      <c r="K163" s="1" t="s">
        <v>33</v>
      </c>
      <c r="L163" s="1" t="s">
        <v>32</v>
      </c>
      <c r="M163" s="1" t="s">
        <v>33</v>
      </c>
      <c r="N163" s="1" t="s">
        <v>32</v>
      </c>
      <c r="O163" s="1" t="s">
        <v>32</v>
      </c>
      <c r="P163" s="57">
        <v>3.9399999999999998E-2</v>
      </c>
      <c r="Q163" s="84">
        <f t="shared" si="21"/>
        <v>2.3499999999999997E-2</v>
      </c>
      <c r="S163" s="4">
        <v>46236</v>
      </c>
      <c r="T163" s="3" t="s">
        <v>33</v>
      </c>
      <c r="U163" s="3" t="s">
        <v>33</v>
      </c>
      <c r="V163" s="3" t="s">
        <v>33</v>
      </c>
      <c r="W163" s="3" t="s">
        <v>33</v>
      </c>
      <c r="X163" s="6">
        <v>3.5000000000000003E-2</v>
      </c>
      <c r="Y163" s="3" t="s">
        <v>33</v>
      </c>
      <c r="Z163" s="6">
        <v>0.02</v>
      </c>
      <c r="AA163" s="2">
        <v>46236</v>
      </c>
      <c r="AB163" s="1" t="s">
        <v>33</v>
      </c>
      <c r="AC163" s="1" t="s">
        <v>33</v>
      </c>
      <c r="AD163" s="1" t="s">
        <v>33</v>
      </c>
      <c r="AE163" s="1" t="s">
        <v>33</v>
      </c>
      <c r="AF163" s="1" t="s">
        <v>33</v>
      </c>
      <c r="AG163" s="1" t="s">
        <v>33</v>
      </c>
      <c r="AH163" s="57">
        <v>2.5000000000000001E-2</v>
      </c>
      <c r="AI163" s="12">
        <f t="shared" si="13"/>
        <v>5.000000000000001E-3</v>
      </c>
      <c r="AK163" s="4">
        <v>46236</v>
      </c>
      <c r="AL163" s="6">
        <v>0.02</v>
      </c>
      <c r="AM163" s="3"/>
      <c r="AN163" s="3"/>
      <c r="AO163" s="3"/>
      <c r="AP163" s="3" t="s">
        <v>33</v>
      </c>
      <c r="AQ163" s="3" t="s">
        <v>33</v>
      </c>
      <c r="AR163" s="6">
        <v>1.6500000000000001E-2</v>
      </c>
      <c r="AS163" s="2">
        <v>46236</v>
      </c>
      <c r="AT163" s="13">
        <v>3.6900000000000002E-2</v>
      </c>
      <c r="AU163" s="13">
        <v>3.7900000000000003E-2</v>
      </c>
      <c r="AV163" s="13">
        <v>0.05</v>
      </c>
      <c r="AW163" s="13">
        <v>4.9500000000000002E-2</v>
      </c>
      <c r="AX163" s="13">
        <v>0.04</v>
      </c>
      <c r="AY163" s="13">
        <v>4.8000000000000001E-2</v>
      </c>
      <c r="AZ163" s="13">
        <v>4.3400000000000001E-2</v>
      </c>
      <c r="BA163" s="12">
        <v>2.5999999999999999E-2</v>
      </c>
      <c r="BC163" s="4">
        <v>46236</v>
      </c>
      <c r="BD163" s="6">
        <v>1.7999999999999999E-2</v>
      </c>
      <c r="BE163" s="6">
        <v>2.8000000000000001E-2</v>
      </c>
      <c r="BF163" s="6">
        <v>3.2000000000000001E-2</v>
      </c>
      <c r="BG163" s="3"/>
      <c r="BH163" s="3"/>
      <c r="BI163" s="3"/>
      <c r="BJ163" s="6">
        <v>1.6799999999999999E-2</v>
      </c>
      <c r="BK163" s="2">
        <v>46236</v>
      </c>
      <c r="BL163" s="57">
        <v>4.8300000000000003E-2</v>
      </c>
      <c r="BM163" s="1"/>
      <c r="BN163" s="57">
        <v>5.8000000000000003E-2</v>
      </c>
      <c r="BO163" s="1"/>
      <c r="BP163" s="1"/>
      <c r="BQ163" s="1"/>
      <c r="BR163" s="57">
        <v>3.9399999999999998E-2</v>
      </c>
      <c r="BS163" s="12">
        <f t="shared" si="18"/>
        <v>2.2599999999999999E-2</v>
      </c>
    </row>
    <row r="164" spans="1:71" x14ac:dyDescent="0.35">
      <c r="A164" s="4">
        <v>46237</v>
      </c>
      <c r="B164" s="3" t="s">
        <v>33</v>
      </c>
      <c r="C164" s="3" t="s">
        <v>33</v>
      </c>
      <c r="D164" s="3" t="s">
        <v>32</v>
      </c>
      <c r="E164" s="3" t="s">
        <v>33</v>
      </c>
      <c r="F164" s="3" t="s">
        <v>32</v>
      </c>
      <c r="G164" s="3" t="s">
        <v>33</v>
      </c>
      <c r="H164" s="9">
        <v>1.7000000000000001E-2</v>
      </c>
      <c r="I164" s="2">
        <v>46237</v>
      </c>
      <c r="J164" s="1" t="s">
        <v>33</v>
      </c>
      <c r="K164" s="1" t="s">
        <v>33</v>
      </c>
      <c r="L164" s="1" t="s">
        <v>32</v>
      </c>
      <c r="M164" s="1" t="s">
        <v>33</v>
      </c>
      <c r="N164" s="1" t="s">
        <v>32</v>
      </c>
      <c r="O164" s="1" t="s">
        <v>32</v>
      </c>
      <c r="P164" s="57">
        <v>4.0099999999999997E-2</v>
      </c>
      <c r="Q164" s="84">
        <f t="shared" si="21"/>
        <v>2.3099999999999996E-2</v>
      </c>
      <c r="S164" s="4">
        <v>46237</v>
      </c>
      <c r="T164" s="3" t="s">
        <v>33</v>
      </c>
      <c r="U164" s="3" t="s">
        <v>33</v>
      </c>
      <c r="V164" s="3" t="s">
        <v>33</v>
      </c>
      <c r="W164" s="3" t="s">
        <v>33</v>
      </c>
      <c r="X164" s="6">
        <v>3.5000000000000003E-2</v>
      </c>
      <c r="Y164" s="3" t="s">
        <v>33</v>
      </c>
      <c r="Z164" s="6">
        <v>0.02</v>
      </c>
      <c r="AA164" s="2">
        <v>46237</v>
      </c>
      <c r="AB164" s="1" t="s">
        <v>33</v>
      </c>
      <c r="AC164" s="1" t="s">
        <v>33</v>
      </c>
      <c r="AD164" s="1" t="s">
        <v>33</v>
      </c>
      <c r="AE164" s="1" t="s">
        <v>33</v>
      </c>
      <c r="AF164" s="1" t="s">
        <v>33</v>
      </c>
      <c r="AG164" s="1" t="s">
        <v>33</v>
      </c>
      <c r="AH164" s="57">
        <v>2.5000000000000001E-2</v>
      </c>
      <c r="AI164" s="12">
        <f t="shared" si="13"/>
        <v>5.000000000000001E-3</v>
      </c>
      <c r="AK164" s="4">
        <v>46237</v>
      </c>
      <c r="AL164" s="6">
        <v>0.02</v>
      </c>
      <c r="AM164" s="3"/>
      <c r="AN164" s="3"/>
      <c r="AO164" s="3"/>
      <c r="AP164" s="3" t="s">
        <v>33</v>
      </c>
      <c r="AQ164" s="3" t="s">
        <v>33</v>
      </c>
      <c r="AR164" s="6">
        <v>1.6500000000000001E-2</v>
      </c>
      <c r="AS164" s="2">
        <v>46237</v>
      </c>
      <c r="AT164" s="13">
        <v>3.6900000000000002E-2</v>
      </c>
      <c r="AU164" s="13">
        <v>3.7900000000000003E-2</v>
      </c>
      <c r="AV164" s="13">
        <v>0.05</v>
      </c>
      <c r="AW164" s="13">
        <v>4.9500000000000002E-2</v>
      </c>
      <c r="AX164" s="13">
        <v>0.04</v>
      </c>
      <c r="AY164" s="13">
        <v>4.8000000000000001E-2</v>
      </c>
      <c r="AZ164" s="13">
        <v>4.3400000000000001E-2</v>
      </c>
      <c r="BA164" s="12">
        <v>2.5999999999999999E-2</v>
      </c>
      <c r="BC164" s="4">
        <v>46237</v>
      </c>
      <c r="BD164" s="6">
        <v>1.7999999999999999E-2</v>
      </c>
      <c r="BE164" s="6">
        <v>2.8000000000000001E-2</v>
      </c>
      <c r="BF164" s="6">
        <v>3.2000000000000001E-2</v>
      </c>
      <c r="BG164" s="3"/>
      <c r="BH164" s="3"/>
      <c r="BI164" s="3"/>
      <c r="BJ164" s="6">
        <v>1.66E-2</v>
      </c>
      <c r="BK164" s="2">
        <v>46237</v>
      </c>
      <c r="BL164" s="57">
        <v>4.8300000000000003E-2</v>
      </c>
      <c r="BM164" s="1"/>
      <c r="BN164" s="57">
        <v>5.8000000000000003E-2</v>
      </c>
      <c r="BO164" s="1"/>
      <c r="BP164" s="1"/>
      <c r="BQ164" s="1"/>
      <c r="BR164" s="57">
        <v>4.0300000000000002E-2</v>
      </c>
      <c r="BS164" s="12">
        <f t="shared" si="18"/>
        <v>2.3700000000000002E-2</v>
      </c>
    </row>
    <row r="165" spans="1:71" x14ac:dyDescent="0.35">
      <c r="A165" s="4">
        <v>46238</v>
      </c>
      <c r="B165" s="3" t="s">
        <v>33</v>
      </c>
      <c r="C165" s="3" t="s">
        <v>33</v>
      </c>
      <c r="D165" s="3" t="s">
        <v>32</v>
      </c>
      <c r="E165" s="3" t="s">
        <v>33</v>
      </c>
      <c r="F165" s="3" t="s">
        <v>32</v>
      </c>
      <c r="G165" s="3" t="s">
        <v>33</v>
      </c>
      <c r="H165" s="9">
        <v>1.6199999999999999E-2</v>
      </c>
      <c r="I165" s="2">
        <v>46238</v>
      </c>
      <c r="J165" s="1" t="s">
        <v>33</v>
      </c>
      <c r="K165" s="1" t="s">
        <v>33</v>
      </c>
      <c r="L165" s="1" t="s">
        <v>32</v>
      </c>
      <c r="M165" s="1" t="s">
        <v>33</v>
      </c>
      <c r="N165" s="1" t="s">
        <v>32</v>
      </c>
      <c r="O165" s="1" t="s">
        <v>32</v>
      </c>
      <c r="P165" s="57">
        <v>3.9100000000000003E-2</v>
      </c>
      <c r="Q165" s="84">
        <f t="shared" si="21"/>
        <v>2.2900000000000004E-2</v>
      </c>
      <c r="S165" s="4">
        <v>46238</v>
      </c>
      <c r="T165" s="3" t="s">
        <v>33</v>
      </c>
      <c r="U165" s="3" t="s">
        <v>33</v>
      </c>
      <c r="V165" s="3" t="s">
        <v>33</v>
      </c>
      <c r="W165" s="3" t="s">
        <v>33</v>
      </c>
      <c r="X165" s="6">
        <v>3.5000000000000003E-2</v>
      </c>
      <c r="Y165" s="3" t="s">
        <v>33</v>
      </c>
      <c r="Z165" s="6">
        <v>2.0400000000000001E-2</v>
      </c>
      <c r="AA165" s="2">
        <v>46238</v>
      </c>
      <c r="AB165" s="1" t="s">
        <v>33</v>
      </c>
      <c r="AC165" s="1" t="s">
        <v>33</v>
      </c>
      <c r="AD165" s="1" t="s">
        <v>33</v>
      </c>
      <c r="AE165" s="1" t="s">
        <v>33</v>
      </c>
      <c r="AF165" s="1" t="s">
        <v>33</v>
      </c>
      <c r="AG165" s="1" t="s">
        <v>33</v>
      </c>
      <c r="AH165" s="57">
        <v>2.5000000000000001E-2</v>
      </c>
      <c r="AI165" s="12">
        <f t="shared" si="13"/>
        <v>4.5999999999999999E-3</v>
      </c>
      <c r="AK165" s="4">
        <v>46238</v>
      </c>
      <c r="AL165" s="6">
        <v>0.02</v>
      </c>
      <c r="AM165" s="3"/>
      <c r="AN165" s="3"/>
      <c r="AO165" s="3"/>
      <c r="AP165" s="3" t="s">
        <v>33</v>
      </c>
      <c r="AQ165" s="3" t="s">
        <v>33</v>
      </c>
      <c r="AR165" s="6">
        <v>1.72E-2</v>
      </c>
      <c r="AS165" s="2">
        <v>46238</v>
      </c>
      <c r="AT165" s="13">
        <v>3.6900000000000002E-2</v>
      </c>
      <c r="AU165" s="13">
        <v>3.7900000000000003E-2</v>
      </c>
      <c r="AV165" s="13">
        <v>0.04</v>
      </c>
      <c r="AW165" s="13">
        <v>4.9500000000000002E-2</v>
      </c>
      <c r="AX165" s="13">
        <v>3.5999999999999997E-2</v>
      </c>
      <c r="AY165" s="13">
        <v>4.8000000000000001E-2</v>
      </c>
      <c r="AZ165" s="13">
        <v>4.2799999999999998E-2</v>
      </c>
      <c r="BA165" s="12">
        <v>2.5999999999999999E-2</v>
      </c>
      <c r="BC165" s="4">
        <v>46238</v>
      </c>
      <c r="BD165" s="6">
        <v>1.7999999999999999E-2</v>
      </c>
      <c r="BE165" s="6">
        <v>2.8000000000000001E-2</v>
      </c>
      <c r="BF165" s="6">
        <v>3.2000000000000001E-2</v>
      </c>
      <c r="BG165" s="3"/>
      <c r="BH165" s="3"/>
      <c r="BI165" s="3"/>
      <c r="BJ165" s="6">
        <v>1.6899999999999998E-2</v>
      </c>
      <c r="BK165" s="2">
        <v>46238</v>
      </c>
      <c r="BL165" s="57">
        <v>4.8300000000000003E-2</v>
      </c>
      <c r="BM165" s="1"/>
      <c r="BN165" s="57">
        <v>5.8000000000000003E-2</v>
      </c>
      <c r="BO165" s="1"/>
      <c r="BP165" s="1"/>
      <c r="BQ165" s="1"/>
      <c r="BR165" s="57">
        <v>4.0399999999999998E-2</v>
      </c>
      <c r="BS165" s="12">
        <f t="shared" si="18"/>
        <v>2.35E-2</v>
      </c>
    </row>
    <row r="166" spans="1:71" x14ac:dyDescent="0.35">
      <c r="A166" s="4">
        <v>46239</v>
      </c>
      <c r="B166" s="3" t="s">
        <v>33</v>
      </c>
      <c r="C166" s="3" t="s">
        <v>33</v>
      </c>
      <c r="D166" s="3" t="s">
        <v>32</v>
      </c>
      <c r="E166" s="3" t="s">
        <v>33</v>
      </c>
      <c r="F166" s="3" t="s">
        <v>32</v>
      </c>
      <c r="G166" s="3" t="s">
        <v>33</v>
      </c>
      <c r="H166" s="9">
        <v>1.6199999999999999E-2</v>
      </c>
      <c r="I166" s="2">
        <v>46239</v>
      </c>
      <c r="J166" s="1" t="s">
        <v>33</v>
      </c>
      <c r="K166" s="1" t="s">
        <v>33</v>
      </c>
      <c r="L166" s="1" t="s">
        <v>32</v>
      </c>
      <c r="M166" s="1" t="s">
        <v>33</v>
      </c>
      <c r="N166" s="1" t="s">
        <v>32</v>
      </c>
      <c r="O166" s="1" t="s">
        <v>32</v>
      </c>
      <c r="P166" s="57">
        <v>3.9100000000000003E-2</v>
      </c>
      <c r="Q166" s="84">
        <f t="shared" si="21"/>
        <v>2.2900000000000004E-2</v>
      </c>
      <c r="S166" s="4">
        <v>46239</v>
      </c>
      <c r="T166" s="3" t="s">
        <v>33</v>
      </c>
      <c r="U166" s="3" t="s">
        <v>33</v>
      </c>
      <c r="V166" s="3" t="s">
        <v>33</v>
      </c>
      <c r="W166" s="3" t="s">
        <v>33</v>
      </c>
      <c r="X166" s="6">
        <v>3.5000000000000003E-2</v>
      </c>
      <c r="Y166" s="3" t="s">
        <v>33</v>
      </c>
      <c r="Z166" s="6">
        <v>2.2800000000000001E-2</v>
      </c>
      <c r="AA166" s="2">
        <v>46239</v>
      </c>
      <c r="AB166" s="1" t="s">
        <v>33</v>
      </c>
      <c r="AC166" s="1" t="s">
        <v>33</v>
      </c>
      <c r="AD166" s="1" t="s">
        <v>33</v>
      </c>
      <c r="AE166" s="1" t="s">
        <v>33</v>
      </c>
      <c r="AF166" s="1" t="s">
        <v>33</v>
      </c>
      <c r="AG166" s="1" t="s">
        <v>33</v>
      </c>
      <c r="AH166" s="57">
        <v>2.5000000000000001E-2</v>
      </c>
      <c r="AI166" s="12">
        <f t="shared" si="13"/>
        <v>2.2000000000000006E-3</v>
      </c>
      <c r="AK166" s="4">
        <v>46239</v>
      </c>
      <c r="AL166" s="6">
        <v>0.02</v>
      </c>
      <c r="AM166" s="3"/>
      <c r="AN166" s="3"/>
      <c r="AO166" s="3"/>
      <c r="AP166" s="3" t="s">
        <v>33</v>
      </c>
      <c r="AQ166" s="3">
        <v>2.98</v>
      </c>
      <c r="AR166" s="6">
        <v>1.7399999999999999E-2</v>
      </c>
      <c r="AS166" s="2">
        <v>46239</v>
      </c>
      <c r="AT166" s="13">
        <v>3.6799999999999999E-2</v>
      </c>
      <c r="AU166" s="13">
        <v>3.5900000000000001E-2</v>
      </c>
      <c r="AV166" s="13">
        <v>4.4400000000000002E-2</v>
      </c>
      <c r="AW166" s="13">
        <v>3.9899999999999998E-2</v>
      </c>
      <c r="AX166" s="13">
        <v>4.4900000000000002E-2</v>
      </c>
      <c r="AY166" s="13">
        <v>4.9799999999999997E-2</v>
      </c>
      <c r="AZ166" s="13">
        <v>4.2999999999999997E-2</v>
      </c>
      <c r="BA166" s="12">
        <v>2.5999999999999999E-2</v>
      </c>
      <c r="BC166" s="4">
        <v>46239</v>
      </c>
      <c r="BD166" s="6">
        <v>1.7999999999999999E-2</v>
      </c>
      <c r="BE166" s="6">
        <v>2.8000000000000001E-2</v>
      </c>
      <c r="BF166" s="6">
        <v>3.2000000000000001E-2</v>
      </c>
      <c r="BG166" s="3"/>
      <c r="BH166" s="3"/>
      <c r="BI166" s="3"/>
      <c r="BJ166" s="6">
        <v>1.67E-2</v>
      </c>
      <c r="BK166" s="2">
        <v>46239</v>
      </c>
      <c r="BL166" s="57">
        <v>4.8000000000000001E-2</v>
      </c>
      <c r="BM166" s="1"/>
      <c r="BN166" s="57">
        <v>5.7500000000000002E-2</v>
      </c>
      <c r="BO166" s="1"/>
      <c r="BP166" s="1"/>
      <c r="BQ166" s="1"/>
      <c r="BR166" s="57">
        <v>4.0099999999999997E-2</v>
      </c>
      <c r="BS166" s="12">
        <f t="shared" si="18"/>
        <v>2.3399999999999997E-2</v>
      </c>
    </row>
    <row r="167" spans="1:71" x14ac:dyDescent="0.35">
      <c r="A167" s="4">
        <v>46240</v>
      </c>
      <c r="B167" s="3" t="s">
        <v>33</v>
      </c>
      <c r="C167" s="3" t="s">
        <v>33</v>
      </c>
      <c r="D167" s="3" t="s">
        <v>32</v>
      </c>
      <c r="E167" s="3" t="s">
        <v>33</v>
      </c>
      <c r="F167" s="3" t="s">
        <v>32</v>
      </c>
      <c r="G167" s="3" t="s">
        <v>33</v>
      </c>
      <c r="H167" s="9">
        <v>1.6E-2</v>
      </c>
      <c r="I167" s="2">
        <v>46240</v>
      </c>
      <c r="J167" s="1" t="s">
        <v>33</v>
      </c>
      <c r="K167" s="1" t="s">
        <v>33</v>
      </c>
      <c r="L167" s="1" t="s">
        <v>32</v>
      </c>
      <c r="M167" s="1" t="s">
        <v>33</v>
      </c>
      <c r="N167" s="1" t="s">
        <v>32</v>
      </c>
      <c r="O167" s="1" t="s">
        <v>32</v>
      </c>
      <c r="P167" s="57">
        <v>3.8800000000000001E-2</v>
      </c>
      <c r="Q167" s="84">
        <f t="shared" si="21"/>
        <v>2.2800000000000001E-2</v>
      </c>
      <c r="S167" s="4">
        <v>46240</v>
      </c>
      <c r="T167" s="3" t="s">
        <v>33</v>
      </c>
      <c r="U167" s="3" t="s">
        <v>33</v>
      </c>
      <c r="V167" s="3" t="s">
        <v>33</v>
      </c>
      <c r="W167" s="3" t="s">
        <v>33</v>
      </c>
      <c r="X167" s="6">
        <v>3.5000000000000003E-2</v>
      </c>
      <c r="Y167" s="3" t="s">
        <v>33</v>
      </c>
      <c r="Z167" s="6">
        <v>2.2800000000000001E-2</v>
      </c>
      <c r="AA167" s="2">
        <v>46240</v>
      </c>
      <c r="AB167" s="1" t="s">
        <v>33</v>
      </c>
      <c r="AC167" s="1" t="s">
        <v>33</v>
      </c>
      <c r="AD167" s="1" t="s">
        <v>33</v>
      </c>
      <c r="AE167" s="1" t="s">
        <v>33</v>
      </c>
      <c r="AF167" s="1" t="s">
        <v>33</v>
      </c>
      <c r="AG167" s="1" t="s">
        <v>33</v>
      </c>
      <c r="AH167" s="57">
        <v>2.8000000000000001E-2</v>
      </c>
      <c r="AI167" s="12">
        <f t="shared" si="13"/>
        <v>5.1999999999999998E-3</v>
      </c>
      <c r="AK167" s="4">
        <v>46240</v>
      </c>
      <c r="AL167" s="6">
        <v>0.02</v>
      </c>
      <c r="AM167" s="3"/>
      <c r="AN167" s="3"/>
      <c r="AO167" s="3"/>
      <c r="AP167" s="3" t="s">
        <v>33</v>
      </c>
      <c r="AQ167" s="3" t="s">
        <v>33</v>
      </c>
      <c r="AR167" s="6">
        <v>1.6799999999999999E-2</v>
      </c>
      <c r="AS167" s="2">
        <v>46240</v>
      </c>
      <c r="AT167" s="13">
        <v>3.6700000000000003E-2</v>
      </c>
      <c r="AU167" s="13">
        <v>3.9E-2</v>
      </c>
      <c r="AV167" s="13">
        <v>4.9399999999999999E-2</v>
      </c>
      <c r="AW167" s="13">
        <v>0.04</v>
      </c>
      <c r="AX167" s="13">
        <v>4.4900000000000002E-2</v>
      </c>
      <c r="AY167" s="13">
        <v>4.9799999999999997E-2</v>
      </c>
      <c r="AZ167" s="13">
        <v>4.24E-2</v>
      </c>
      <c r="BA167" s="12">
        <v>2.5999999999999999E-2</v>
      </c>
      <c r="BC167" s="4">
        <v>46240</v>
      </c>
      <c r="BD167" s="6">
        <v>1.7999999999999999E-2</v>
      </c>
      <c r="BE167" s="6">
        <v>2.8000000000000001E-2</v>
      </c>
      <c r="BF167" s="6">
        <v>3.2000000000000001E-2</v>
      </c>
      <c r="BG167" s="3"/>
      <c r="BH167" s="3"/>
      <c r="BI167" s="3"/>
      <c r="BJ167" s="6">
        <v>1.66E-2</v>
      </c>
      <c r="BK167" s="2">
        <v>46240</v>
      </c>
      <c r="BL167" s="57">
        <v>4.7800000000000002E-2</v>
      </c>
      <c r="BM167" s="1"/>
      <c r="BN167" s="57">
        <v>5.7299999999999997E-2</v>
      </c>
      <c r="BO167" s="1"/>
      <c r="BP167" s="1"/>
      <c r="BQ167" s="1"/>
      <c r="BR167" s="57">
        <v>0.04</v>
      </c>
      <c r="BS167" s="12">
        <f t="shared" si="18"/>
        <v>2.3400000000000001E-2</v>
      </c>
    </row>
    <row r="168" spans="1:71" x14ac:dyDescent="0.35">
      <c r="A168" s="4">
        <v>46241</v>
      </c>
      <c r="B168" s="3" t="s">
        <v>33</v>
      </c>
      <c r="C168" s="3" t="s">
        <v>33</v>
      </c>
      <c r="D168" s="3" t="s">
        <v>32</v>
      </c>
      <c r="E168" s="3" t="s">
        <v>33</v>
      </c>
      <c r="F168" s="3" t="s">
        <v>32</v>
      </c>
      <c r="G168" s="3" t="s">
        <v>33</v>
      </c>
      <c r="H168" s="9">
        <v>1.6799999999999999E-2</v>
      </c>
      <c r="I168" s="2">
        <v>46241</v>
      </c>
      <c r="J168" s="1" t="s">
        <v>33</v>
      </c>
      <c r="K168" s="1" t="s">
        <v>33</v>
      </c>
      <c r="L168" s="1" t="s">
        <v>32</v>
      </c>
      <c r="M168" s="1" t="s">
        <v>33</v>
      </c>
      <c r="N168" s="1" t="s">
        <v>32</v>
      </c>
      <c r="O168" s="1" t="s">
        <v>32</v>
      </c>
      <c r="P168" s="57">
        <v>4.0300000000000002E-2</v>
      </c>
      <c r="Q168" s="84">
        <f t="shared" si="21"/>
        <v>2.3500000000000004E-2</v>
      </c>
      <c r="S168" s="4">
        <v>46241</v>
      </c>
      <c r="T168" s="3" t="s">
        <v>33</v>
      </c>
      <c r="U168" s="3" t="s">
        <v>33</v>
      </c>
      <c r="V168" s="3" t="s">
        <v>33</v>
      </c>
      <c r="W168" s="3" t="s">
        <v>33</v>
      </c>
      <c r="X168" s="6">
        <v>3.5000000000000003E-2</v>
      </c>
      <c r="Y168" s="3" t="s">
        <v>33</v>
      </c>
      <c r="Z168" s="6">
        <v>2.2599999999999999E-2</v>
      </c>
      <c r="AA168" s="2">
        <v>46241</v>
      </c>
      <c r="AB168" s="1" t="s">
        <v>33</v>
      </c>
      <c r="AC168" s="1" t="s">
        <v>33</v>
      </c>
      <c r="AD168" s="1" t="s">
        <v>33</v>
      </c>
      <c r="AE168" s="1" t="s">
        <v>33</v>
      </c>
      <c r="AF168" s="1" t="s">
        <v>33</v>
      </c>
      <c r="AG168" s="1" t="s">
        <v>33</v>
      </c>
      <c r="AH168" s="57">
        <v>2.8000000000000001E-2</v>
      </c>
      <c r="AI168" s="12">
        <f t="shared" si="13"/>
        <v>5.400000000000002E-3</v>
      </c>
      <c r="AK168" s="4">
        <v>46241</v>
      </c>
      <c r="AL168" s="6">
        <v>0.02</v>
      </c>
      <c r="AM168" s="3"/>
      <c r="AN168" s="3"/>
      <c r="AO168" s="3"/>
      <c r="AP168" s="3" t="s">
        <v>33</v>
      </c>
      <c r="AQ168" s="3" t="s">
        <v>33</v>
      </c>
      <c r="AR168" s="6">
        <v>1.7899999999999999E-2</v>
      </c>
      <c r="AS168" s="2">
        <v>46241</v>
      </c>
      <c r="AT168" s="13">
        <v>3.6999999999999998E-2</v>
      </c>
      <c r="AU168" s="13">
        <v>3.6900000000000002E-2</v>
      </c>
      <c r="AV168" s="13">
        <v>4.5699999999999998E-2</v>
      </c>
      <c r="AW168" s="13">
        <v>0.04</v>
      </c>
      <c r="AX168" s="13">
        <v>4.41E-2</v>
      </c>
      <c r="AY168" s="13">
        <v>4.9799999999999997E-2</v>
      </c>
      <c r="AZ168" s="13">
        <v>4.48E-2</v>
      </c>
      <c r="BA168" s="12">
        <v>2.5999999999999999E-2</v>
      </c>
      <c r="BC168" s="4">
        <v>46241</v>
      </c>
      <c r="BD168" s="6">
        <v>1.7999999999999999E-2</v>
      </c>
      <c r="BE168" s="6">
        <v>2.8000000000000001E-2</v>
      </c>
      <c r="BF168" s="6">
        <v>3.2000000000000001E-2</v>
      </c>
      <c r="BG168" s="3"/>
      <c r="BH168" s="3"/>
      <c r="BI168" s="3"/>
      <c r="BJ168" s="6">
        <v>1.78E-2</v>
      </c>
      <c r="BK168" s="2">
        <v>46241</v>
      </c>
      <c r="BL168" s="57">
        <v>5.0299999999999997E-2</v>
      </c>
      <c r="BM168" s="1"/>
      <c r="BN168" s="57">
        <v>6.0400000000000002E-2</v>
      </c>
      <c r="BO168" s="1"/>
      <c r="BP168" s="1"/>
      <c r="BQ168" s="1"/>
      <c r="BR168" s="57">
        <v>4.0899999999999999E-2</v>
      </c>
      <c r="BS168" s="12">
        <f t="shared" si="18"/>
        <v>2.3099999999999999E-2</v>
      </c>
    </row>
    <row r="169" spans="1:71" x14ac:dyDescent="0.35">
      <c r="A169" s="4">
        <v>46242</v>
      </c>
      <c r="B169" s="3" t="s">
        <v>33</v>
      </c>
      <c r="C169" s="3" t="s">
        <v>33</v>
      </c>
      <c r="D169" s="3" t="s">
        <v>32</v>
      </c>
      <c r="E169" s="3" t="s">
        <v>33</v>
      </c>
      <c r="F169" s="3" t="s">
        <v>32</v>
      </c>
      <c r="G169" s="3" t="s">
        <v>33</v>
      </c>
      <c r="H169" s="9">
        <v>1.67E-2</v>
      </c>
      <c r="I169" s="2">
        <v>46242</v>
      </c>
      <c r="J169" s="1" t="s">
        <v>33</v>
      </c>
      <c r="K169" s="1" t="s">
        <v>33</v>
      </c>
      <c r="L169" s="1" t="s">
        <v>32</v>
      </c>
      <c r="M169" s="1" t="s">
        <v>33</v>
      </c>
      <c r="N169" s="1" t="s">
        <v>32</v>
      </c>
      <c r="O169" s="1" t="s">
        <v>32</v>
      </c>
      <c r="P169" s="57">
        <v>4.0800000000000003E-2</v>
      </c>
      <c r="Q169" s="84">
        <f t="shared" si="21"/>
        <v>2.4100000000000003E-2</v>
      </c>
      <c r="S169" s="4">
        <v>46242</v>
      </c>
      <c r="T169" s="3" t="s">
        <v>33</v>
      </c>
      <c r="U169" s="3" t="s">
        <v>33</v>
      </c>
      <c r="V169" s="3" t="s">
        <v>33</v>
      </c>
      <c r="W169" s="3" t="s">
        <v>33</v>
      </c>
      <c r="X169" s="6">
        <v>3.5000000000000003E-2</v>
      </c>
      <c r="Y169" s="3" t="s">
        <v>33</v>
      </c>
      <c r="Z169" s="6">
        <v>2.2499999999999999E-2</v>
      </c>
      <c r="AA169" s="2">
        <v>46242</v>
      </c>
      <c r="AB169" s="1" t="s">
        <v>33</v>
      </c>
      <c r="AC169" s="1" t="s">
        <v>33</v>
      </c>
      <c r="AD169" s="1" t="s">
        <v>33</v>
      </c>
      <c r="AE169" s="1" t="s">
        <v>33</v>
      </c>
      <c r="AF169" s="1" t="s">
        <v>33</v>
      </c>
      <c r="AG169" s="1" t="s">
        <v>33</v>
      </c>
      <c r="AH169" s="57">
        <v>2.8000000000000001E-2</v>
      </c>
      <c r="AI169" s="12">
        <f t="shared" si="13"/>
        <v>5.5000000000000014E-3</v>
      </c>
      <c r="AK169" s="4">
        <v>46242</v>
      </c>
      <c r="AL169" s="6">
        <v>0.02</v>
      </c>
      <c r="AM169" s="3"/>
      <c r="AN169" s="3"/>
      <c r="AO169" s="3"/>
      <c r="AP169" s="3" t="s">
        <v>33</v>
      </c>
      <c r="AQ169" s="3" t="s">
        <v>33</v>
      </c>
      <c r="AR169" s="6">
        <v>1.7899999999999999E-2</v>
      </c>
      <c r="AS169" s="2">
        <v>46242</v>
      </c>
      <c r="AT169" s="13">
        <v>3.6999999999999998E-2</v>
      </c>
      <c r="AU169" s="13">
        <v>3.6900000000000002E-2</v>
      </c>
      <c r="AV169" s="13">
        <v>4.5699999999999998E-2</v>
      </c>
      <c r="AW169" s="13">
        <v>0.04</v>
      </c>
      <c r="AX169" s="13">
        <v>4.41E-2</v>
      </c>
      <c r="AY169" s="13">
        <v>4.9799999999999997E-2</v>
      </c>
      <c r="AZ169" s="13">
        <v>4.48E-2</v>
      </c>
      <c r="BA169" s="12">
        <v>2.5999999999999999E-2</v>
      </c>
      <c r="BC169" s="4">
        <v>46242</v>
      </c>
      <c r="BD169" s="6">
        <v>1.7999999999999999E-2</v>
      </c>
      <c r="BE169" s="6">
        <v>2.8000000000000001E-2</v>
      </c>
      <c r="BF169" s="6">
        <v>3.2000000000000001E-2</v>
      </c>
      <c r="BG169" s="3"/>
      <c r="BH169" s="3"/>
      <c r="BI169" s="3"/>
      <c r="BJ169" s="6">
        <v>1.9800000000000002E-2</v>
      </c>
      <c r="BK169" s="2">
        <v>46242</v>
      </c>
      <c r="BL169" s="57">
        <v>5.0299999999999997E-2</v>
      </c>
      <c r="BM169" s="1"/>
      <c r="BN169" s="57">
        <v>6.0400000000000002E-2</v>
      </c>
      <c r="BO169" s="1"/>
      <c r="BP169" s="1"/>
      <c r="BQ169" s="1"/>
      <c r="BR169" s="57">
        <v>4.19E-2</v>
      </c>
      <c r="BS169" s="12">
        <f t="shared" si="18"/>
        <v>2.2099999999999998E-2</v>
      </c>
    </row>
    <row r="170" spans="1:71" x14ac:dyDescent="0.35">
      <c r="A170" s="4">
        <v>46243</v>
      </c>
      <c r="B170" s="3" t="s">
        <v>33</v>
      </c>
      <c r="C170" s="3" t="s">
        <v>33</v>
      </c>
      <c r="D170" s="3" t="s">
        <v>32</v>
      </c>
      <c r="E170" s="3" t="s">
        <v>33</v>
      </c>
      <c r="F170" s="3" t="s">
        <v>32</v>
      </c>
      <c r="G170" s="3" t="s">
        <v>33</v>
      </c>
      <c r="H170" s="9">
        <v>1.72E-2</v>
      </c>
      <c r="I170" s="2">
        <v>46243</v>
      </c>
      <c r="J170" s="1" t="s">
        <v>33</v>
      </c>
      <c r="K170" s="1" t="s">
        <v>33</v>
      </c>
      <c r="L170" s="1" t="s">
        <v>32</v>
      </c>
      <c r="M170" s="1" t="s">
        <v>33</v>
      </c>
      <c r="N170" s="1" t="s">
        <v>32</v>
      </c>
      <c r="O170" s="1" t="s">
        <v>32</v>
      </c>
      <c r="P170" s="57">
        <v>4.0899999999999999E-2</v>
      </c>
      <c r="Q170" s="84">
        <f t="shared" si="21"/>
        <v>2.3699999999999999E-2</v>
      </c>
      <c r="S170" s="4">
        <v>46243</v>
      </c>
      <c r="T170" s="3" t="s">
        <v>33</v>
      </c>
      <c r="U170" s="3" t="s">
        <v>33</v>
      </c>
      <c r="V170" s="3" t="s">
        <v>33</v>
      </c>
      <c r="W170" s="3" t="s">
        <v>33</v>
      </c>
      <c r="X170" s="6">
        <v>3.5000000000000003E-2</v>
      </c>
      <c r="Y170" s="3" t="s">
        <v>33</v>
      </c>
      <c r="Z170" s="6">
        <v>2.2599999999999999E-2</v>
      </c>
      <c r="AA170" s="2">
        <v>46243</v>
      </c>
      <c r="AB170" s="1" t="s">
        <v>33</v>
      </c>
      <c r="AC170" s="1" t="s">
        <v>33</v>
      </c>
      <c r="AD170" s="1" t="s">
        <v>33</v>
      </c>
      <c r="AE170" s="1" t="s">
        <v>33</v>
      </c>
      <c r="AF170" s="1" t="s">
        <v>33</v>
      </c>
      <c r="AG170" s="1" t="s">
        <v>33</v>
      </c>
      <c r="AH170" s="57">
        <v>2.8000000000000001E-2</v>
      </c>
      <c r="AI170" s="12">
        <f t="shared" si="13"/>
        <v>5.400000000000002E-3</v>
      </c>
      <c r="AK170" s="4">
        <v>46243</v>
      </c>
      <c r="AL170" s="6">
        <v>0.02</v>
      </c>
      <c r="AM170" s="3"/>
      <c r="AN170" s="3"/>
      <c r="AO170" s="3"/>
      <c r="AP170" s="3" t="s">
        <v>33</v>
      </c>
      <c r="AQ170" s="3" t="s">
        <v>33</v>
      </c>
      <c r="AR170" s="6">
        <v>1.7899999999999999E-2</v>
      </c>
      <c r="AS170" s="2">
        <v>46243</v>
      </c>
      <c r="AT170" s="13">
        <v>3.6999999999999998E-2</v>
      </c>
      <c r="AU170" s="13">
        <v>3.6900000000000002E-2</v>
      </c>
      <c r="AV170" s="13">
        <v>4.5699999999999998E-2</v>
      </c>
      <c r="AW170" s="13">
        <v>0.04</v>
      </c>
      <c r="AX170" s="13">
        <v>4.41E-2</v>
      </c>
      <c r="AY170" s="13">
        <v>4.9799999999999997E-2</v>
      </c>
      <c r="AZ170" s="13">
        <v>4.48E-2</v>
      </c>
      <c r="BA170" s="12">
        <v>2.5999999999999999E-2</v>
      </c>
      <c r="BC170" s="4">
        <v>46243</v>
      </c>
      <c r="BD170" s="6">
        <v>1.7999999999999999E-2</v>
      </c>
      <c r="BE170" s="6">
        <v>2.8000000000000001E-2</v>
      </c>
      <c r="BF170" s="6">
        <v>3.2000000000000001E-2</v>
      </c>
      <c r="BG170" s="3"/>
      <c r="BH170" s="3"/>
      <c r="BI170" s="3"/>
      <c r="BJ170" s="6">
        <v>2.12E-2</v>
      </c>
      <c r="BK170" s="2">
        <v>46243</v>
      </c>
      <c r="BL170" s="57">
        <v>5.0299999999999997E-2</v>
      </c>
      <c r="BM170" s="1"/>
      <c r="BN170" s="57">
        <v>6.0400000000000002E-2</v>
      </c>
      <c r="BO170" s="1"/>
      <c r="BP170" s="1"/>
      <c r="BQ170" s="1"/>
      <c r="BR170" s="57">
        <v>4.1700000000000001E-2</v>
      </c>
      <c r="BS170" s="12">
        <f t="shared" si="18"/>
        <v>2.0500000000000001E-2</v>
      </c>
    </row>
    <row r="171" spans="1:71" x14ac:dyDescent="0.35">
      <c r="A171" s="4">
        <v>46244</v>
      </c>
      <c r="B171" s="3" t="s">
        <v>33</v>
      </c>
      <c r="C171" s="3" t="s">
        <v>33</v>
      </c>
      <c r="D171" s="3" t="s">
        <v>32</v>
      </c>
      <c r="E171" s="3" t="s">
        <v>33</v>
      </c>
      <c r="F171" s="3" t="s">
        <v>32</v>
      </c>
      <c r="G171" s="3" t="s">
        <v>33</v>
      </c>
      <c r="H171" s="9">
        <v>1.78E-2</v>
      </c>
      <c r="I171" s="2">
        <v>46244</v>
      </c>
      <c r="J171" s="1" t="s">
        <v>33</v>
      </c>
      <c r="K171" s="1" t="s">
        <v>33</v>
      </c>
      <c r="L171" s="1" t="s">
        <v>32</v>
      </c>
      <c r="M171" s="1" t="s">
        <v>33</v>
      </c>
      <c r="N171" s="1" t="s">
        <v>32</v>
      </c>
      <c r="O171" s="1" t="s">
        <v>32</v>
      </c>
      <c r="P171" s="57">
        <v>4.1000000000000002E-2</v>
      </c>
      <c r="Q171" s="84">
        <f t="shared" si="21"/>
        <v>2.3200000000000002E-2</v>
      </c>
      <c r="S171" s="4">
        <v>46244</v>
      </c>
      <c r="T171" s="3" t="s">
        <v>33</v>
      </c>
      <c r="U171" s="3" t="s">
        <v>33</v>
      </c>
      <c r="V171" s="3" t="s">
        <v>33</v>
      </c>
      <c r="W171" s="3" t="s">
        <v>33</v>
      </c>
      <c r="X171" s="6">
        <v>3.5000000000000003E-2</v>
      </c>
      <c r="Y171" s="3" t="s">
        <v>33</v>
      </c>
      <c r="Z171" s="6">
        <v>2.2599999999999999E-2</v>
      </c>
      <c r="AA171" s="2">
        <v>46244</v>
      </c>
      <c r="AB171" s="1" t="s">
        <v>33</v>
      </c>
      <c r="AC171" s="1" t="s">
        <v>33</v>
      </c>
      <c r="AD171" s="1" t="s">
        <v>33</v>
      </c>
      <c r="AE171" s="1" t="s">
        <v>33</v>
      </c>
      <c r="AF171" s="1" t="s">
        <v>33</v>
      </c>
      <c r="AG171" s="1" t="s">
        <v>33</v>
      </c>
      <c r="AH171" s="57">
        <v>2.8000000000000001E-2</v>
      </c>
      <c r="AI171" s="12">
        <f t="shared" si="13"/>
        <v>5.400000000000002E-3</v>
      </c>
      <c r="AK171" s="4">
        <v>46244</v>
      </c>
      <c r="AL171" s="6">
        <v>0.02</v>
      </c>
      <c r="AM171" s="3"/>
      <c r="AN171" s="3"/>
      <c r="AO171" s="3"/>
      <c r="AP171" s="3" t="s">
        <v>33</v>
      </c>
      <c r="AQ171" s="3" t="s">
        <v>33</v>
      </c>
      <c r="AR171" s="6">
        <v>1.7899999999999999E-2</v>
      </c>
      <c r="AS171" s="2">
        <v>46244</v>
      </c>
      <c r="AT171" s="13">
        <v>3.6999999999999998E-2</v>
      </c>
      <c r="AU171" s="13">
        <v>3.6900000000000002E-2</v>
      </c>
      <c r="AV171" s="13">
        <v>4.5699999999999998E-2</v>
      </c>
      <c r="AW171" s="13">
        <v>0.04</v>
      </c>
      <c r="AX171" s="13">
        <v>4.41E-2</v>
      </c>
      <c r="AY171" s="13">
        <v>4.9799999999999997E-2</v>
      </c>
      <c r="AZ171" s="13">
        <v>4.48E-2</v>
      </c>
      <c r="BA171" s="12">
        <v>2.5999999999999999E-2</v>
      </c>
      <c r="BC171" s="4">
        <v>46244</v>
      </c>
      <c r="BD171" s="6">
        <v>1.7999999999999999E-2</v>
      </c>
      <c r="BE171" s="6">
        <v>2.8000000000000001E-2</v>
      </c>
      <c r="BF171" s="6">
        <v>3.2000000000000001E-2</v>
      </c>
      <c r="BG171" s="3"/>
      <c r="BH171" s="3"/>
      <c r="BI171" s="3"/>
      <c r="BJ171" s="6">
        <v>1.8700000000000001E-2</v>
      </c>
      <c r="BK171" s="2">
        <v>46244</v>
      </c>
      <c r="BL171" s="57">
        <v>5.0299999999999997E-2</v>
      </c>
      <c r="BM171" s="1"/>
      <c r="BN171" s="57">
        <v>6.0400000000000002E-2</v>
      </c>
      <c r="BO171" s="1"/>
      <c r="BP171" s="1"/>
      <c r="BQ171" s="1"/>
      <c r="BR171" s="57">
        <v>4.2099999999999999E-2</v>
      </c>
      <c r="BS171" s="12">
        <f t="shared" si="18"/>
        <v>2.3399999999999997E-2</v>
      </c>
    </row>
    <row r="172" spans="1:71" x14ac:dyDescent="0.35">
      <c r="A172" s="4">
        <v>46245</v>
      </c>
      <c r="B172" s="3" t="s">
        <v>33</v>
      </c>
      <c r="C172" s="3" t="s">
        <v>33</v>
      </c>
      <c r="D172" s="3" t="s">
        <v>32</v>
      </c>
      <c r="E172" s="3" t="s">
        <v>33</v>
      </c>
      <c r="F172" s="3" t="s">
        <v>32</v>
      </c>
      <c r="G172" s="3" t="s">
        <v>33</v>
      </c>
      <c r="H172" s="9">
        <v>1.7600000000000001E-2</v>
      </c>
      <c r="I172" s="2">
        <v>46245</v>
      </c>
      <c r="J172" s="1" t="s">
        <v>33</v>
      </c>
      <c r="K172" s="1" t="s">
        <v>33</v>
      </c>
      <c r="L172" s="1" t="s">
        <v>32</v>
      </c>
      <c r="M172" s="1" t="s">
        <v>33</v>
      </c>
      <c r="N172" s="1" t="s">
        <v>32</v>
      </c>
      <c r="O172" s="1" t="s">
        <v>32</v>
      </c>
      <c r="P172" s="57">
        <v>4.0800000000000003E-2</v>
      </c>
      <c r="Q172" s="84">
        <f t="shared" si="21"/>
        <v>2.3200000000000002E-2</v>
      </c>
      <c r="S172" s="4">
        <v>46245</v>
      </c>
      <c r="T172" s="3" t="s">
        <v>33</v>
      </c>
      <c r="U172" s="3" t="s">
        <v>33</v>
      </c>
      <c r="V172" s="3" t="s">
        <v>33</v>
      </c>
      <c r="W172" s="3" t="s">
        <v>33</v>
      </c>
      <c r="X172" s="6">
        <v>3.5000000000000003E-2</v>
      </c>
      <c r="Y172" s="3" t="s">
        <v>33</v>
      </c>
      <c r="Z172" s="6">
        <v>2.29E-2</v>
      </c>
      <c r="AA172" s="2">
        <v>46245</v>
      </c>
      <c r="AB172" s="1" t="s">
        <v>33</v>
      </c>
      <c r="AC172" s="1" t="s">
        <v>33</v>
      </c>
      <c r="AD172" s="1" t="s">
        <v>33</v>
      </c>
      <c r="AE172" s="1" t="s">
        <v>33</v>
      </c>
      <c r="AF172" s="1" t="s">
        <v>33</v>
      </c>
      <c r="AG172" s="1" t="s">
        <v>33</v>
      </c>
      <c r="AH172" s="57">
        <v>2.8000000000000001E-2</v>
      </c>
      <c r="AI172" s="12">
        <f t="shared" si="13"/>
        <v>5.1000000000000004E-3</v>
      </c>
      <c r="AK172" s="4">
        <v>46245</v>
      </c>
      <c r="AL172" s="6">
        <v>0.02</v>
      </c>
      <c r="AM172" s="3"/>
      <c r="AN172" s="3"/>
      <c r="AO172" s="3"/>
      <c r="AP172" s="3" t="s">
        <v>33</v>
      </c>
      <c r="AQ172" s="3" t="s">
        <v>33</v>
      </c>
      <c r="AR172" s="6">
        <v>1.77E-2</v>
      </c>
      <c r="AS172" s="2">
        <v>46245</v>
      </c>
      <c r="AT172" s="13">
        <v>3.7900000000000003E-2</v>
      </c>
      <c r="AU172" s="13">
        <v>3.78E-2</v>
      </c>
      <c r="AV172" s="13">
        <v>0.04</v>
      </c>
      <c r="AW172" s="13">
        <v>0.05</v>
      </c>
      <c r="AX172" s="13">
        <v>4.4699999999999997E-2</v>
      </c>
      <c r="AY172" s="13">
        <v>4.9599999999999998E-2</v>
      </c>
      <c r="AZ172" s="13">
        <v>4.4600000000000001E-2</v>
      </c>
      <c r="BA172" s="12">
        <v>2.5999999999999999E-2</v>
      </c>
      <c r="BC172" s="4">
        <v>46245</v>
      </c>
      <c r="BD172" s="6" t="s">
        <v>33</v>
      </c>
      <c r="BE172" s="6">
        <v>2.8000000000000001E-2</v>
      </c>
      <c r="BF172" s="6">
        <v>3.2000000000000001E-2</v>
      </c>
      <c r="BG172" s="3"/>
      <c r="BH172" s="3"/>
      <c r="BI172" s="3"/>
      <c r="BJ172" s="6">
        <v>2.1700000000000001E-2</v>
      </c>
      <c r="BK172" s="2">
        <v>46245</v>
      </c>
      <c r="BL172" s="57">
        <v>5.16E-2</v>
      </c>
      <c r="BM172" s="1"/>
      <c r="BN172" s="57">
        <v>6.2E-2</v>
      </c>
      <c r="BO172" s="1"/>
      <c r="BP172" s="1"/>
      <c r="BQ172" s="1"/>
      <c r="BR172" s="57">
        <v>4.3400000000000001E-2</v>
      </c>
      <c r="BS172" s="12">
        <f t="shared" si="18"/>
        <v>2.1700000000000001E-2</v>
      </c>
    </row>
    <row r="173" spans="1:71" x14ac:dyDescent="0.35">
      <c r="A173" s="4">
        <v>46246</v>
      </c>
      <c r="B173" s="3" t="s">
        <v>33</v>
      </c>
      <c r="C173" s="3" t="s">
        <v>33</v>
      </c>
      <c r="D173" s="3" t="s">
        <v>32</v>
      </c>
      <c r="E173" s="3" t="s">
        <v>33</v>
      </c>
      <c r="F173" s="3" t="s">
        <v>32</v>
      </c>
      <c r="G173" s="3" t="s">
        <v>33</v>
      </c>
      <c r="H173" s="9">
        <v>1.7999999999999999E-2</v>
      </c>
      <c r="I173" s="2">
        <v>46246</v>
      </c>
      <c r="J173" s="1" t="s">
        <v>33</v>
      </c>
      <c r="K173" s="1" t="s">
        <v>33</v>
      </c>
      <c r="L173" s="1" t="s">
        <v>32</v>
      </c>
      <c r="M173" s="1" t="s">
        <v>33</v>
      </c>
      <c r="N173" s="1" t="s">
        <v>32</v>
      </c>
      <c r="O173" s="1" t="s">
        <v>32</v>
      </c>
      <c r="P173" s="57">
        <v>4.1200000000000001E-2</v>
      </c>
      <c r="Q173" s="84">
        <f t="shared" si="21"/>
        <v>2.3200000000000002E-2</v>
      </c>
      <c r="S173" s="4">
        <v>46246</v>
      </c>
      <c r="T173" s="3" t="s">
        <v>33</v>
      </c>
      <c r="U173" s="3" t="s">
        <v>33</v>
      </c>
      <c r="V173" s="3" t="s">
        <v>33</v>
      </c>
      <c r="W173" s="3" t="s">
        <v>33</v>
      </c>
      <c r="X173" s="6">
        <v>3.5000000000000003E-2</v>
      </c>
      <c r="Y173" s="3" t="s">
        <v>33</v>
      </c>
      <c r="Z173" s="6">
        <v>2.3199999999999998E-2</v>
      </c>
      <c r="AA173" s="2">
        <v>46246</v>
      </c>
      <c r="AB173" s="1" t="s">
        <v>33</v>
      </c>
      <c r="AC173" s="1" t="s">
        <v>33</v>
      </c>
      <c r="AD173" s="1" t="s">
        <v>33</v>
      </c>
      <c r="AE173" s="1" t="s">
        <v>33</v>
      </c>
      <c r="AF173" s="1" t="s">
        <v>33</v>
      </c>
      <c r="AG173" s="1" t="s">
        <v>33</v>
      </c>
      <c r="AH173" s="57">
        <v>2.8000000000000001E-2</v>
      </c>
      <c r="AI173" s="12">
        <f t="shared" si="13"/>
        <v>4.8000000000000022E-3</v>
      </c>
      <c r="AK173" s="4">
        <v>46246</v>
      </c>
      <c r="AL173" s="6">
        <v>0.02</v>
      </c>
      <c r="AM173" s="3"/>
      <c r="AN173" s="3"/>
      <c r="AO173" s="3"/>
      <c r="AP173" s="3" t="s">
        <v>33</v>
      </c>
      <c r="AQ173" s="3" t="s">
        <v>33</v>
      </c>
      <c r="AR173" s="6">
        <v>1.8100000000000002E-2</v>
      </c>
      <c r="AS173" s="2">
        <v>46246</v>
      </c>
      <c r="AT173" s="13">
        <v>3.7499999999999999E-2</v>
      </c>
      <c r="AU173" s="13">
        <v>3.78E-2</v>
      </c>
      <c r="AV173" s="13">
        <v>3.0099999999999998E-2</v>
      </c>
      <c r="AW173" s="13">
        <v>4.8899999999999999E-2</v>
      </c>
      <c r="AX173" s="13">
        <v>4.4699999999999997E-2</v>
      </c>
      <c r="AY173" s="13">
        <v>4.9599999999999998E-2</v>
      </c>
      <c r="AZ173" s="13">
        <v>4.5100000000000001E-2</v>
      </c>
      <c r="BA173" s="12">
        <v>2.5999999999999999E-2</v>
      </c>
      <c r="BC173" s="4">
        <v>46246</v>
      </c>
      <c r="BD173" s="6" t="s">
        <v>33</v>
      </c>
      <c r="BE173" s="6">
        <v>2.8000000000000001E-2</v>
      </c>
      <c r="BF173" s="6">
        <v>3.2000000000000001E-2</v>
      </c>
      <c r="BG173" s="3"/>
      <c r="BH173" s="3"/>
      <c r="BI173" s="3"/>
      <c r="BJ173" s="6">
        <v>1.8200000000000001E-2</v>
      </c>
      <c r="BK173" s="2">
        <v>46246</v>
      </c>
      <c r="BL173" s="57">
        <v>5.0500000000000003E-2</v>
      </c>
      <c r="BM173" s="1"/>
      <c r="BN173" s="57">
        <v>6.0600000000000001E-2</v>
      </c>
      <c r="BO173" s="1"/>
      <c r="BP173" s="1"/>
      <c r="BQ173" s="1"/>
      <c r="BR173" s="57">
        <v>4.2299999999999997E-2</v>
      </c>
      <c r="BS173" s="12">
        <f t="shared" si="18"/>
        <v>2.4099999999999996E-2</v>
      </c>
    </row>
    <row r="174" spans="1:71" x14ac:dyDescent="0.35">
      <c r="A174" s="4">
        <v>46247</v>
      </c>
      <c r="B174" s="3" t="s">
        <v>33</v>
      </c>
      <c r="C174" s="3" t="s">
        <v>33</v>
      </c>
      <c r="D174" s="3" t="s">
        <v>32</v>
      </c>
      <c r="E174" s="3" t="s">
        <v>33</v>
      </c>
      <c r="F174" s="3" t="s">
        <v>32</v>
      </c>
      <c r="G174" s="3" t="s">
        <v>33</v>
      </c>
      <c r="H174" s="9"/>
      <c r="I174" s="2">
        <v>46247</v>
      </c>
      <c r="J174" s="1" t="s">
        <v>33</v>
      </c>
      <c r="K174" s="1" t="s">
        <v>33</v>
      </c>
      <c r="L174" s="1" t="s">
        <v>32</v>
      </c>
      <c r="M174" s="1" t="s">
        <v>33</v>
      </c>
      <c r="N174" s="1" t="s">
        <v>32</v>
      </c>
      <c r="O174" s="1" t="s">
        <v>32</v>
      </c>
      <c r="P174" s="57"/>
      <c r="Q174" s="84"/>
      <c r="S174" s="4">
        <v>46247</v>
      </c>
      <c r="T174" s="3" t="s">
        <v>33</v>
      </c>
      <c r="U174" s="3" t="s">
        <v>33</v>
      </c>
      <c r="V174" s="3" t="s">
        <v>33</v>
      </c>
      <c r="W174" s="3" t="s">
        <v>33</v>
      </c>
      <c r="X174" s="6"/>
      <c r="Y174" s="3" t="s">
        <v>33</v>
      </c>
      <c r="Z174" s="6"/>
      <c r="AA174" s="2">
        <v>46247</v>
      </c>
      <c r="AB174" s="1" t="s">
        <v>33</v>
      </c>
      <c r="AC174" s="1" t="s">
        <v>33</v>
      </c>
      <c r="AD174" s="1" t="s">
        <v>33</v>
      </c>
      <c r="AE174" s="1" t="s">
        <v>33</v>
      </c>
      <c r="AF174" s="1" t="s">
        <v>33</v>
      </c>
      <c r="AG174" s="1" t="s">
        <v>33</v>
      </c>
      <c r="AH174" s="57"/>
      <c r="AI174" s="12"/>
      <c r="AK174" s="4">
        <v>46247</v>
      </c>
      <c r="AL174" s="6"/>
      <c r="AM174" s="3"/>
      <c r="AN174" s="3"/>
      <c r="AO174" s="3"/>
      <c r="AP174" s="3" t="s">
        <v>33</v>
      </c>
      <c r="AQ174" s="3" t="s">
        <v>33</v>
      </c>
      <c r="AR174" s="6"/>
      <c r="AS174" s="2">
        <v>46247</v>
      </c>
      <c r="AT174" s="13"/>
      <c r="AU174" s="13"/>
      <c r="AV174" s="13"/>
      <c r="AW174" s="13"/>
      <c r="AX174" s="13"/>
      <c r="AY174" s="13"/>
      <c r="AZ174" s="13"/>
      <c r="BA174" s="12"/>
      <c r="BC174" s="4">
        <v>46247</v>
      </c>
      <c r="BD174" s="6" t="s">
        <v>33</v>
      </c>
      <c r="BE174" s="6"/>
      <c r="BF174" s="6"/>
      <c r="BG174" s="3"/>
      <c r="BH174" s="3"/>
      <c r="BI174" s="3"/>
      <c r="BJ174" s="6"/>
      <c r="BK174" s="2">
        <v>46247</v>
      </c>
      <c r="BL174" s="57"/>
      <c r="BM174" s="1"/>
      <c r="BN174" s="57"/>
      <c r="BO174" s="1"/>
      <c r="BP174" s="1"/>
      <c r="BQ174" s="1"/>
      <c r="BR174" s="57"/>
      <c r="BS174" s="12"/>
    </row>
    <row r="175" spans="1:71" x14ac:dyDescent="0.35">
      <c r="A175" s="4">
        <v>46248</v>
      </c>
      <c r="B175" s="3" t="s">
        <v>33</v>
      </c>
      <c r="C175" s="3" t="s">
        <v>33</v>
      </c>
      <c r="D175" s="3" t="s">
        <v>32</v>
      </c>
      <c r="E175" s="3" t="s">
        <v>33</v>
      </c>
      <c r="F175" s="3" t="s">
        <v>32</v>
      </c>
      <c r="G175" s="3" t="s">
        <v>33</v>
      </c>
      <c r="H175" s="9"/>
      <c r="I175" s="2">
        <v>46248</v>
      </c>
      <c r="J175" s="1" t="s">
        <v>33</v>
      </c>
      <c r="K175" s="1" t="s">
        <v>33</v>
      </c>
      <c r="L175" s="1" t="s">
        <v>32</v>
      </c>
      <c r="M175" s="1" t="s">
        <v>33</v>
      </c>
      <c r="N175" s="1" t="s">
        <v>32</v>
      </c>
      <c r="O175" s="1" t="s">
        <v>32</v>
      </c>
      <c r="P175" s="57"/>
      <c r="Q175" s="84"/>
      <c r="S175" s="4">
        <v>46248</v>
      </c>
      <c r="T175" s="3" t="s">
        <v>33</v>
      </c>
      <c r="U175" s="3" t="s">
        <v>33</v>
      </c>
      <c r="V175" s="3" t="s">
        <v>33</v>
      </c>
      <c r="W175" s="3" t="s">
        <v>33</v>
      </c>
      <c r="X175" s="6"/>
      <c r="Y175" s="3" t="s">
        <v>33</v>
      </c>
      <c r="Z175" s="6"/>
      <c r="AA175" s="2">
        <v>46248</v>
      </c>
      <c r="AB175" s="1" t="s">
        <v>33</v>
      </c>
      <c r="AC175" s="1" t="s">
        <v>33</v>
      </c>
      <c r="AD175" s="1" t="s">
        <v>33</v>
      </c>
      <c r="AE175" s="1" t="s">
        <v>33</v>
      </c>
      <c r="AF175" s="1" t="s">
        <v>33</v>
      </c>
      <c r="AG175" s="1" t="s">
        <v>33</v>
      </c>
      <c r="AH175" s="57"/>
      <c r="AI175" s="12"/>
      <c r="AK175" s="4">
        <v>46248</v>
      </c>
      <c r="AL175" s="6"/>
      <c r="AM175" s="3"/>
      <c r="AN175" s="3"/>
      <c r="AO175" s="3"/>
      <c r="AP175" s="3" t="s">
        <v>33</v>
      </c>
      <c r="AQ175" s="3" t="s">
        <v>33</v>
      </c>
      <c r="AR175" s="6"/>
      <c r="AS175" s="2">
        <v>46248</v>
      </c>
      <c r="AT175" s="13"/>
      <c r="AU175" s="13"/>
      <c r="AV175" s="13"/>
      <c r="AW175" s="13"/>
      <c r="AX175" s="13"/>
      <c r="AY175" s="13"/>
      <c r="AZ175" s="13"/>
      <c r="BA175" s="12"/>
      <c r="BC175" s="4">
        <v>46248</v>
      </c>
      <c r="BD175" s="6" t="s">
        <v>33</v>
      </c>
      <c r="BE175" s="6"/>
      <c r="BF175" s="6"/>
      <c r="BG175" s="3"/>
      <c r="BH175" s="3"/>
      <c r="BI175" s="3"/>
      <c r="BJ175" s="6"/>
      <c r="BK175" s="2">
        <v>46248</v>
      </c>
      <c r="BL175" s="57"/>
      <c r="BM175" s="1"/>
      <c r="BN175" s="57"/>
      <c r="BO175" s="1"/>
      <c r="BP175" s="1"/>
      <c r="BQ175" s="1"/>
      <c r="BR175" s="57"/>
      <c r="BS175" s="12"/>
    </row>
    <row r="176" spans="1:71" x14ac:dyDescent="0.35">
      <c r="A176" s="4">
        <v>46249</v>
      </c>
      <c r="B176" s="3" t="s">
        <v>33</v>
      </c>
      <c r="C176" s="3" t="s">
        <v>33</v>
      </c>
      <c r="D176" s="3" t="s">
        <v>32</v>
      </c>
      <c r="E176" s="3" t="s">
        <v>33</v>
      </c>
      <c r="F176" s="3" t="s">
        <v>32</v>
      </c>
      <c r="G176" s="3" t="s">
        <v>33</v>
      </c>
      <c r="H176" s="9"/>
      <c r="I176" s="2">
        <v>46249</v>
      </c>
      <c r="J176" s="1" t="s">
        <v>33</v>
      </c>
      <c r="K176" s="1" t="s">
        <v>33</v>
      </c>
      <c r="L176" s="1" t="s">
        <v>32</v>
      </c>
      <c r="M176" s="1" t="s">
        <v>33</v>
      </c>
      <c r="N176" s="1" t="s">
        <v>32</v>
      </c>
      <c r="O176" s="1" t="s">
        <v>32</v>
      </c>
      <c r="P176" s="57"/>
      <c r="Q176" s="84"/>
      <c r="S176" s="4">
        <v>46249</v>
      </c>
      <c r="T176" s="3" t="s">
        <v>33</v>
      </c>
      <c r="U176" s="3" t="s">
        <v>33</v>
      </c>
      <c r="V176" s="3" t="s">
        <v>33</v>
      </c>
      <c r="W176" s="3" t="s">
        <v>33</v>
      </c>
      <c r="X176" s="6"/>
      <c r="Y176" s="3" t="s">
        <v>33</v>
      </c>
      <c r="Z176" s="6"/>
      <c r="AA176" s="2">
        <v>46249</v>
      </c>
      <c r="AB176" s="1" t="s">
        <v>33</v>
      </c>
      <c r="AC176" s="1" t="s">
        <v>33</v>
      </c>
      <c r="AD176" s="1" t="s">
        <v>33</v>
      </c>
      <c r="AE176" s="1" t="s">
        <v>33</v>
      </c>
      <c r="AF176" s="1" t="s">
        <v>33</v>
      </c>
      <c r="AG176" s="1" t="s">
        <v>33</v>
      </c>
      <c r="AH176" s="57"/>
      <c r="AI176" s="12"/>
      <c r="AK176" s="4">
        <v>46249</v>
      </c>
      <c r="AL176" s="6"/>
      <c r="AM176" s="3"/>
      <c r="AN176" s="3"/>
      <c r="AO176" s="3"/>
      <c r="AP176" s="3" t="s">
        <v>33</v>
      </c>
      <c r="AQ176" s="3" t="s">
        <v>33</v>
      </c>
      <c r="AR176" s="6"/>
      <c r="AS176" s="2">
        <v>46249</v>
      </c>
      <c r="AT176" s="13"/>
      <c r="AU176" s="13"/>
      <c r="AV176" s="13"/>
      <c r="AW176" s="13"/>
      <c r="AX176" s="13"/>
      <c r="AY176" s="13"/>
      <c r="AZ176" s="13"/>
      <c r="BA176" s="12"/>
      <c r="BC176" s="4">
        <v>46249</v>
      </c>
      <c r="BD176" s="6" t="s">
        <v>33</v>
      </c>
      <c r="BE176" s="6"/>
      <c r="BF176" s="6"/>
      <c r="BG176" s="3"/>
      <c r="BH176" s="3"/>
      <c r="BI176" s="3"/>
      <c r="BJ176" s="6"/>
      <c r="BK176" s="2">
        <v>46249</v>
      </c>
      <c r="BL176" s="57"/>
      <c r="BM176" s="1"/>
      <c r="BN176" s="57"/>
      <c r="BO176" s="1"/>
      <c r="BP176" s="1"/>
      <c r="BQ176" s="1"/>
      <c r="BR176" s="57"/>
      <c r="BS176" s="12"/>
    </row>
    <row r="177" spans="1:71" x14ac:dyDescent="0.35">
      <c r="A177" s="4">
        <v>46250</v>
      </c>
      <c r="B177" s="3" t="s">
        <v>33</v>
      </c>
      <c r="C177" s="3" t="s">
        <v>33</v>
      </c>
      <c r="D177" s="3" t="s">
        <v>32</v>
      </c>
      <c r="E177" s="3" t="s">
        <v>33</v>
      </c>
      <c r="F177" s="3" t="s">
        <v>32</v>
      </c>
      <c r="G177" s="3" t="s">
        <v>33</v>
      </c>
      <c r="H177" s="9"/>
      <c r="I177" s="2">
        <v>46250</v>
      </c>
      <c r="J177" s="1" t="s">
        <v>33</v>
      </c>
      <c r="K177" s="1" t="s">
        <v>33</v>
      </c>
      <c r="L177" s="1" t="s">
        <v>32</v>
      </c>
      <c r="M177" s="1" t="s">
        <v>33</v>
      </c>
      <c r="N177" s="1" t="s">
        <v>32</v>
      </c>
      <c r="O177" s="1" t="s">
        <v>32</v>
      </c>
      <c r="P177" s="57"/>
      <c r="Q177" s="84"/>
      <c r="S177" s="4">
        <v>46250</v>
      </c>
      <c r="T177" s="3" t="s">
        <v>33</v>
      </c>
      <c r="U177" s="3" t="s">
        <v>33</v>
      </c>
      <c r="V177" s="3" t="s">
        <v>33</v>
      </c>
      <c r="W177" s="3" t="s">
        <v>33</v>
      </c>
      <c r="X177" s="6"/>
      <c r="Y177" s="3" t="s">
        <v>33</v>
      </c>
      <c r="Z177" s="6"/>
      <c r="AA177" s="2">
        <v>46250</v>
      </c>
      <c r="AB177" s="1" t="s">
        <v>33</v>
      </c>
      <c r="AC177" s="1" t="s">
        <v>33</v>
      </c>
      <c r="AD177" s="1" t="s">
        <v>33</v>
      </c>
      <c r="AE177" s="1" t="s">
        <v>33</v>
      </c>
      <c r="AF177" s="1" t="s">
        <v>33</v>
      </c>
      <c r="AG177" s="1" t="s">
        <v>33</v>
      </c>
      <c r="AH177" s="57"/>
      <c r="AI177" s="12"/>
      <c r="AK177" s="4">
        <v>46250</v>
      </c>
      <c r="AL177" s="6"/>
      <c r="AM177" s="3"/>
      <c r="AN177" s="3"/>
      <c r="AO177" s="3"/>
      <c r="AP177" s="3" t="s">
        <v>33</v>
      </c>
      <c r="AQ177" s="3" t="s">
        <v>33</v>
      </c>
      <c r="AR177" s="6"/>
      <c r="AS177" s="2">
        <v>46250</v>
      </c>
      <c r="AT177" s="13"/>
      <c r="AU177" s="13"/>
      <c r="AV177" s="13"/>
      <c r="AW177" s="13"/>
      <c r="AX177" s="13"/>
      <c r="AY177" s="13"/>
      <c r="AZ177" s="13"/>
      <c r="BA177" s="12"/>
      <c r="BC177" s="4">
        <v>46250</v>
      </c>
      <c r="BD177" s="6" t="s">
        <v>33</v>
      </c>
      <c r="BE177" s="6"/>
      <c r="BF177" s="6"/>
      <c r="BG177" s="3"/>
      <c r="BH177" s="3"/>
      <c r="BI177" s="3"/>
      <c r="BJ177" s="6"/>
      <c r="BK177" s="2">
        <v>46250</v>
      </c>
      <c r="BL177" s="57"/>
      <c r="BM177" s="1"/>
      <c r="BN177" s="57"/>
      <c r="BO177" s="1"/>
      <c r="BP177" s="1"/>
      <c r="BQ177" s="1"/>
      <c r="BR177" s="57"/>
      <c r="BS177" s="12"/>
    </row>
    <row r="178" spans="1:71" x14ac:dyDescent="0.35">
      <c r="A178" s="4">
        <v>46251</v>
      </c>
      <c r="B178" s="3" t="s">
        <v>33</v>
      </c>
      <c r="C178" s="3" t="s">
        <v>33</v>
      </c>
      <c r="D178" s="3" t="s">
        <v>32</v>
      </c>
      <c r="E178" s="3" t="s">
        <v>33</v>
      </c>
      <c r="F178" s="3" t="s">
        <v>32</v>
      </c>
      <c r="G178" s="3" t="s">
        <v>33</v>
      </c>
      <c r="H178" s="9"/>
      <c r="I178" s="2">
        <v>46251</v>
      </c>
      <c r="J178" s="1" t="s">
        <v>33</v>
      </c>
      <c r="K178" s="1" t="s">
        <v>33</v>
      </c>
      <c r="L178" s="1" t="s">
        <v>32</v>
      </c>
      <c r="M178" s="1" t="s">
        <v>33</v>
      </c>
      <c r="N178" s="1" t="s">
        <v>32</v>
      </c>
      <c r="O178" s="1" t="s">
        <v>32</v>
      </c>
      <c r="P178" s="57"/>
      <c r="Q178" s="84"/>
      <c r="S178" s="4">
        <v>46251</v>
      </c>
      <c r="T178" s="3" t="s">
        <v>33</v>
      </c>
      <c r="U178" s="3" t="s">
        <v>33</v>
      </c>
      <c r="V178" s="3" t="s">
        <v>33</v>
      </c>
      <c r="W178" s="3" t="s">
        <v>33</v>
      </c>
      <c r="X178" s="6"/>
      <c r="Y178" s="3" t="s">
        <v>33</v>
      </c>
      <c r="Z178" s="6"/>
      <c r="AA178" s="2">
        <v>46251</v>
      </c>
      <c r="AB178" s="1" t="s">
        <v>33</v>
      </c>
      <c r="AC178" s="1" t="s">
        <v>33</v>
      </c>
      <c r="AD178" s="1" t="s">
        <v>33</v>
      </c>
      <c r="AE178" s="1" t="s">
        <v>33</v>
      </c>
      <c r="AF178" s="1" t="s">
        <v>33</v>
      </c>
      <c r="AG178" s="1" t="s">
        <v>33</v>
      </c>
      <c r="AH178" s="57"/>
      <c r="AI178" s="12"/>
      <c r="AK178" s="4">
        <v>46251</v>
      </c>
      <c r="AL178" s="6"/>
      <c r="AM178" s="3"/>
      <c r="AN178" s="3"/>
      <c r="AO178" s="3"/>
      <c r="AP178" s="3" t="s">
        <v>33</v>
      </c>
      <c r="AQ178" s="3" t="s">
        <v>33</v>
      </c>
      <c r="AR178" s="6"/>
      <c r="AS178" s="2">
        <v>46251</v>
      </c>
      <c r="AT178" s="13"/>
      <c r="AU178" s="13"/>
      <c r="AV178" s="13"/>
      <c r="AW178" s="13"/>
      <c r="AX178" s="13"/>
      <c r="AY178" s="13"/>
      <c r="AZ178" s="13"/>
      <c r="BA178" s="12"/>
      <c r="BC178" s="4">
        <v>46251</v>
      </c>
      <c r="BD178" s="6" t="s">
        <v>33</v>
      </c>
      <c r="BE178" s="6"/>
      <c r="BF178" s="6"/>
      <c r="BG178" s="3"/>
      <c r="BH178" s="3"/>
      <c r="BI178" s="3"/>
      <c r="BJ178" s="6"/>
      <c r="BK178" s="2">
        <v>46251</v>
      </c>
      <c r="BL178" s="57"/>
      <c r="BM178" s="1"/>
      <c r="BN178" s="57"/>
      <c r="BO178" s="1"/>
      <c r="BP178" s="1"/>
      <c r="BQ178" s="1"/>
      <c r="BR178" s="57"/>
      <c r="BS178" s="12"/>
    </row>
    <row r="179" spans="1:71" x14ac:dyDescent="0.35">
      <c r="A179" s="4">
        <v>46252</v>
      </c>
      <c r="B179" s="3" t="s">
        <v>33</v>
      </c>
      <c r="C179" s="3" t="s">
        <v>33</v>
      </c>
      <c r="D179" s="3" t="s">
        <v>32</v>
      </c>
      <c r="E179" s="3" t="s">
        <v>33</v>
      </c>
      <c r="F179" s="3" t="s">
        <v>32</v>
      </c>
      <c r="G179" s="3" t="s">
        <v>33</v>
      </c>
      <c r="H179" s="9"/>
      <c r="I179" s="2">
        <v>46252</v>
      </c>
      <c r="J179" s="1" t="s">
        <v>33</v>
      </c>
      <c r="K179" s="1" t="s">
        <v>33</v>
      </c>
      <c r="L179" s="1" t="s">
        <v>32</v>
      </c>
      <c r="M179" s="1" t="s">
        <v>33</v>
      </c>
      <c r="N179" s="1" t="s">
        <v>32</v>
      </c>
      <c r="O179" s="1" t="s">
        <v>32</v>
      </c>
      <c r="P179" s="57"/>
      <c r="Q179" s="84"/>
      <c r="S179" s="4">
        <v>46252</v>
      </c>
      <c r="T179" s="3" t="s">
        <v>33</v>
      </c>
      <c r="U179" s="3" t="s">
        <v>33</v>
      </c>
      <c r="V179" s="3" t="s">
        <v>33</v>
      </c>
      <c r="W179" s="3" t="s">
        <v>33</v>
      </c>
      <c r="X179" s="6"/>
      <c r="Y179" s="3" t="s">
        <v>33</v>
      </c>
      <c r="Z179" s="6"/>
      <c r="AA179" s="2">
        <v>46252</v>
      </c>
      <c r="AB179" s="1" t="s">
        <v>33</v>
      </c>
      <c r="AC179" s="1" t="s">
        <v>33</v>
      </c>
      <c r="AD179" s="1" t="s">
        <v>33</v>
      </c>
      <c r="AE179" s="1" t="s">
        <v>33</v>
      </c>
      <c r="AF179" s="1" t="s">
        <v>33</v>
      </c>
      <c r="AG179" s="1" t="s">
        <v>33</v>
      </c>
      <c r="AH179" s="57"/>
      <c r="AI179" s="12"/>
      <c r="AK179" s="4">
        <v>46252</v>
      </c>
      <c r="AL179" s="6"/>
      <c r="AM179" s="3"/>
      <c r="AN179" s="3"/>
      <c r="AO179" s="3"/>
      <c r="AP179" s="3" t="s">
        <v>33</v>
      </c>
      <c r="AQ179" s="3" t="s">
        <v>33</v>
      </c>
      <c r="AR179" s="6"/>
      <c r="AS179" s="2">
        <v>46252</v>
      </c>
      <c r="AT179" s="13"/>
      <c r="AU179" s="13"/>
      <c r="AV179" s="13"/>
      <c r="AW179" s="13"/>
      <c r="AX179" s="13"/>
      <c r="AY179" s="13"/>
      <c r="AZ179" s="13"/>
      <c r="BA179" s="12"/>
      <c r="BC179" s="4">
        <v>46252</v>
      </c>
      <c r="BD179" s="6" t="s">
        <v>33</v>
      </c>
      <c r="BE179" s="6"/>
      <c r="BF179" s="6"/>
      <c r="BG179" s="3"/>
      <c r="BH179" s="3"/>
      <c r="BI179" s="3"/>
      <c r="BJ179" s="6"/>
      <c r="BK179" s="2">
        <v>46252</v>
      </c>
      <c r="BL179" s="57"/>
      <c r="BM179" s="1"/>
      <c r="BN179" s="57"/>
      <c r="BO179" s="1"/>
      <c r="BP179" s="1"/>
      <c r="BQ179" s="1"/>
      <c r="BR179" s="57"/>
      <c r="BS179" s="12"/>
    </row>
    <row r="180" spans="1:71" x14ac:dyDescent="0.35">
      <c r="A180" s="4">
        <v>46253</v>
      </c>
      <c r="B180" s="3" t="s">
        <v>33</v>
      </c>
      <c r="C180" s="3" t="s">
        <v>33</v>
      </c>
      <c r="D180" s="3" t="s">
        <v>32</v>
      </c>
      <c r="E180" s="3" t="s">
        <v>33</v>
      </c>
      <c r="F180" s="3" t="s">
        <v>32</v>
      </c>
      <c r="G180" s="3" t="s">
        <v>33</v>
      </c>
      <c r="H180" s="9"/>
      <c r="I180" s="2">
        <v>46253</v>
      </c>
      <c r="J180" s="1" t="s">
        <v>33</v>
      </c>
      <c r="K180" s="1" t="s">
        <v>33</v>
      </c>
      <c r="L180" s="1" t="s">
        <v>32</v>
      </c>
      <c r="M180" s="1" t="s">
        <v>33</v>
      </c>
      <c r="N180" s="1" t="s">
        <v>32</v>
      </c>
      <c r="O180" s="1" t="s">
        <v>32</v>
      </c>
      <c r="P180" s="57"/>
      <c r="Q180" s="84"/>
      <c r="S180" s="4">
        <v>46253</v>
      </c>
      <c r="T180" s="3" t="s">
        <v>33</v>
      </c>
      <c r="U180" s="3" t="s">
        <v>33</v>
      </c>
      <c r="V180" s="3" t="s">
        <v>33</v>
      </c>
      <c r="W180" s="3" t="s">
        <v>33</v>
      </c>
      <c r="X180" s="6"/>
      <c r="Y180" s="3" t="s">
        <v>33</v>
      </c>
      <c r="Z180" s="6"/>
      <c r="AA180" s="2">
        <v>46253</v>
      </c>
      <c r="AB180" s="1" t="s">
        <v>33</v>
      </c>
      <c r="AC180" s="1" t="s">
        <v>33</v>
      </c>
      <c r="AD180" s="1" t="s">
        <v>33</v>
      </c>
      <c r="AE180" s="1" t="s">
        <v>33</v>
      </c>
      <c r="AF180" s="1" t="s">
        <v>33</v>
      </c>
      <c r="AG180" s="1" t="s">
        <v>33</v>
      </c>
      <c r="AH180" s="57"/>
      <c r="AI180" s="12"/>
      <c r="AK180" s="4">
        <v>46253</v>
      </c>
      <c r="AL180" s="6"/>
      <c r="AM180" s="3"/>
      <c r="AN180" s="3"/>
      <c r="AO180" s="3"/>
      <c r="AP180" s="3" t="s">
        <v>33</v>
      </c>
      <c r="AQ180" s="3" t="s">
        <v>33</v>
      </c>
      <c r="AR180" s="6"/>
      <c r="AS180" s="2">
        <v>46253</v>
      </c>
      <c r="AT180" s="13"/>
      <c r="AU180" s="13"/>
      <c r="AV180" s="13"/>
      <c r="AW180" s="13"/>
      <c r="AX180" s="13"/>
      <c r="AY180" s="13"/>
      <c r="AZ180" s="13"/>
      <c r="BA180" s="12"/>
      <c r="BC180" s="4">
        <v>46253</v>
      </c>
      <c r="BD180" s="6" t="s">
        <v>33</v>
      </c>
      <c r="BE180" s="6"/>
      <c r="BF180" s="6"/>
      <c r="BG180" s="3"/>
      <c r="BH180" s="3"/>
      <c r="BI180" s="3"/>
      <c r="BJ180" s="6"/>
      <c r="BK180" s="2">
        <v>46253</v>
      </c>
      <c r="BL180" s="57"/>
      <c r="BM180" s="1"/>
      <c r="BN180" s="57"/>
      <c r="BO180" s="1"/>
      <c r="BP180" s="1"/>
      <c r="BQ180" s="1"/>
      <c r="BR180" s="57"/>
      <c r="BS180" s="12"/>
    </row>
    <row r="181" spans="1:71" x14ac:dyDescent="0.35">
      <c r="A181" s="4">
        <v>46254</v>
      </c>
      <c r="B181" s="3" t="s">
        <v>33</v>
      </c>
      <c r="C181" s="3" t="s">
        <v>33</v>
      </c>
      <c r="D181" s="3" t="s">
        <v>32</v>
      </c>
      <c r="E181" s="3" t="s">
        <v>33</v>
      </c>
      <c r="F181" s="3" t="s">
        <v>32</v>
      </c>
      <c r="G181" s="3" t="s">
        <v>33</v>
      </c>
      <c r="H181" s="9"/>
      <c r="I181" s="2">
        <v>46254</v>
      </c>
      <c r="J181" s="1" t="s">
        <v>33</v>
      </c>
      <c r="K181" s="1" t="s">
        <v>33</v>
      </c>
      <c r="L181" s="1" t="s">
        <v>32</v>
      </c>
      <c r="M181" s="1" t="s">
        <v>33</v>
      </c>
      <c r="N181" s="1" t="s">
        <v>32</v>
      </c>
      <c r="O181" s="1" t="s">
        <v>32</v>
      </c>
      <c r="P181" s="57"/>
      <c r="Q181" s="84"/>
      <c r="S181" s="4">
        <v>46254</v>
      </c>
      <c r="T181" s="3" t="s">
        <v>33</v>
      </c>
      <c r="U181" s="3" t="s">
        <v>33</v>
      </c>
      <c r="V181" s="3" t="s">
        <v>33</v>
      </c>
      <c r="W181" s="3" t="s">
        <v>33</v>
      </c>
      <c r="X181" s="6"/>
      <c r="Y181" s="3" t="s">
        <v>33</v>
      </c>
      <c r="Z181" s="6"/>
      <c r="AA181" s="2">
        <v>46254</v>
      </c>
      <c r="AB181" s="1" t="s">
        <v>33</v>
      </c>
      <c r="AC181" s="1" t="s">
        <v>33</v>
      </c>
      <c r="AD181" s="1" t="s">
        <v>33</v>
      </c>
      <c r="AE181" s="1" t="s">
        <v>33</v>
      </c>
      <c r="AF181" s="1" t="s">
        <v>33</v>
      </c>
      <c r="AG181" s="1" t="s">
        <v>33</v>
      </c>
      <c r="AH181" s="57"/>
      <c r="AI181" s="12"/>
      <c r="AK181" s="4">
        <v>46254</v>
      </c>
      <c r="AL181" s="6"/>
      <c r="AM181" s="3"/>
      <c r="AN181" s="3"/>
      <c r="AO181" s="3"/>
      <c r="AP181" s="3" t="s">
        <v>33</v>
      </c>
      <c r="AQ181" s="3" t="s">
        <v>33</v>
      </c>
      <c r="AR181" s="6"/>
      <c r="AS181" s="2">
        <v>46254</v>
      </c>
      <c r="AT181" s="13"/>
      <c r="AU181" s="13"/>
      <c r="AV181" s="13"/>
      <c r="AW181" s="13"/>
      <c r="AX181" s="13"/>
      <c r="AY181" s="13"/>
      <c r="AZ181" s="13"/>
      <c r="BA181" s="12"/>
      <c r="BC181" s="4">
        <v>46254</v>
      </c>
      <c r="BD181" s="6" t="s">
        <v>33</v>
      </c>
      <c r="BE181" s="6"/>
      <c r="BF181" s="6"/>
      <c r="BG181" s="3"/>
      <c r="BH181" s="3"/>
      <c r="BI181" s="3"/>
      <c r="BJ181" s="6"/>
      <c r="BK181" s="2">
        <v>46254</v>
      </c>
      <c r="BL181" s="57"/>
      <c r="BM181" s="1"/>
      <c r="BN181" s="57"/>
      <c r="BO181" s="1"/>
      <c r="BP181" s="1"/>
      <c r="BQ181" s="1"/>
      <c r="BR181" s="57"/>
      <c r="BS181" s="12"/>
    </row>
    <row r="182" spans="1:71" x14ac:dyDescent="0.35">
      <c r="A182" s="4">
        <v>46255</v>
      </c>
      <c r="B182" s="3" t="s">
        <v>33</v>
      </c>
      <c r="C182" s="3" t="s">
        <v>33</v>
      </c>
      <c r="D182" s="3" t="s">
        <v>32</v>
      </c>
      <c r="E182" s="3" t="s">
        <v>33</v>
      </c>
      <c r="F182" s="3" t="s">
        <v>32</v>
      </c>
      <c r="G182" s="3" t="s">
        <v>33</v>
      </c>
      <c r="H182" s="9"/>
      <c r="I182" s="2">
        <v>46255</v>
      </c>
      <c r="J182" s="1" t="s">
        <v>33</v>
      </c>
      <c r="K182" s="1" t="s">
        <v>33</v>
      </c>
      <c r="L182" s="1" t="s">
        <v>32</v>
      </c>
      <c r="M182" s="1" t="s">
        <v>33</v>
      </c>
      <c r="N182" s="1" t="s">
        <v>32</v>
      </c>
      <c r="O182" s="1" t="s">
        <v>32</v>
      </c>
      <c r="P182" s="57"/>
      <c r="Q182" s="84"/>
      <c r="S182" s="4">
        <v>46255</v>
      </c>
      <c r="T182" s="3" t="s">
        <v>33</v>
      </c>
      <c r="U182" s="3" t="s">
        <v>33</v>
      </c>
      <c r="V182" s="3" t="s">
        <v>33</v>
      </c>
      <c r="W182" s="3" t="s">
        <v>33</v>
      </c>
      <c r="X182" s="6"/>
      <c r="Y182" s="3" t="s">
        <v>33</v>
      </c>
      <c r="Z182" s="6"/>
      <c r="AA182" s="2">
        <v>46255</v>
      </c>
      <c r="AB182" s="1" t="s">
        <v>33</v>
      </c>
      <c r="AC182" s="1" t="s">
        <v>33</v>
      </c>
      <c r="AD182" s="1" t="s">
        <v>33</v>
      </c>
      <c r="AE182" s="1" t="s">
        <v>33</v>
      </c>
      <c r="AF182" s="1" t="s">
        <v>33</v>
      </c>
      <c r="AG182" s="1" t="s">
        <v>33</v>
      </c>
      <c r="AH182" s="57"/>
      <c r="AI182" s="12"/>
      <c r="AK182" s="4">
        <v>46255</v>
      </c>
      <c r="AL182" s="6"/>
      <c r="AM182" s="3"/>
      <c r="AN182" s="3"/>
      <c r="AO182" s="3"/>
      <c r="AP182" s="3" t="s">
        <v>33</v>
      </c>
      <c r="AQ182" s="3" t="s">
        <v>33</v>
      </c>
      <c r="AR182" s="6"/>
      <c r="AS182" s="2">
        <v>46255</v>
      </c>
      <c r="AT182" s="13"/>
      <c r="AU182" s="13"/>
      <c r="AV182" s="13"/>
      <c r="AW182" s="13"/>
      <c r="AX182" s="13"/>
      <c r="AY182" s="13"/>
      <c r="AZ182" s="13"/>
      <c r="BA182" s="12"/>
      <c r="BC182" s="4">
        <v>46255</v>
      </c>
      <c r="BD182" s="6" t="s">
        <v>33</v>
      </c>
      <c r="BE182" s="6"/>
      <c r="BF182" s="6"/>
      <c r="BG182" s="3"/>
      <c r="BH182" s="3"/>
      <c r="BI182" s="3"/>
      <c r="BJ182" s="6"/>
      <c r="BK182" s="2">
        <v>46255</v>
      </c>
      <c r="BL182" s="57"/>
      <c r="BM182" s="1"/>
      <c r="BN182" s="57"/>
      <c r="BO182" s="1"/>
      <c r="BP182" s="1"/>
      <c r="BQ182" s="1"/>
      <c r="BR182" s="57"/>
      <c r="BS182" s="12"/>
    </row>
    <row r="183" spans="1:71" x14ac:dyDescent="0.35">
      <c r="A183" s="4">
        <v>46256</v>
      </c>
      <c r="B183" s="3" t="s">
        <v>33</v>
      </c>
      <c r="C183" s="3" t="s">
        <v>33</v>
      </c>
      <c r="D183" s="3" t="s">
        <v>32</v>
      </c>
      <c r="E183" s="3" t="s">
        <v>33</v>
      </c>
      <c r="F183" s="3" t="s">
        <v>32</v>
      </c>
      <c r="G183" s="3" t="s">
        <v>33</v>
      </c>
      <c r="H183" s="9"/>
      <c r="I183" s="2">
        <v>46256</v>
      </c>
      <c r="J183" s="1" t="s">
        <v>33</v>
      </c>
      <c r="K183" s="1" t="s">
        <v>33</v>
      </c>
      <c r="L183" s="1" t="s">
        <v>32</v>
      </c>
      <c r="M183" s="1" t="s">
        <v>33</v>
      </c>
      <c r="N183" s="1" t="s">
        <v>32</v>
      </c>
      <c r="O183" s="1" t="s">
        <v>32</v>
      </c>
      <c r="P183" s="57"/>
      <c r="Q183" s="84"/>
      <c r="S183" s="4">
        <v>46256</v>
      </c>
      <c r="T183" s="3" t="s">
        <v>33</v>
      </c>
      <c r="U183" s="3" t="s">
        <v>33</v>
      </c>
      <c r="V183" s="3" t="s">
        <v>33</v>
      </c>
      <c r="W183" s="3" t="s">
        <v>33</v>
      </c>
      <c r="X183" s="6"/>
      <c r="Y183" s="3" t="s">
        <v>33</v>
      </c>
      <c r="Z183" s="6"/>
      <c r="AA183" s="2">
        <v>46256</v>
      </c>
      <c r="AB183" s="1" t="s">
        <v>33</v>
      </c>
      <c r="AC183" s="1" t="s">
        <v>33</v>
      </c>
      <c r="AD183" s="1" t="s">
        <v>33</v>
      </c>
      <c r="AE183" s="1" t="s">
        <v>33</v>
      </c>
      <c r="AF183" s="1" t="s">
        <v>33</v>
      </c>
      <c r="AG183" s="1" t="s">
        <v>33</v>
      </c>
      <c r="AH183" s="57"/>
      <c r="AI183" s="12"/>
      <c r="AK183" s="4">
        <v>46256</v>
      </c>
      <c r="AL183" s="6"/>
      <c r="AM183" s="3"/>
      <c r="AN183" s="3"/>
      <c r="AO183" s="3"/>
      <c r="AP183" s="3" t="s">
        <v>33</v>
      </c>
      <c r="AQ183" s="3" t="s">
        <v>33</v>
      </c>
      <c r="AR183" s="6"/>
      <c r="AS183" s="2">
        <v>46256</v>
      </c>
      <c r="AT183" s="13"/>
      <c r="AU183" s="13"/>
      <c r="AV183" s="13"/>
      <c r="AW183" s="13"/>
      <c r="AX183" s="13"/>
      <c r="AY183" s="13"/>
      <c r="AZ183" s="13"/>
      <c r="BA183" s="12"/>
      <c r="BC183" s="4">
        <v>46256</v>
      </c>
      <c r="BD183" s="6" t="s">
        <v>33</v>
      </c>
      <c r="BE183" s="6"/>
      <c r="BF183" s="6"/>
      <c r="BG183" s="3"/>
      <c r="BH183" s="3"/>
      <c r="BI183" s="3"/>
      <c r="BJ183" s="6"/>
      <c r="BK183" s="2">
        <v>46256</v>
      </c>
      <c r="BL183" s="57"/>
      <c r="BM183" s="1"/>
      <c r="BN183" s="57"/>
      <c r="BO183" s="1"/>
      <c r="BP183" s="1"/>
      <c r="BQ183" s="1"/>
      <c r="BR183" s="57"/>
      <c r="BS183" s="12"/>
    </row>
    <row r="1048575" spans="34:45" x14ac:dyDescent="0.35">
      <c r="AP1048575" s="18"/>
      <c r="AQ1048575" s="18"/>
      <c r="AR1048575" s="18"/>
      <c r="AS1048575" s="18"/>
    </row>
    <row r="1048576" spans="34:45" x14ac:dyDescent="0.35">
      <c r="AH1048576" s="59"/>
      <c r="AP1048576" s="17"/>
      <c r="AQ1048576" s="18"/>
      <c r="AR1048576" s="59"/>
      <c r="AS1048576" s="18"/>
    </row>
  </sheetData>
  <mergeCells count="4">
    <mergeCell ref="S1:AH1"/>
    <mergeCell ref="A1:P1"/>
    <mergeCell ref="AK1:AZ1"/>
    <mergeCell ref="BC1:BR1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7D633-B910-43FF-A74D-AABABC541E07}">
  <dimension ref="A1:BA122"/>
  <sheetViews>
    <sheetView topLeftCell="AK61" zoomScale="115" zoomScaleNormal="115" workbookViewId="0">
      <selection activeCell="AT72" sqref="AT72"/>
    </sheetView>
  </sheetViews>
  <sheetFormatPr defaultRowHeight="14.5" x14ac:dyDescent="0.35"/>
  <cols>
    <col min="1" max="1" width="10.7265625" style="25" bestFit="1" customWidth="1"/>
    <col min="2" max="2" width="13.81640625" style="23" bestFit="1" customWidth="1"/>
    <col min="3" max="3" width="12.54296875" style="23" bestFit="1" customWidth="1"/>
    <col min="4" max="4" width="9.26953125" style="23" bestFit="1" customWidth="1"/>
    <col min="5" max="5" width="12.7265625" style="23" bestFit="1" customWidth="1"/>
    <col min="6" max="6" width="8.7265625" style="23"/>
    <col min="7" max="7" width="12.7265625" style="31" bestFit="1" customWidth="1"/>
    <col min="8" max="8" width="12.7265625" style="28" bestFit="1" customWidth="1"/>
    <col min="10" max="10" width="10.7265625" style="25" bestFit="1" customWidth="1"/>
    <col min="11" max="11" width="8.7265625" style="23"/>
    <col min="12" max="12" width="12.7265625" style="23" bestFit="1" customWidth="1"/>
    <col min="13" max="16" width="8.7265625" style="23"/>
    <col min="17" max="17" width="13.81640625" style="23" bestFit="1" customWidth="1"/>
    <col min="19" max="19" width="10.7265625" style="25" bestFit="1" customWidth="1"/>
    <col min="20" max="20" width="9.81640625" style="23" bestFit="1" customWidth="1"/>
    <col min="21" max="25" width="8.7265625" style="23"/>
    <col min="26" max="26" width="11.81640625" style="23" bestFit="1" customWidth="1"/>
    <col min="28" max="28" width="10.7265625" style="25" bestFit="1" customWidth="1"/>
    <col min="29" max="31" width="8.7265625" style="23"/>
    <col min="32" max="32" width="9.54296875" style="23" customWidth="1"/>
    <col min="33" max="34" width="8.7265625" style="23"/>
    <col min="35" max="35" width="10.1796875" style="23" bestFit="1" customWidth="1"/>
    <col min="37" max="37" width="10.7265625" bestFit="1" customWidth="1"/>
    <col min="46" max="46" width="10.7265625" bestFit="1" customWidth="1"/>
  </cols>
  <sheetData>
    <row r="1" spans="1:44" x14ac:dyDescent="0.35">
      <c r="A1" s="24">
        <v>46077</v>
      </c>
      <c r="B1" s="16">
        <v>7</v>
      </c>
      <c r="C1" s="16">
        <v>14</v>
      </c>
      <c r="D1" s="16">
        <v>30</v>
      </c>
      <c r="E1" s="16">
        <v>60</v>
      </c>
      <c r="F1" s="16">
        <v>90</v>
      </c>
      <c r="G1" s="36" t="s">
        <v>11</v>
      </c>
      <c r="H1" s="27" t="s">
        <v>53</v>
      </c>
      <c r="J1" s="24">
        <v>46087</v>
      </c>
      <c r="K1" s="16">
        <v>7</v>
      </c>
      <c r="L1" s="16">
        <v>14</v>
      </c>
      <c r="M1" s="16">
        <v>30</v>
      </c>
      <c r="N1" s="16">
        <v>60</v>
      </c>
      <c r="O1" s="16">
        <v>90</v>
      </c>
      <c r="P1" s="16" t="s">
        <v>11</v>
      </c>
      <c r="Q1" s="16" t="s">
        <v>53</v>
      </c>
      <c r="S1" s="24">
        <v>46097</v>
      </c>
      <c r="T1" s="16">
        <v>7</v>
      </c>
      <c r="U1" s="16">
        <v>14</v>
      </c>
      <c r="V1" s="16">
        <v>30</v>
      </c>
      <c r="W1" s="16">
        <v>60</v>
      </c>
      <c r="X1" s="16">
        <v>90</v>
      </c>
      <c r="Y1" s="16" t="s">
        <v>11</v>
      </c>
      <c r="Z1" s="16" t="s">
        <v>53</v>
      </c>
      <c r="AB1" s="24">
        <v>46107</v>
      </c>
      <c r="AC1" s="16">
        <v>7</v>
      </c>
      <c r="AD1" s="16">
        <v>14</v>
      </c>
      <c r="AE1" s="16">
        <v>30</v>
      </c>
      <c r="AF1" s="16">
        <v>60</v>
      </c>
      <c r="AG1" s="16">
        <v>90</v>
      </c>
      <c r="AH1" s="16" t="s">
        <v>11</v>
      </c>
      <c r="AI1" s="16" t="s">
        <v>53</v>
      </c>
      <c r="AK1" s="24">
        <v>46117</v>
      </c>
      <c r="AL1" s="16">
        <v>7</v>
      </c>
      <c r="AM1" s="16">
        <v>14</v>
      </c>
      <c r="AN1" s="16">
        <v>30</v>
      </c>
      <c r="AO1" s="16">
        <v>60</v>
      </c>
      <c r="AP1" s="16">
        <v>90</v>
      </c>
      <c r="AQ1" s="16" t="s">
        <v>11</v>
      </c>
      <c r="AR1" s="16" t="s">
        <v>53</v>
      </c>
    </row>
    <row r="2" spans="1:44" x14ac:dyDescent="0.35">
      <c r="A2" s="14"/>
      <c r="B2" s="35">
        <f>(1+B4)^(365/7)-1</f>
        <v>3.0968576342366383E-2</v>
      </c>
      <c r="C2" s="35">
        <f>(1+C4)^(365/14)-1</f>
        <v>3.0968576342368159E-2</v>
      </c>
      <c r="D2" s="35">
        <f>(1+D4)^(365/30)-1</f>
        <v>3.0968576342366605E-2</v>
      </c>
      <c r="E2" s="35">
        <f>(1+E4)^(365/60)-1</f>
        <v>3.0968576342366161E-2</v>
      </c>
      <c r="F2" s="35">
        <f>(1+F4)^(365/90)-1</f>
        <v>3.0968576342366161E-2</v>
      </c>
      <c r="G2" s="15"/>
      <c r="H2" s="22"/>
      <c r="J2" s="14"/>
      <c r="K2" s="10"/>
      <c r="L2" s="10"/>
      <c r="M2" s="10"/>
      <c r="N2" s="10"/>
      <c r="O2" s="10"/>
      <c r="P2" s="10"/>
      <c r="Q2" s="10"/>
      <c r="S2" s="14"/>
      <c r="T2" s="10"/>
      <c r="U2" s="10"/>
      <c r="V2" s="10"/>
      <c r="W2" s="10"/>
      <c r="X2" s="10"/>
      <c r="Y2" s="10"/>
      <c r="Z2" s="10"/>
      <c r="AB2" s="14"/>
      <c r="AC2" s="10"/>
      <c r="AD2" s="10"/>
      <c r="AE2" s="10"/>
      <c r="AF2" s="10"/>
      <c r="AG2" s="10"/>
      <c r="AH2" s="10"/>
      <c r="AI2" s="10"/>
      <c r="AK2" s="14"/>
      <c r="AL2" s="10"/>
      <c r="AM2" s="10"/>
      <c r="AN2" s="10"/>
      <c r="AO2" s="10"/>
      <c r="AP2" s="10"/>
      <c r="AQ2" s="10"/>
      <c r="AR2" s="10"/>
    </row>
    <row r="3" spans="1:44" x14ac:dyDescent="0.35">
      <c r="A3" s="14"/>
      <c r="B3" s="35">
        <f>B4*(365/B1)</f>
        <v>3.0507646955369054E-2</v>
      </c>
      <c r="C3" s="35">
        <f>C4*(365/14)</f>
        <v>3.0516571634355998E-2</v>
      </c>
      <c r="D3" s="35">
        <f>D4*(365/30)</f>
        <v>3.0536983974912592E-2</v>
      </c>
      <c r="E3" s="35">
        <f>E4*(365/60)</f>
        <v>3.0575306196430729E-2</v>
      </c>
      <c r="F3" s="35">
        <f>F4*(365/90)</f>
        <v>3.0613692540966575E-2</v>
      </c>
      <c r="G3" s="15"/>
      <c r="H3" s="22"/>
      <c r="J3" s="14"/>
      <c r="K3" s="33">
        <f>K4*365/K1</f>
        <v>3.2308576251097731E-2</v>
      </c>
      <c r="L3" s="33">
        <f t="shared" ref="L3:O3" si="0">L4*365/L1</f>
        <v>3.2318585715067308E-2</v>
      </c>
      <c r="M3" s="33">
        <f t="shared" si="0"/>
        <v>3.2341480019105272E-2</v>
      </c>
      <c r="N3" s="33">
        <f t="shared" si="0"/>
        <v>3.2384465142249297E-2</v>
      </c>
      <c r="O3" s="33">
        <f t="shared" si="0"/>
        <v>3.2427526440872788E-2</v>
      </c>
      <c r="P3" s="10"/>
      <c r="Q3" s="10"/>
      <c r="S3" s="14"/>
      <c r="T3" s="33">
        <f>T4*365/T1</f>
        <v>3.320906088040159E-2</v>
      </c>
      <c r="U3" s="33">
        <f t="shared" ref="U3:X3" si="1">U4*365/U1</f>
        <v>3.3219636075024761E-2</v>
      </c>
      <c r="V3" s="33">
        <f t="shared" si="1"/>
        <v>3.3243824812786905E-2</v>
      </c>
      <c r="W3" s="33">
        <f t="shared" si="1"/>
        <v>3.3289242013672393E-2</v>
      </c>
      <c r="X3" s="33">
        <f t="shared" si="1"/>
        <v>3.3334741945595443E-2</v>
      </c>
      <c r="Y3" s="10"/>
      <c r="Z3" s="10"/>
      <c r="AB3" s="14"/>
      <c r="AC3" s="10"/>
      <c r="AD3" s="10"/>
      <c r="AE3" s="10"/>
      <c r="AF3" s="10"/>
      <c r="AG3" s="10"/>
      <c r="AH3" s="10"/>
      <c r="AI3" s="10"/>
      <c r="AK3" s="14" t="s">
        <v>12</v>
      </c>
      <c r="AL3" s="33">
        <f>((1+$AR3)^(AL1/365)-1)*365/AL1</f>
        <v>3.1007899748336825E-2</v>
      </c>
      <c r="AM3" s="33">
        <f t="shared" ref="AM3:AP3" si="2">((1+$AR3)^(AM1/365)-1)*365/AM1</f>
        <v>3.1017119513989746E-2</v>
      </c>
      <c r="AN3" s="33">
        <f t="shared" si="2"/>
        <v>3.103820699217404E-2</v>
      </c>
      <c r="AO3" s="33">
        <f t="shared" si="2"/>
        <v>3.1077797552172309E-2</v>
      </c>
      <c r="AP3" s="33">
        <f t="shared" si="2"/>
        <v>3.1117455444773193E-2</v>
      </c>
      <c r="AQ3" s="22">
        <v>3.1E-2</v>
      </c>
      <c r="AR3" s="33">
        <f>(1+AQ3/365)^365-1</f>
        <v>3.1484146077251696E-2</v>
      </c>
    </row>
    <row r="4" spans="1:44" x14ac:dyDescent="0.35">
      <c r="A4" s="14" t="s">
        <v>12</v>
      </c>
      <c r="B4" s="33">
        <f>(1+$H4)^(B1/365)-1</f>
        <v>5.8507816078789965E-4</v>
      </c>
      <c r="C4" s="33">
        <f>(1+$H4)^(C1/365)-1</f>
        <v>1.170498638030093E-3</v>
      </c>
      <c r="D4" s="33">
        <f>(1+$H4)^(D1/365)-1</f>
        <v>2.5098890938284324E-3</v>
      </c>
      <c r="E4" s="33">
        <f>(1+$H4)^(E1/365)-1</f>
        <v>5.0260777309201199E-3</v>
      </c>
      <c r="F4" s="33">
        <f>(1+$H4)^(F1/365)-1</f>
        <v>7.5485817224301144E-3</v>
      </c>
      <c r="G4" s="15">
        <f>3.05/100</f>
        <v>3.0499999999999999E-2</v>
      </c>
      <c r="H4" s="33">
        <f>(1+G4/365)^365-1</f>
        <v>3.0968576342366605E-2</v>
      </c>
      <c r="J4" s="14" t="s">
        <v>12</v>
      </c>
      <c r="K4" s="33">
        <f>(1+$Q4)^(K1/365)-1</f>
        <v>6.1961653084297019E-4</v>
      </c>
      <c r="L4" s="33">
        <f>(1+$Q4)^(L1/365)-1</f>
        <v>1.2396169863313489E-3</v>
      </c>
      <c r="M4" s="33">
        <f>(1+$Q4)^(M1/365)-1</f>
        <v>2.6582038371867345E-3</v>
      </c>
      <c r="N4" s="33">
        <f>(1+$Q4)^(N1/365)-1</f>
        <v>5.323473722013583E-3</v>
      </c>
      <c r="O4" s="33">
        <f>(1+$Q4)^(O1/365)-1</f>
        <v>7.9958284374754829E-3</v>
      </c>
      <c r="P4" s="22">
        <v>3.2300000000000002E-2</v>
      </c>
      <c r="Q4" s="33">
        <f>(1+P4/365)^365-1</f>
        <v>3.2825831032744723E-2</v>
      </c>
      <c r="S4" s="14" t="s">
        <v>12</v>
      </c>
      <c r="T4" s="33">
        <f>(1+$Z4)^(T1/365)-1</f>
        <v>6.3688609907619487E-4</v>
      </c>
      <c r="U4" s="33">
        <f t="shared" ref="U4:X4" si="3">(1+$Z4)^(U1/365)-1</f>
        <v>1.2741778220557443E-3</v>
      </c>
      <c r="V4" s="33">
        <f t="shared" si="3"/>
        <v>2.7323691626948143E-3</v>
      </c>
      <c r="W4" s="33">
        <f t="shared" si="3"/>
        <v>5.4722041666310783E-3</v>
      </c>
      <c r="X4" s="33">
        <f t="shared" si="3"/>
        <v>8.2195254112427119E-3</v>
      </c>
      <c r="Y4" s="22">
        <v>3.32E-2</v>
      </c>
      <c r="Z4" s="33">
        <f>(1+Y4/365)^365-1</f>
        <v>3.3755709228882935E-2</v>
      </c>
      <c r="AB4" s="14" t="s">
        <v>12</v>
      </c>
      <c r="AC4" s="33">
        <f>((1+$AI4)^(AC1/365)-1)*365/AC1</f>
        <v>2.9807299952161154E-2</v>
      </c>
      <c r="AD4" s="33">
        <f t="shared" ref="AD4:AG4" si="4">((1+$AI4)^(AD1/365)-1)*365/AD1</f>
        <v>2.9815819576702873E-2</v>
      </c>
      <c r="AE4" s="33">
        <f t="shared" si="4"/>
        <v>2.9835305198563405E-2</v>
      </c>
      <c r="AF4" s="33">
        <f t="shared" si="4"/>
        <v>2.9871886517863155E-2</v>
      </c>
      <c r="AG4" s="33">
        <f t="shared" si="4"/>
        <v>2.9908527640715526E-2</v>
      </c>
      <c r="AH4" s="22">
        <v>2.98E-2</v>
      </c>
      <c r="AI4" s="33">
        <f>(1+AH4/365)^365-1</f>
        <v>3.0247210433201888E-2</v>
      </c>
      <c r="AK4" s="14" t="s">
        <v>54</v>
      </c>
      <c r="AL4" s="22">
        <v>3.1E-2</v>
      </c>
      <c r="AM4" s="22">
        <v>0.03</v>
      </c>
      <c r="AN4" s="22">
        <v>4.3999999999999997E-2</v>
      </c>
      <c r="AO4" s="22">
        <v>5.7000000000000002E-2</v>
      </c>
      <c r="AP4" s="22">
        <v>5.9700000000000003E-2</v>
      </c>
      <c r="AQ4" s="22">
        <v>3.4200000000000001E-2</v>
      </c>
      <c r="AR4" s="33">
        <f>(1+AQ4/365)^365-1</f>
        <v>3.4789886456186414E-2</v>
      </c>
    </row>
    <row r="5" spans="1:44" x14ac:dyDescent="0.35">
      <c r="A5" s="14" t="s">
        <v>54</v>
      </c>
      <c r="B5" s="10" t="s">
        <v>18</v>
      </c>
      <c r="C5" s="10" t="s">
        <v>18</v>
      </c>
      <c r="D5" s="10" t="s">
        <v>3</v>
      </c>
      <c r="E5" s="10" t="s">
        <v>19</v>
      </c>
      <c r="F5" s="10" t="s">
        <v>20</v>
      </c>
      <c r="G5" s="15">
        <f>3.49/100</f>
        <v>3.49E-2</v>
      </c>
      <c r="H5" s="33">
        <f>(1+G5/365)^365-1</f>
        <v>3.5514424352408591E-2</v>
      </c>
      <c r="J5" s="14" t="s">
        <v>54</v>
      </c>
      <c r="K5" s="22">
        <v>3.9E-2</v>
      </c>
      <c r="L5" s="22">
        <v>3.4500000000000003E-2</v>
      </c>
      <c r="M5" s="22">
        <v>0.04</v>
      </c>
      <c r="N5" s="22">
        <v>5.7200000000000001E-2</v>
      </c>
      <c r="O5" s="22">
        <v>5.79E-2</v>
      </c>
      <c r="P5" s="22">
        <v>3.56E-2</v>
      </c>
      <c r="Q5" s="33">
        <f>(1+P5/365)^365-1</f>
        <v>3.623946816391288E-2</v>
      </c>
      <c r="S5" s="14" t="s">
        <v>54</v>
      </c>
      <c r="T5" s="22">
        <v>3.2000000000000001E-2</v>
      </c>
      <c r="U5" s="22">
        <v>3.9899999999999998E-2</v>
      </c>
      <c r="V5" s="22">
        <v>0.04</v>
      </c>
      <c r="W5" s="22">
        <v>4.4699999999999997E-2</v>
      </c>
      <c r="X5" s="22">
        <v>5.0999999999999997E-2</v>
      </c>
      <c r="Y5" s="22">
        <v>3.4500000000000003E-2</v>
      </c>
      <c r="Z5" s="33">
        <f>(1+Y5/365)^365-1</f>
        <v>3.5100340771234473E-2</v>
      </c>
      <c r="AB5" s="14" t="s">
        <v>54</v>
      </c>
      <c r="AC5" s="22">
        <f>'Daily Data'!AT34</f>
        <v>0.03</v>
      </c>
      <c r="AD5" s="22">
        <f>'Daily Data'!AU34</f>
        <v>3.2000000000000001E-2</v>
      </c>
      <c r="AE5" s="22">
        <f>'Daily Data'!AV34</f>
        <v>4.2000000000000003E-2</v>
      </c>
      <c r="AF5" s="22">
        <f>'Daily Data'!AW34</f>
        <v>4.3799999999999999E-2</v>
      </c>
      <c r="AG5" s="22">
        <f>'Daily Data'!AX34</f>
        <v>6.4899999999999999E-2</v>
      </c>
      <c r="AH5" s="22">
        <v>3.32E-2</v>
      </c>
      <c r="AI5" s="33">
        <f>(1+AH5/365)^365-1</f>
        <v>3.3755709228882935E-2</v>
      </c>
      <c r="AK5" s="14"/>
      <c r="AL5" s="10"/>
      <c r="AM5" s="10"/>
      <c r="AN5" s="10"/>
      <c r="AO5" s="10"/>
      <c r="AP5" s="10"/>
      <c r="AQ5" s="10"/>
      <c r="AR5" s="10"/>
    </row>
    <row r="6" spans="1:44" x14ac:dyDescent="0.35">
      <c r="A6" s="14"/>
      <c r="B6" s="35">
        <f>(1+B8)^(365/7)-1</f>
        <v>3.0145392093086087E-2</v>
      </c>
      <c r="C6" s="35">
        <f>(1+C8)^(365/14)-1</f>
        <v>3.0145392093080536E-2</v>
      </c>
      <c r="D6" s="35">
        <f>(1+D8)^(365/30)-1</f>
        <v>3.014539209308098E-2</v>
      </c>
      <c r="E6" s="35">
        <f>(1+E8)^(365/60)-1</f>
        <v>3.0145392093080758E-2</v>
      </c>
      <c r="F6" s="35">
        <f>(1+F8)^(365/90)-1</f>
        <v>3.0145392093080314E-2</v>
      </c>
      <c r="G6" s="15"/>
      <c r="H6" s="13"/>
      <c r="J6" s="14"/>
      <c r="K6" s="10"/>
      <c r="L6" s="10"/>
      <c r="M6" s="10"/>
      <c r="N6" s="10"/>
      <c r="O6" s="10"/>
      <c r="P6" s="10"/>
      <c r="Q6" s="10"/>
      <c r="S6" s="14"/>
      <c r="T6" s="10"/>
      <c r="U6" s="10"/>
      <c r="V6" s="10"/>
      <c r="W6" s="10"/>
      <c r="X6" s="10"/>
      <c r="Y6" s="10"/>
      <c r="Z6" s="10"/>
      <c r="AB6" s="14"/>
      <c r="AC6" s="10"/>
      <c r="AD6" s="10"/>
      <c r="AE6" s="10"/>
      <c r="AF6" s="10"/>
      <c r="AG6" s="10"/>
      <c r="AH6" s="10"/>
      <c r="AI6" s="10"/>
      <c r="AK6" s="14" t="s">
        <v>15</v>
      </c>
      <c r="AL6" s="33">
        <f>((1+$AR6)^(AL1/365)-1)*365/AL1</f>
        <v>2.5005137572765568E-2</v>
      </c>
      <c r="AM6" s="33">
        <f t="shared" ref="AM6:AP6" si="5">((1+$AR6)^(AM1/365)-1)*365/AM1</f>
        <v>2.5011133186924366E-2</v>
      </c>
      <c r="AN6" s="33">
        <f t="shared" si="5"/>
        <v>2.5024844646748073E-2</v>
      </c>
      <c r="AO6" s="33">
        <f t="shared" si="5"/>
        <v>2.5050580654265259E-2</v>
      </c>
      <c r="AP6" s="33">
        <f t="shared" si="5"/>
        <v>2.5076351951623117E-2</v>
      </c>
      <c r="AQ6" s="22">
        <v>2.5000000000000001E-2</v>
      </c>
      <c r="AR6" s="33">
        <f>(1+AQ6/365)^365-1</f>
        <v>2.5314242726610869E-2</v>
      </c>
    </row>
    <row r="7" spans="1:44" x14ac:dyDescent="0.35">
      <c r="A7" s="14"/>
      <c r="B7" s="35">
        <f>B8*(365/7)</f>
        <v>2.9708409626448037E-2</v>
      </c>
      <c r="C7" s="35">
        <f>C8*(365/14)</f>
        <v>2.9716872814412123E-2</v>
      </c>
      <c r="D7" s="35">
        <f>D8*(365/30)</f>
        <v>2.9736229317428992E-2</v>
      </c>
      <c r="E7" s="35">
        <f>E8*(365/60)</f>
        <v>2.9772568084580377E-2</v>
      </c>
      <c r="F7" s="35">
        <f>F8*(365/90)</f>
        <v>2.9808966061479893E-2</v>
      </c>
      <c r="G7" s="15"/>
      <c r="H7" s="13"/>
      <c r="J7" s="14"/>
      <c r="K7" s="33">
        <f>K8*365/K1</f>
        <v>2.5005137572765568E-2</v>
      </c>
      <c r="L7" s="33">
        <f t="shared" ref="L7:O7" si="6">L8*365/L1</f>
        <v>2.5011133186924366E-2</v>
      </c>
      <c r="M7" s="33">
        <f t="shared" si="6"/>
        <v>2.5024844646748073E-2</v>
      </c>
      <c r="N7" s="33">
        <f t="shared" si="6"/>
        <v>2.5050580654265259E-2</v>
      </c>
      <c r="O7" s="33">
        <f t="shared" si="6"/>
        <v>2.5076351951623117E-2</v>
      </c>
      <c r="P7" s="10"/>
      <c r="Q7" s="10"/>
      <c r="S7" s="14"/>
      <c r="T7" s="33">
        <f>T8*365/T1</f>
        <v>2.5005137572765568E-2</v>
      </c>
      <c r="U7" s="33">
        <f t="shared" ref="U7:X7" si="7">U8*365/U1</f>
        <v>2.5011133186924366E-2</v>
      </c>
      <c r="V7" s="33">
        <f t="shared" si="7"/>
        <v>2.5024844646748073E-2</v>
      </c>
      <c r="W7" s="33">
        <f t="shared" si="7"/>
        <v>2.5050580654265259E-2</v>
      </c>
      <c r="X7" s="33">
        <f t="shared" si="7"/>
        <v>2.5076351951623117E-2</v>
      </c>
      <c r="Y7" s="10"/>
      <c r="Z7" s="10"/>
      <c r="AB7" s="14"/>
      <c r="AC7" s="10"/>
      <c r="AD7" s="10"/>
      <c r="AE7" s="10"/>
      <c r="AF7" s="10"/>
      <c r="AG7" s="10"/>
      <c r="AH7" s="22"/>
      <c r="AI7" s="34"/>
      <c r="AK7" s="14"/>
      <c r="AL7" s="10"/>
      <c r="AM7" s="10"/>
      <c r="AN7" s="10"/>
      <c r="AO7" s="10"/>
      <c r="AP7" s="10"/>
      <c r="AQ7" s="10"/>
      <c r="AR7" s="10"/>
    </row>
    <row r="8" spans="1:44" x14ac:dyDescent="0.35">
      <c r="A8" s="14" t="s">
        <v>15</v>
      </c>
      <c r="B8" s="33">
        <f>(1+$H8)^(B1/365)-1</f>
        <v>5.6975032160311301E-4</v>
      </c>
      <c r="C8" s="33">
        <f>(1+$H8)^(C1/365)-1</f>
        <v>1.1398252586349855E-3</v>
      </c>
      <c r="D8" s="33">
        <f>(1+$H8)^(D1/365)-1</f>
        <v>2.4440736425284104E-3</v>
      </c>
      <c r="E8" s="33">
        <f>(1+$H8)^(E1/365)-1</f>
        <v>4.8941207810269116E-3</v>
      </c>
      <c r="F8" s="33">
        <f>(1+$H8)^(F1/365)-1</f>
        <v>7.3501560151594258E-3</v>
      </c>
      <c r="G8" s="15">
        <f>2.97/100</f>
        <v>2.9700000000000001E-2</v>
      </c>
      <c r="H8" s="33">
        <f t="shared" ref="H8" si="8">(1+G8/8760)^8760-1</f>
        <v>3.0145392093080536E-2</v>
      </c>
      <c r="J8" s="14" t="s">
        <v>15</v>
      </c>
      <c r="K8" s="33">
        <f>(1+$Q8)^(K1/365)-1</f>
        <v>4.7955058358728486E-4</v>
      </c>
      <c r="L8" s="33">
        <f>(1+$Q8)^(L1/365)-1</f>
        <v>9.5933113593682506E-4</v>
      </c>
      <c r="M8" s="33">
        <f>(1+$Q8)^(M1/365)-1</f>
        <v>2.0568365463080607E-3</v>
      </c>
      <c r="N8" s="33">
        <f>(1+$Q8)^(N1/365)-1</f>
        <v>4.1179036691942894E-3</v>
      </c>
      <c r="O8" s="33">
        <f>(1+$Q8)^(O1/365)-1</f>
        <v>6.1832100702632342E-3</v>
      </c>
      <c r="P8" s="22">
        <v>2.5000000000000001E-2</v>
      </c>
      <c r="Q8" s="33">
        <f>(1+P8/365)^365-1</f>
        <v>2.5314242726610869E-2</v>
      </c>
      <c r="S8" s="14" t="s">
        <v>15</v>
      </c>
      <c r="T8" s="33">
        <f>(1+$Z8)^(T1/365)-1</f>
        <v>4.7955058358728486E-4</v>
      </c>
      <c r="U8" s="33">
        <f t="shared" ref="U8:X8" si="9">(1+$Z8)^(U1/365)-1</f>
        <v>9.5933113593682506E-4</v>
      </c>
      <c r="V8" s="33">
        <f t="shared" si="9"/>
        <v>2.0568365463080607E-3</v>
      </c>
      <c r="W8" s="33">
        <f t="shared" si="9"/>
        <v>4.1179036691942894E-3</v>
      </c>
      <c r="X8" s="33">
        <f t="shared" si="9"/>
        <v>6.1832100702632342E-3</v>
      </c>
      <c r="Y8" s="22">
        <v>2.5000000000000001E-2</v>
      </c>
      <c r="Z8" s="33">
        <f>(1+Y8/365)^365-1</f>
        <v>2.5314242726610869E-2</v>
      </c>
      <c r="AB8" s="14" t="s">
        <v>15</v>
      </c>
      <c r="AC8" s="33">
        <f>((1+$AI8)^(AC1/365)-1)*365/AC1</f>
        <v>2.5005137572765568E-2</v>
      </c>
      <c r="AD8" s="33">
        <f t="shared" ref="AD8:AG8" si="10">((1+$AI8)^(AD1/365)-1)*365/AD1</f>
        <v>2.5011133186924366E-2</v>
      </c>
      <c r="AE8" s="33">
        <f t="shared" si="10"/>
        <v>2.5024844646748073E-2</v>
      </c>
      <c r="AF8" s="33">
        <f t="shared" si="10"/>
        <v>2.5050580654265259E-2</v>
      </c>
      <c r="AG8" s="33">
        <f t="shared" si="10"/>
        <v>2.5076351951623117E-2</v>
      </c>
      <c r="AH8" s="22">
        <v>2.5000000000000001E-2</v>
      </c>
      <c r="AI8" s="33">
        <f>(1+AH8/365)^365-1</f>
        <v>2.5314242726610869E-2</v>
      </c>
      <c r="AK8" s="14" t="s">
        <v>17</v>
      </c>
      <c r="AL8" s="22">
        <v>3.7600000000000001E-2</v>
      </c>
      <c r="AM8" s="33">
        <f>((1+AR8)^(AM1/365)-1)*365/AM1</f>
        <v>3.0816899292500168E-2</v>
      </c>
      <c r="AN8" s="22">
        <v>5.4800000000000001E-2</v>
      </c>
      <c r="AO8" s="33">
        <f>((1+$AR8)^(AO1/365)-1)*365/AO1</f>
        <v>3.087679613673544E-2</v>
      </c>
      <c r="AP8" s="33">
        <f>((1+$AR8)^(AP1/365)-1)*365/AP1</f>
        <v>3.0915942913661267E-2</v>
      </c>
      <c r="AQ8" s="22">
        <v>3.0800000000000001E-2</v>
      </c>
      <c r="AR8" s="33">
        <f>(1+AQ8/365)^365-1</f>
        <v>3.127788733589032E-2</v>
      </c>
    </row>
    <row r="9" spans="1:44" x14ac:dyDescent="0.35">
      <c r="A9" s="21"/>
      <c r="B9" s="34"/>
      <c r="C9" s="33">
        <f>C10*(365/C1)</f>
        <v>3.0716789716640571E-2</v>
      </c>
      <c r="D9" s="34"/>
      <c r="E9" s="33">
        <f>E10*(365/E1)</f>
        <v>3.0776297865676816E-2</v>
      </c>
      <c r="F9" s="33">
        <f>F10*(365/F1)</f>
        <v>3.081519033302349E-2</v>
      </c>
      <c r="G9" s="34"/>
      <c r="H9" s="34"/>
      <c r="J9" s="14"/>
      <c r="K9" s="10"/>
      <c r="L9" s="33">
        <f>L10*365/L1</f>
        <v>3.2618932626085458E-2</v>
      </c>
      <c r="M9" s="10"/>
      <c r="N9" s="33">
        <f>N10*365/N1</f>
        <v>3.2686042808954284E-2</v>
      </c>
      <c r="O9" s="33">
        <f>O10*365/O1</f>
        <v>3.2729909490182445E-2</v>
      </c>
      <c r="P9" s="10"/>
      <c r="Q9" s="10"/>
      <c r="S9" s="14"/>
      <c r="T9" s="10"/>
      <c r="U9" s="33">
        <f>U10*365/U1</f>
        <v>3.1117230159457634E-2</v>
      </c>
      <c r="V9" s="10"/>
      <c r="W9" s="33">
        <f>W10*365/W1</f>
        <v>3.1178300696434385E-2</v>
      </c>
      <c r="X9" s="33">
        <f>X10*365/X1</f>
        <v>3.1218215395197819E-2</v>
      </c>
      <c r="Y9" s="10"/>
      <c r="Z9" s="10"/>
      <c r="AB9" s="14"/>
      <c r="AC9" s="10"/>
      <c r="AD9" s="10"/>
      <c r="AE9" s="10"/>
      <c r="AF9" s="10"/>
      <c r="AG9" s="10"/>
      <c r="AH9" s="10"/>
      <c r="AI9" s="10"/>
    </row>
    <row r="10" spans="1:44" x14ac:dyDescent="0.35">
      <c r="A10" s="14" t="s">
        <v>17</v>
      </c>
      <c r="B10" s="10" t="s">
        <v>2</v>
      </c>
      <c r="C10" s="33">
        <f>(1+$H10)^(C1/365)-1</f>
        <v>1.1781782357067616E-3</v>
      </c>
      <c r="D10" s="30" t="s">
        <v>27</v>
      </c>
      <c r="E10" s="33">
        <f>(1+$H10)^(E1/365)-1</f>
        <v>5.0591174573715314E-3</v>
      </c>
      <c r="F10" s="29">
        <f>(1+$H10)^(F1/365)-1</f>
        <v>7.5982661095126414E-3</v>
      </c>
      <c r="G10" s="15">
        <f>3.07/100</f>
        <v>3.0699999999999998E-2</v>
      </c>
      <c r="H10" s="33">
        <f>(1+G10/365)^365-1</f>
        <v>3.1174773390001631E-2</v>
      </c>
      <c r="J10" s="14" t="s">
        <v>17</v>
      </c>
      <c r="K10" s="10" t="s">
        <v>43</v>
      </c>
      <c r="L10" s="33">
        <f>(1+Q10)^(L1/365)-1</f>
        <v>1.2511371418224559E-3</v>
      </c>
      <c r="M10" s="10" t="s">
        <v>27</v>
      </c>
      <c r="N10" s="33">
        <f>(1+Q10)^(N1/365)-1</f>
        <v>5.373048132978786E-3</v>
      </c>
      <c r="O10" s="33">
        <f>(1+Q10)^(O1/365)-1</f>
        <v>8.0703886414148496E-3</v>
      </c>
      <c r="P10" s="22">
        <v>3.2599999999999997E-2</v>
      </c>
      <c r="Q10" s="33">
        <f>(1+P10/365)^365-1</f>
        <v>3.3135697711292433E-2</v>
      </c>
      <c r="S10" s="14" t="s">
        <v>17</v>
      </c>
      <c r="T10" s="22">
        <v>3.8600000000000002E-2</v>
      </c>
      <c r="U10" s="33">
        <f>(1+Z10)^(U1/365)-1</f>
        <v>1.1935375951572791E-3</v>
      </c>
      <c r="V10" s="22">
        <v>5.4800000000000001E-2</v>
      </c>
      <c r="W10" s="33">
        <f>(1+$Z10)^(W1/365)-1</f>
        <v>5.1252001144823645E-3</v>
      </c>
      <c r="X10" s="33">
        <f>(1+$Z10)^(X1/365)-1</f>
        <v>7.697642152240558E-3</v>
      </c>
      <c r="Y10" s="22">
        <v>3.1099999999999999E-2</v>
      </c>
      <c r="Z10" s="33">
        <f>(1+Y10/365)^365-1</f>
        <v>3.1587290874597329E-2</v>
      </c>
      <c r="AB10" s="14" t="s">
        <v>17</v>
      </c>
      <c r="AC10" s="22">
        <v>3.7600000000000001E-2</v>
      </c>
      <c r="AD10" s="33">
        <f>((1+AI10)^(AD1/365)-1)*365/AD1</f>
        <v>3.0216247184851448E-2</v>
      </c>
      <c r="AE10" s="22">
        <v>5.4800000000000001E-2</v>
      </c>
      <c r="AF10" s="33">
        <f>((1+$AI10)^(AF1/365)-1)*365/AF1</f>
        <v>3.0273830874697632E-2</v>
      </c>
      <c r="AG10" s="33">
        <f>((1+$AI10)^(AG1/365)-1)*365/AG1</f>
        <v>3.0311464275388368E-2</v>
      </c>
      <c r="AH10" s="22">
        <v>3.0200000000000001E-2</v>
      </c>
      <c r="AI10" s="33">
        <f>(1+AH10/365)^365-1</f>
        <v>3.0659357866290149E-2</v>
      </c>
    </row>
    <row r="11" spans="1:44" x14ac:dyDescent="0.35">
      <c r="B11" s="31"/>
      <c r="C11" s="32"/>
      <c r="D11" s="31"/>
      <c r="E11" s="31"/>
      <c r="L11" s="31"/>
    </row>
    <row r="12" spans="1:44" x14ac:dyDescent="0.35">
      <c r="A12" s="24">
        <v>46078</v>
      </c>
      <c r="B12" s="16">
        <v>7</v>
      </c>
      <c r="C12" s="16">
        <v>14</v>
      </c>
      <c r="D12" s="16">
        <v>30</v>
      </c>
      <c r="E12" s="16">
        <v>60</v>
      </c>
      <c r="F12" s="16">
        <v>90</v>
      </c>
      <c r="G12" s="36" t="s">
        <v>11</v>
      </c>
      <c r="H12" s="27" t="s">
        <v>53</v>
      </c>
      <c r="J12" s="24">
        <v>46088</v>
      </c>
      <c r="K12" s="16">
        <v>7</v>
      </c>
      <c r="L12" s="16">
        <v>14</v>
      </c>
      <c r="M12" s="16">
        <v>30</v>
      </c>
      <c r="N12" s="16">
        <v>60</v>
      </c>
      <c r="O12" s="16">
        <v>90</v>
      </c>
      <c r="P12" s="16" t="s">
        <v>11</v>
      </c>
      <c r="Q12" s="16" t="s">
        <v>53</v>
      </c>
      <c r="S12" s="24">
        <v>46098</v>
      </c>
      <c r="T12" s="16">
        <v>7</v>
      </c>
      <c r="U12" s="16">
        <v>14</v>
      </c>
      <c r="V12" s="16">
        <v>30</v>
      </c>
      <c r="W12" s="16">
        <v>60</v>
      </c>
      <c r="X12" s="16">
        <v>90</v>
      </c>
      <c r="Y12" s="16" t="s">
        <v>11</v>
      </c>
      <c r="Z12" s="16" t="s">
        <v>53</v>
      </c>
      <c r="AB12" s="24">
        <v>46108</v>
      </c>
      <c r="AC12" s="16">
        <v>7</v>
      </c>
      <c r="AD12" s="16">
        <v>14</v>
      </c>
      <c r="AE12" s="16">
        <v>30</v>
      </c>
      <c r="AF12" s="16">
        <v>60</v>
      </c>
      <c r="AG12" s="16">
        <v>90</v>
      </c>
      <c r="AH12" s="16" t="s">
        <v>11</v>
      </c>
      <c r="AI12" s="16" t="s">
        <v>53</v>
      </c>
      <c r="AK12" s="24">
        <v>46118</v>
      </c>
      <c r="AL12" s="16">
        <v>7</v>
      </c>
      <c r="AM12" s="16">
        <v>14</v>
      </c>
      <c r="AN12" s="16">
        <v>30</v>
      </c>
      <c r="AO12" s="16">
        <v>60</v>
      </c>
      <c r="AP12" s="16">
        <v>90</v>
      </c>
      <c r="AQ12" s="16" t="s">
        <v>11</v>
      </c>
      <c r="AR12" s="16" t="s">
        <v>53</v>
      </c>
    </row>
    <row r="13" spans="1:44" x14ac:dyDescent="0.35">
      <c r="A13" s="14"/>
      <c r="B13" s="33">
        <f>B14*(365/B12)</f>
        <v>3.0407596890108843E-2</v>
      </c>
      <c r="C13" s="33">
        <f t="shared" ref="C13:F13" si="11">C14*(365/C12)</f>
        <v>3.0416463127971544E-2</v>
      </c>
      <c r="D13" s="33">
        <f t="shared" si="11"/>
        <v>3.0436741760606324E-2</v>
      </c>
      <c r="E13" s="33">
        <f t="shared" si="11"/>
        <v>3.0474812798236512E-2</v>
      </c>
      <c r="F13" s="33">
        <f t="shared" si="11"/>
        <v>3.0512947329474488E-2</v>
      </c>
      <c r="G13" s="37"/>
      <c r="H13" s="22"/>
      <c r="J13" s="14"/>
      <c r="K13" s="33">
        <f>K14*365/K12</f>
        <v>3.1808312768565487E-2</v>
      </c>
      <c r="L13" s="33">
        <f t="shared" ref="L13:O13" si="12">L14*365/L12</f>
        <v>3.1818014660799525E-2</v>
      </c>
      <c r="M13" s="33">
        <f t="shared" si="12"/>
        <v>3.1840205233434705E-2</v>
      </c>
      <c r="N13" s="33">
        <f t="shared" si="12"/>
        <v>3.1881868192445817E-2</v>
      </c>
      <c r="O13" s="33">
        <f t="shared" si="12"/>
        <v>3.1923603839523036E-2</v>
      </c>
      <c r="P13" s="10"/>
      <c r="Q13" s="10"/>
      <c r="S13" s="14"/>
      <c r="T13" s="33">
        <f>T14*365/T12</f>
        <v>3.3509225383722141E-2</v>
      </c>
      <c r="U13" s="33">
        <f t="shared" ref="U13:X13" si="13">U14*365/U12</f>
        <v>3.3519992612899605E-2</v>
      </c>
      <c r="V13" s="33">
        <f t="shared" si="13"/>
        <v>3.3544620748271248E-2</v>
      </c>
      <c r="W13" s="33">
        <f t="shared" si="13"/>
        <v>3.3590863552975504E-2</v>
      </c>
      <c r="X13" s="33">
        <f t="shared" si="13"/>
        <v>3.3637191354794753E-2</v>
      </c>
      <c r="Y13" s="10"/>
      <c r="Z13" s="10"/>
      <c r="AB13" s="14"/>
      <c r="AC13" s="10"/>
      <c r="AD13" s="10"/>
      <c r="AE13" s="10"/>
      <c r="AF13" s="10"/>
      <c r="AG13" s="10"/>
      <c r="AH13" s="10"/>
      <c r="AI13" s="10"/>
      <c r="AK13" s="14"/>
      <c r="AL13" s="10"/>
      <c r="AM13" s="10"/>
      <c r="AN13" s="10"/>
      <c r="AO13" s="10"/>
      <c r="AP13" s="10"/>
      <c r="AQ13" s="10"/>
      <c r="AR13" s="10"/>
    </row>
    <row r="14" spans="1:44" x14ac:dyDescent="0.35">
      <c r="A14" s="14" t="s">
        <v>12</v>
      </c>
      <c r="B14" s="33">
        <f>(1+$H14)^(B12/365)-1</f>
        <v>5.8315939241304626E-4</v>
      </c>
      <c r="C14" s="33">
        <f>(1+$H14)^(C12/365)-1</f>
        <v>1.1666588597030181E-3</v>
      </c>
      <c r="D14" s="33">
        <f>(1+$H14)^(D12/365)-1</f>
        <v>2.5016500077210679E-3</v>
      </c>
      <c r="E14" s="33">
        <f>(1+$H14)^(E12/365)-1</f>
        <v>5.0095582682032624E-3</v>
      </c>
      <c r="F14" s="33">
        <f>(1+$H14)^(F12/365)-1</f>
        <v>7.523740437404669E-3</v>
      </c>
      <c r="G14" s="22">
        <v>3.04E-2</v>
      </c>
      <c r="H14" s="33">
        <f>(1+G14/365)^365-1</f>
        <v>3.0865493238620978E-2</v>
      </c>
      <c r="J14" s="14" t="s">
        <v>12</v>
      </c>
      <c r="K14" s="15">
        <f>(1+$Q14)^(K12/365)-1</f>
        <v>6.1002243665742029E-4</v>
      </c>
      <c r="L14" s="15">
        <f>(1+$Q14)^(L12/365)-1</f>
        <v>1.2204170006882009E-3</v>
      </c>
      <c r="M14" s="15">
        <f>(1+$Q14)^(M12/365)-1</f>
        <v>2.6170031698713458E-3</v>
      </c>
      <c r="N14" s="15">
        <f>(1+$Q14)^(N12/365)-1</f>
        <v>5.2408550453335589E-3</v>
      </c>
      <c r="O14" s="15">
        <f>(1+$Q14)^(O12/365)-1</f>
        <v>7.8715735494714334E-3</v>
      </c>
      <c r="P14" s="22">
        <v>3.1800000000000002E-2</v>
      </c>
      <c r="Q14" s="33">
        <f>(1+P14/365)^365-1</f>
        <v>3.230959251755694E-2</v>
      </c>
      <c r="S14" s="14" t="s">
        <v>12</v>
      </c>
      <c r="T14" s="33">
        <f>(1+$Z14)^(T12/365)-1</f>
        <v>6.4264267859193147E-4</v>
      </c>
      <c r="U14" s="33">
        <f t="shared" ref="U14:X14" si="14">(1+$Z14)^(U12/365)-1</f>
        <v>1.2856983467961491E-3</v>
      </c>
      <c r="V14" s="33">
        <f t="shared" si="14"/>
        <v>2.7570921162962669E-3</v>
      </c>
      <c r="W14" s="33">
        <f t="shared" si="14"/>
        <v>5.5217857895302203E-3</v>
      </c>
      <c r="X14" s="33">
        <f t="shared" si="14"/>
        <v>8.2941019778945968E-3</v>
      </c>
      <c r="Y14" s="22">
        <v>3.3500000000000002E-2</v>
      </c>
      <c r="Z14" s="33">
        <f>(1+Y14/365)^365-1</f>
        <v>3.4065854123153105E-2</v>
      </c>
      <c r="AB14" s="14" t="s">
        <v>12</v>
      </c>
      <c r="AC14" s="33">
        <f>((1+$AI14)^(AC12/365)-1)*365/AC12</f>
        <v>2.9907349030706052E-2</v>
      </c>
      <c r="AD14" s="33">
        <f t="shared" ref="AD14:AG14" si="15">((1+$AI14)^(AD12/365)-1)*365/AD12</f>
        <v>2.9915925943969159E-2</v>
      </c>
      <c r="AE14" s="33">
        <f t="shared" si="15"/>
        <v>2.9935542634702439E-2</v>
      </c>
      <c r="AF14" s="33">
        <f t="shared" si="15"/>
        <v>2.9972370170845902E-2</v>
      </c>
      <c r="AG14" s="33">
        <f t="shared" si="15"/>
        <v>3.0009258115333635E-2</v>
      </c>
      <c r="AH14" s="22">
        <v>2.9899999999999999E-2</v>
      </c>
      <c r="AI14" s="33">
        <f>(1+AH14/365)^365-1</f>
        <v>3.0350231880070799E-2</v>
      </c>
      <c r="AK14" s="14" t="s">
        <v>12</v>
      </c>
      <c r="AL14" s="33">
        <f>((1+$AR14)^(AL12/365)-1)*365/AL12</f>
        <v>3.1007899748336825E-2</v>
      </c>
      <c r="AM14" s="33">
        <f t="shared" ref="AM14:AP14" si="16">((1+$AR14)^(AM12/365)-1)*365/AM12</f>
        <v>3.1017119513989746E-2</v>
      </c>
      <c r="AN14" s="33">
        <f t="shared" si="16"/>
        <v>3.103820699217404E-2</v>
      </c>
      <c r="AO14" s="33">
        <f t="shared" si="16"/>
        <v>3.1077797552172309E-2</v>
      </c>
      <c r="AP14" s="33">
        <f t="shared" si="16"/>
        <v>3.1117455444773193E-2</v>
      </c>
      <c r="AQ14" s="22">
        <v>3.1E-2</v>
      </c>
      <c r="AR14" s="33">
        <f>(1+AQ14/365)^365-1</f>
        <v>3.1484146077251696E-2</v>
      </c>
    </row>
    <row r="15" spans="1:44" x14ac:dyDescent="0.35">
      <c r="A15" s="14"/>
      <c r="B15" s="10"/>
      <c r="C15" s="10"/>
      <c r="D15" s="10"/>
      <c r="E15" s="10"/>
      <c r="F15" s="10"/>
      <c r="G15" s="37"/>
      <c r="H15" s="22"/>
      <c r="J15" s="14"/>
      <c r="K15" s="10"/>
      <c r="L15" s="10"/>
      <c r="M15" s="10"/>
      <c r="N15" s="10"/>
      <c r="O15" s="10"/>
      <c r="P15" s="10"/>
      <c r="Q15" s="10"/>
      <c r="S15" s="14"/>
      <c r="T15" s="10"/>
      <c r="U15" s="10"/>
      <c r="V15" s="10"/>
      <c r="W15" s="10"/>
      <c r="X15" s="10"/>
      <c r="Y15" s="10"/>
      <c r="Z15" s="10"/>
      <c r="AB15" s="14"/>
      <c r="AC15" s="10"/>
      <c r="AD15" s="10"/>
      <c r="AE15" s="10"/>
      <c r="AF15" s="10"/>
      <c r="AG15" s="10"/>
      <c r="AH15" s="10"/>
      <c r="AI15" s="10"/>
      <c r="AK15" s="14" t="s">
        <v>54</v>
      </c>
      <c r="AL15" s="22">
        <v>3.1E-2</v>
      </c>
      <c r="AM15" s="22">
        <v>0.03</v>
      </c>
      <c r="AN15" s="22">
        <v>4.3999999999999997E-2</v>
      </c>
      <c r="AO15" s="22">
        <v>5.7000000000000002E-2</v>
      </c>
      <c r="AP15" s="22">
        <v>5.9700000000000003E-2</v>
      </c>
      <c r="AQ15" s="22">
        <v>3.4200000000000001E-2</v>
      </c>
      <c r="AR15" s="33">
        <f t="shared" ref="AR15:AR19" si="17">(1+AQ15/365)^365-1</f>
        <v>3.4789886456186414E-2</v>
      </c>
    </row>
    <row r="16" spans="1:44" x14ac:dyDescent="0.35">
      <c r="A16" s="14" t="s">
        <v>54</v>
      </c>
      <c r="B16" s="10" t="s">
        <v>21</v>
      </c>
      <c r="C16" s="10" t="s">
        <v>24</v>
      </c>
      <c r="D16" s="10" t="s">
        <v>25</v>
      </c>
      <c r="E16" s="26" t="s">
        <v>1</v>
      </c>
      <c r="F16" s="10" t="s">
        <v>26</v>
      </c>
      <c r="G16" s="22">
        <v>3.44E-2</v>
      </c>
      <c r="H16" s="33">
        <f>(1+G16/365)^365-1</f>
        <v>3.4996845680234534E-2</v>
      </c>
      <c r="J16" s="14" t="s">
        <v>54</v>
      </c>
      <c r="K16" s="22">
        <v>3.6299999999999999E-2</v>
      </c>
      <c r="L16" s="22">
        <v>0.04</v>
      </c>
      <c r="M16" s="22">
        <v>4.2000000000000003E-2</v>
      </c>
      <c r="N16" s="22">
        <v>5.7299999999999997E-2</v>
      </c>
      <c r="O16" s="22">
        <v>5.8000000000000003E-2</v>
      </c>
      <c r="P16" s="22">
        <v>3.56E-2</v>
      </c>
      <c r="Q16" s="33">
        <f>(1+P16/365)^365-1</f>
        <v>3.623946816391288E-2</v>
      </c>
      <c r="S16" s="14" t="s">
        <v>54</v>
      </c>
      <c r="T16" s="22">
        <v>0.03</v>
      </c>
      <c r="U16" s="22">
        <v>3.9399999999999998E-2</v>
      </c>
      <c r="V16" s="22">
        <v>4.2000000000000003E-2</v>
      </c>
      <c r="W16" s="22">
        <v>4.3900000000000002E-2</v>
      </c>
      <c r="X16" s="22">
        <v>5.0700000000000002E-2</v>
      </c>
      <c r="Y16" s="22">
        <v>3.85E-2</v>
      </c>
      <c r="Z16" s="33">
        <f>(1+Y16/365)^365-1</f>
        <v>3.9248618331255036E-2</v>
      </c>
      <c r="AB16" s="14" t="s">
        <v>54</v>
      </c>
      <c r="AC16" s="22">
        <f>'Daily Data'!AT35</f>
        <v>0.03</v>
      </c>
      <c r="AD16" s="22">
        <f>'Daily Data'!AU35</f>
        <v>3.3000000000000002E-2</v>
      </c>
      <c r="AE16" s="22">
        <f>'Daily Data'!AV35</f>
        <v>3.49E-2</v>
      </c>
      <c r="AF16" s="22">
        <f>'Daily Data'!AW35</f>
        <v>4.3999999999999997E-2</v>
      </c>
      <c r="AG16" s="22">
        <f>'Daily Data'!AX35</f>
        <v>5.6500000000000002E-2</v>
      </c>
      <c r="AH16" s="22">
        <v>3.3799999999999997E-2</v>
      </c>
      <c r="AI16" s="33">
        <f>(1+AH16/365)^365-1</f>
        <v>3.4376091811363807E-2</v>
      </c>
      <c r="AK16" s="14"/>
      <c r="AL16" s="10"/>
      <c r="AM16" s="10"/>
      <c r="AN16" s="10"/>
      <c r="AO16" s="10"/>
      <c r="AP16" s="10"/>
      <c r="AQ16" s="10"/>
      <c r="AR16" s="33"/>
    </row>
    <row r="17" spans="1:44" x14ac:dyDescent="0.35">
      <c r="A17" s="14"/>
      <c r="B17" s="29">
        <f>B18*365/B12</f>
        <v>3.000739827372859E-2</v>
      </c>
      <c r="C17" s="33">
        <f t="shared" ref="C17:F17" si="18">C18*365/C12</f>
        <v>3.001603266778119E-2</v>
      </c>
      <c r="D17" s="29">
        <f t="shared" si="18"/>
        <v>3.0035780867213036E-2</v>
      </c>
      <c r="E17" s="33">
        <f t="shared" si="18"/>
        <v>3.0072855447992059E-2</v>
      </c>
      <c r="F17" s="29">
        <f t="shared" si="18"/>
        <v>3.0109991045976444E-2</v>
      </c>
      <c r="G17" s="22"/>
      <c r="H17" s="33"/>
      <c r="J17" s="14"/>
      <c r="K17" s="33">
        <f>K18*365/K12</f>
        <v>2.5005137572765568E-2</v>
      </c>
      <c r="L17" s="33">
        <f t="shared" ref="L17:O17" si="19">L18*365/L12</f>
        <v>2.5011133186924366E-2</v>
      </c>
      <c r="M17" s="33">
        <f t="shared" si="19"/>
        <v>2.5024844646748073E-2</v>
      </c>
      <c r="N17" s="33">
        <f t="shared" si="19"/>
        <v>2.5050580654265259E-2</v>
      </c>
      <c r="O17" s="33">
        <f t="shared" si="19"/>
        <v>2.5076351951623117E-2</v>
      </c>
      <c r="P17" s="10"/>
      <c r="Q17" s="10"/>
      <c r="S17" s="14"/>
      <c r="T17" s="33">
        <f>(T18*365/T12)</f>
        <v>2.5005137572765568E-2</v>
      </c>
      <c r="U17" s="33">
        <f t="shared" ref="U17:X17" si="20">(U18*365/U12)</f>
        <v>2.5011133186924366E-2</v>
      </c>
      <c r="V17" s="33">
        <f t="shared" si="20"/>
        <v>2.5024844646748073E-2</v>
      </c>
      <c r="W17" s="33">
        <f t="shared" si="20"/>
        <v>2.5050580654265259E-2</v>
      </c>
      <c r="X17" s="33">
        <f t="shared" si="20"/>
        <v>2.5076351951623117E-2</v>
      </c>
      <c r="Y17" s="10"/>
      <c r="Z17" s="10"/>
      <c r="AB17" s="14"/>
      <c r="AC17" s="10"/>
      <c r="AD17" s="10"/>
      <c r="AE17" s="10"/>
      <c r="AF17" s="10"/>
      <c r="AG17" s="10"/>
      <c r="AH17" s="10"/>
      <c r="AI17" s="10"/>
      <c r="AK17" s="14" t="s">
        <v>15</v>
      </c>
      <c r="AL17" s="33">
        <f>((1+$AR17)^(AL12/365)-1)*365/AL12</f>
        <v>2.5005137572765568E-2</v>
      </c>
      <c r="AM17" s="33">
        <f t="shared" ref="AM17:AP17" si="21">((1+$AR17)^(AM12/365)-1)*365/AM12</f>
        <v>2.5011133186924366E-2</v>
      </c>
      <c r="AN17" s="33">
        <f t="shared" si="21"/>
        <v>2.5024844646748073E-2</v>
      </c>
      <c r="AO17" s="33">
        <f t="shared" si="21"/>
        <v>2.5050580654265259E-2</v>
      </c>
      <c r="AP17" s="33">
        <f t="shared" si="21"/>
        <v>2.5076351951623117E-2</v>
      </c>
      <c r="AQ17" s="22">
        <v>2.5000000000000001E-2</v>
      </c>
      <c r="AR17" s="33">
        <f t="shared" si="17"/>
        <v>2.5314242726610869E-2</v>
      </c>
    </row>
    <row r="18" spans="1:44" x14ac:dyDescent="0.35">
      <c r="A18" s="14" t="s">
        <v>15</v>
      </c>
      <c r="B18" s="33">
        <f>(1+$H18)^(B12/365)-1</f>
        <v>5.7548435045506885E-4</v>
      </c>
      <c r="C18" s="33">
        <f>(1+$H18)^(C12/365)-1</f>
        <v>1.1512998831477717E-3</v>
      </c>
      <c r="D18" s="33">
        <f>(1+$H18)^(D12/365)-1</f>
        <v>2.4686943178531262E-3</v>
      </c>
      <c r="E18" s="33">
        <f>(1+$H18)^(E12/365)-1</f>
        <v>4.9434830873411606E-3</v>
      </c>
      <c r="F18" s="33">
        <f>(1+$H18)^(F12/365)-1</f>
        <v>7.4243813538024117E-3</v>
      </c>
      <c r="G18" s="22">
        <v>0.03</v>
      </c>
      <c r="H18" s="33">
        <f>(1+G18/365)^365-1</f>
        <v>3.0453263600558333E-2</v>
      </c>
      <c r="J18" s="14" t="s">
        <v>15</v>
      </c>
      <c r="K18" s="33">
        <f>(1+$Q18)^(K12/365)-1</f>
        <v>4.7955058358728486E-4</v>
      </c>
      <c r="L18" s="33">
        <f>(1+$Q18)^(L12/365)-1</f>
        <v>9.5933113593682506E-4</v>
      </c>
      <c r="M18" s="33">
        <f>(1+$Q18)^(M12/365)-1</f>
        <v>2.0568365463080607E-3</v>
      </c>
      <c r="N18" s="33">
        <f>(1+$Q18)^(N12/365)-1</f>
        <v>4.1179036691942894E-3</v>
      </c>
      <c r="O18" s="33">
        <f>(1+$Q18)^(O12/365)-1</f>
        <v>6.1832100702632342E-3</v>
      </c>
      <c r="P18" s="22">
        <v>2.5000000000000001E-2</v>
      </c>
      <c r="Q18" s="33">
        <f>(1+P18/365)^365-1</f>
        <v>2.5314242726610869E-2</v>
      </c>
      <c r="S18" s="14" t="s">
        <v>15</v>
      </c>
      <c r="T18" s="33">
        <f>(1+$Z18)^(T12/365)-1</f>
        <v>4.7955058358728486E-4</v>
      </c>
      <c r="U18" s="33">
        <f t="shared" ref="U18:X18" si="22">(1+$Z18)^(U12/365)-1</f>
        <v>9.5933113593682506E-4</v>
      </c>
      <c r="V18" s="33">
        <f t="shared" si="22"/>
        <v>2.0568365463080607E-3</v>
      </c>
      <c r="W18" s="33">
        <f t="shared" si="22"/>
        <v>4.1179036691942894E-3</v>
      </c>
      <c r="X18" s="33">
        <f t="shared" si="22"/>
        <v>6.1832100702632342E-3</v>
      </c>
      <c r="Y18" s="22">
        <v>2.5000000000000001E-2</v>
      </c>
      <c r="Z18" s="33">
        <f>(1+Y18/365)^365-1</f>
        <v>2.5314242726610869E-2</v>
      </c>
      <c r="AB18" s="14" t="s">
        <v>15</v>
      </c>
      <c r="AC18" s="33">
        <f>((1+$AI18)^(AC12/365)-1)*365/AC12</f>
        <v>2.5005137572765568E-2</v>
      </c>
      <c r="AD18" s="33">
        <f t="shared" ref="AD18:AG18" si="23">((1+$AI18)^(AD12/365)-1)*365/AD12</f>
        <v>2.5011133186924366E-2</v>
      </c>
      <c r="AE18" s="33">
        <f t="shared" si="23"/>
        <v>2.5024844646748073E-2</v>
      </c>
      <c r="AF18" s="33">
        <f t="shared" si="23"/>
        <v>2.5050580654265259E-2</v>
      </c>
      <c r="AG18" s="33">
        <f t="shared" si="23"/>
        <v>2.5076351951623117E-2</v>
      </c>
      <c r="AH18" s="22">
        <v>2.5000000000000001E-2</v>
      </c>
      <c r="AI18" s="33">
        <f>(1+AH18/365)^365-1</f>
        <v>2.5314242726610869E-2</v>
      </c>
      <c r="AK18" s="14"/>
      <c r="AL18" s="10"/>
      <c r="AM18" s="10"/>
      <c r="AN18" s="10"/>
      <c r="AO18" s="10"/>
      <c r="AP18" s="10"/>
      <c r="AQ18" s="10"/>
      <c r="AR18" s="33"/>
    </row>
    <row r="19" spans="1:44" s="18" customFormat="1" x14ac:dyDescent="0.35">
      <c r="A19" s="21"/>
      <c r="B19" s="34"/>
      <c r="C19" s="33">
        <f>C20*365/C12</f>
        <v>3.0716789716640571E-2</v>
      </c>
      <c r="D19" s="34"/>
      <c r="E19" s="33">
        <f>E20*365/E12</f>
        <v>3.0776297865676816E-2</v>
      </c>
      <c r="F19" s="33">
        <f>F20*365/90</f>
        <v>3.0815190333023493E-2</v>
      </c>
      <c r="G19" s="20"/>
      <c r="H19" s="34"/>
      <c r="J19" s="21"/>
      <c r="K19" s="19"/>
      <c r="L19" s="33">
        <f>L20*365/L12</f>
        <v>3.2318585715067308E-2</v>
      </c>
      <c r="M19" s="19"/>
      <c r="N19" s="33">
        <f>N20*365/N12</f>
        <v>3.2384465142249297E-2</v>
      </c>
      <c r="O19" s="33">
        <f>O20*365/O12</f>
        <v>3.2427526440872788E-2</v>
      </c>
      <c r="P19" s="19"/>
      <c r="Q19" s="19"/>
      <c r="S19" s="21"/>
      <c r="T19" s="19"/>
      <c r="U19" s="33">
        <f>U20*365/U12</f>
        <v>3.1117230159457634E-2</v>
      </c>
      <c r="V19" s="19"/>
      <c r="W19" s="33">
        <f>W20*365/W12</f>
        <v>3.1178300696434385E-2</v>
      </c>
      <c r="X19" s="33">
        <f>X20*365/X12</f>
        <v>3.1218215395197819E-2</v>
      </c>
      <c r="Y19" s="19"/>
      <c r="Z19" s="19"/>
      <c r="AB19" s="21"/>
      <c r="AC19" s="19"/>
      <c r="AD19" s="19"/>
      <c r="AE19" s="19"/>
      <c r="AF19" s="19"/>
      <c r="AG19" s="19"/>
      <c r="AH19" s="19"/>
      <c r="AI19" s="19"/>
      <c r="AK19" s="14" t="s">
        <v>17</v>
      </c>
      <c r="AL19" s="22">
        <v>3.7600000000000001E-2</v>
      </c>
      <c r="AM19" s="33">
        <f>((1+AR19)^(AM12/365)-1)*365/AM12</f>
        <v>3.0816899292500168E-2</v>
      </c>
      <c r="AN19" s="22">
        <v>5.4800000000000001E-2</v>
      </c>
      <c r="AO19" s="33">
        <f>((1+$AR19)^(AO12/365)-1)*365/AO12</f>
        <v>3.087679613673544E-2</v>
      </c>
      <c r="AP19" s="33">
        <f>((1+$AR19)^(AP12/365)-1)*365/AP12</f>
        <v>3.0915942913661267E-2</v>
      </c>
      <c r="AQ19" s="22">
        <v>3.0800000000000001E-2</v>
      </c>
      <c r="AR19" s="33">
        <f t="shared" si="17"/>
        <v>3.127788733589032E-2</v>
      </c>
    </row>
    <row r="20" spans="1:44" x14ac:dyDescent="0.35">
      <c r="A20" s="14" t="s">
        <v>17</v>
      </c>
      <c r="B20" s="10" t="s">
        <v>2</v>
      </c>
      <c r="C20" s="33">
        <f>(1+$H20)^(C12/365)-1</f>
        <v>1.1781782357067616E-3</v>
      </c>
      <c r="D20" s="10" t="s">
        <v>27</v>
      </c>
      <c r="E20" s="33">
        <f>(1+$H20)^(E12/365)-1</f>
        <v>5.0591174573715314E-3</v>
      </c>
      <c r="F20" s="33">
        <f>(1+$H20)^(F12/365)-1</f>
        <v>7.5982661095126414E-3</v>
      </c>
      <c r="G20" s="22">
        <v>3.0700000000000002E-2</v>
      </c>
      <c r="H20" s="33">
        <f>(1+G20/365)^365-1</f>
        <v>3.1174773390001631E-2</v>
      </c>
      <c r="J20" s="14" t="s">
        <v>17</v>
      </c>
      <c r="K20" s="10" t="s">
        <v>37</v>
      </c>
      <c r="L20" s="33">
        <f>(1+Q20)^(L12/365)-1</f>
        <v>1.2396169863313489E-3</v>
      </c>
      <c r="M20" s="10" t="s">
        <v>27</v>
      </c>
      <c r="N20" s="33">
        <f>(1+Q20)^(N12/365)-1</f>
        <v>5.323473722013583E-3</v>
      </c>
      <c r="O20" s="33">
        <f>(1+Q20)^(90/365)-1</f>
        <v>7.9958284374754829E-3</v>
      </c>
      <c r="P20" s="22">
        <v>3.2300000000000002E-2</v>
      </c>
      <c r="Q20" s="33">
        <f>(1+P20/365)^365-1</f>
        <v>3.2825831032744723E-2</v>
      </c>
      <c r="S20" s="14" t="s">
        <v>17</v>
      </c>
      <c r="T20" s="22">
        <v>3.8600000000000002E-2</v>
      </c>
      <c r="U20" s="33">
        <f>(1+Z20)^(U12/365)-1</f>
        <v>1.1935375951572791E-3</v>
      </c>
      <c r="V20" s="22">
        <v>5.4800000000000001E-2</v>
      </c>
      <c r="W20" s="33">
        <f>(1+Z20)^(W12/365)-1</f>
        <v>5.1252001144823645E-3</v>
      </c>
      <c r="X20" s="33">
        <f>(1+Z20)^(X12/365)-1</f>
        <v>7.697642152240558E-3</v>
      </c>
      <c r="Y20" s="22">
        <v>3.1099999999999999E-2</v>
      </c>
      <c r="Z20" s="33">
        <f>(1+Y20/365)^365-1</f>
        <v>3.1587290874597329E-2</v>
      </c>
      <c r="AB20" s="14" t="s">
        <v>17</v>
      </c>
      <c r="AC20" s="22">
        <v>3.7600000000000001E-2</v>
      </c>
      <c r="AD20" s="33">
        <f>((1+AI20)^(AD12/365)-1)*365/AD12</f>
        <v>3.0216247184851448E-2</v>
      </c>
      <c r="AE20" s="22">
        <v>5.4800000000000001E-2</v>
      </c>
      <c r="AF20" s="33">
        <f>((1+$AI20)^(AF12/365)-1)*365/AF12</f>
        <v>3.0273830874697632E-2</v>
      </c>
      <c r="AG20" s="33">
        <f>((1+$AI20)^(AG12/365)-1)*365/AG12</f>
        <v>3.0311464275388368E-2</v>
      </c>
      <c r="AH20" s="22">
        <v>3.0200000000000001E-2</v>
      </c>
      <c r="AI20" s="33">
        <f>(1+AH20/365)^365-1</f>
        <v>3.0659357866290149E-2</v>
      </c>
    </row>
    <row r="22" spans="1:44" x14ac:dyDescent="0.35">
      <c r="A22" s="24">
        <v>46079</v>
      </c>
      <c r="B22" s="16">
        <v>7</v>
      </c>
      <c r="C22" s="16">
        <v>14</v>
      </c>
      <c r="D22" s="16">
        <v>30</v>
      </c>
      <c r="E22" s="16">
        <v>60</v>
      </c>
      <c r="F22" s="16">
        <v>90</v>
      </c>
      <c r="G22" s="36" t="s">
        <v>11</v>
      </c>
      <c r="H22" s="27" t="s">
        <v>53</v>
      </c>
      <c r="J22" s="24">
        <v>46089</v>
      </c>
      <c r="K22" s="16">
        <v>7</v>
      </c>
      <c r="L22" s="16">
        <v>14</v>
      </c>
      <c r="M22" s="16">
        <v>30</v>
      </c>
      <c r="N22" s="16">
        <v>60</v>
      </c>
      <c r="O22" s="16">
        <v>90</v>
      </c>
      <c r="P22" s="16" t="s">
        <v>11</v>
      </c>
      <c r="Q22" s="16" t="s">
        <v>53</v>
      </c>
      <c r="S22" s="24">
        <v>46099</v>
      </c>
      <c r="T22" s="16">
        <v>7</v>
      </c>
      <c r="U22" s="16">
        <v>14</v>
      </c>
      <c r="V22" s="16">
        <v>30</v>
      </c>
      <c r="W22" s="16">
        <v>60</v>
      </c>
      <c r="X22" s="16">
        <v>90</v>
      </c>
      <c r="Y22" s="16" t="s">
        <v>11</v>
      </c>
      <c r="Z22" s="16" t="s">
        <v>53</v>
      </c>
      <c r="AB22" s="24">
        <v>46109</v>
      </c>
      <c r="AC22" s="16">
        <v>7</v>
      </c>
      <c r="AD22" s="16">
        <v>14</v>
      </c>
      <c r="AE22" s="16">
        <v>30</v>
      </c>
      <c r="AF22" s="16">
        <v>60</v>
      </c>
      <c r="AG22" s="16">
        <v>90</v>
      </c>
      <c r="AH22" s="16" t="s">
        <v>11</v>
      </c>
      <c r="AI22" s="16" t="s">
        <v>53</v>
      </c>
      <c r="AK22" s="24">
        <v>46119</v>
      </c>
      <c r="AL22" s="16">
        <v>7</v>
      </c>
      <c r="AM22" s="16">
        <v>14</v>
      </c>
      <c r="AN22" s="16">
        <v>30</v>
      </c>
      <c r="AO22" s="16">
        <v>60</v>
      </c>
      <c r="AP22" s="16">
        <v>90</v>
      </c>
      <c r="AQ22" s="16" t="s">
        <v>11</v>
      </c>
      <c r="AR22" s="16" t="s">
        <v>53</v>
      </c>
    </row>
    <row r="23" spans="1:44" x14ac:dyDescent="0.35">
      <c r="A23" s="14"/>
      <c r="B23" s="33">
        <f>B24*(365/B22)</f>
        <v>3.190836513622318E-2</v>
      </c>
      <c r="C23" s="33">
        <f t="shared" ref="C23:F23" si="24">C24*(365/C22)</f>
        <v>3.1918128158627587E-2</v>
      </c>
      <c r="D23" s="33">
        <f t="shared" si="24"/>
        <v>3.1940458597677648E-2</v>
      </c>
      <c r="E23" s="33">
        <f t="shared" si="24"/>
        <v>3.1982384333107128E-2</v>
      </c>
      <c r="F23" s="33">
        <f t="shared" si="24"/>
        <v>3.2024383445370022E-2</v>
      </c>
      <c r="G23" s="15"/>
      <c r="H23" s="22"/>
      <c r="J23" s="14"/>
      <c r="K23" s="33">
        <f>K24*365/K22</f>
        <v>3.070774757920661E-2</v>
      </c>
      <c r="L23" s="33">
        <f t="shared" ref="L23:O23" si="25">L24*365/L22</f>
        <v>3.0716789716640571E-2</v>
      </c>
      <c r="M23" s="33">
        <f t="shared" si="25"/>
        <v>3.0737470792634409E-2</v>
      </c>
      <c r="N23" s="33">
        <f t="shared" si="25"/>
        <v>3.0776297865676816E-2</v>
      </c>
      <c r="O23" s="33">
        <f t="shared" si="25"/>
        <v>3.0815190333023493E-2</v>
      </c>
      <c r="P23" s="10"/>
      <c r="Q23" s="10"/>
      <c r="S23" s="14"/>
      <c r="T23" s="33">
        <f>T24*365/T22</f>
        <v>3.2308576251097731E-2</v>
      </c>
      <c r="U23" s="33">
        <f t="shared" ref="U23:X23" si="26">U24*365/U22</f>
        <v>3.2318585715067308E-2</v>
      </c>
      <c r="V23" s="33">
        <f t="shared" si="26"/>
        <v>3.2341480019105272E-2</v>
      </c>
      <c r="W23" s="33">
        <f t="shared" si="26"/>
        <v>3.2384465142249297E-2</v>
      </c>
      <c r="X23" s="33">
        <f t="shared" si="26"/>
        <v>3.2427526440872788E-2</v>
      </c>
      <c r="Y23" s="10"/>
      <c r="Z23" s="10"/>
      <c r="AB23" s="14"/>
      <c r="AC23" s="10"/>
      <c r="AD23" s="10"/>
      <c r="AE23" s="10"/>
      <c r="AF23" s="10"/>
      <c r="AG23" s="10"/>
      <c r="AH23" s="10"/>
      <c r="AI23" s="10"/>
      <c r="AK23" s="14"/>
      <c r="AL23" s="10"/>
      <c r="AM23" s="10"/>
      <c r="AN23" s="10"/>
      <c r="AO23" s="10"/>
      <c r="AP23" s="10"/>
      <c r="AQ23" s="10"/>
      <c r="AR23" s="10"/>
    </row>
    <row r="24" spans="1:44" x14ac:dyDescent="0.35">
      <c r="A24" s="14" t="s">
        <v>12</v>
      </c>
      <c r="B24" s="33">
        <f>(1+$H24)^(B22/365)-1</f>
        <v>6.1194124918784176E-4</v>
      </c>
      <c r="C24" s="33">
        <f>(1+$H24)^(C22/365)-1</f>
        <v>1.2242569704679074E-3</v>
      </c>
      <c r="D24" s="33">
        <f>(1+$H24)^(D22/365)-1</f>
        <v>2.6252431724118619E-3</v>
      </c>
      <c r="E24" s="33">
        <f>(1+$H24)^(E22/365)-1</f>
        <v>5.257378246538158E-3</v>
      </c>
      <c r="F24" s="33">
        <f>(1+$H24)^(F22/365)-1</f>
        <v>7.8964233152967189E-3</v>
      </c>
      <c r="G24" s="15">
        <v>3.1899999999999998E-2</v>
      </c>
      <c r="H24" s="33">
        <f>(1+G24/365)^365-1</f>
        <v>3.2412819630518896E-2</v>
      </c>
      <c r="J24" s="14" t="s">
        <v>12</v>
      </c>
      <c r="K24" s="15">
        <f>(1+$Q24)^(K22/365)-1</f>
        <v>5.8891570699848295E-4</v>
      </c>
      <c r="L24" s="15">
        <f>(1+$Q24)^(L22/365)-1</f>
        <v>1.1781782357067616E-3</v>
      </c>
      <c r="M24" s="15">
        <f>(1+$Q24)^(M22/365)-1</f>
        <v>2.5263674624083077E-3</v>
      </c>
      <c r="N24" s="15">
        <f>(1+$Q24)^(N22/365)-1</f>
        <v>5.0591174573715314E-3</v>
      </c>
      <c r="O24" s="15">
        <f>(1+$Q24)^(O22/365)-1</f>
        <v>7.5982661095126414E-3</v>
      </c>
      <c r="P24" s="22">
        <v>3.0700000000000002E-2</v>
      </c>
      <c r="Q24" s="29">
        <f>(1+P24/365)^365-1</f>
        <v>3.1174773390001631E-2</v>
      </c>
      <c r="S24" s="14" t="s">
        <v>12</v>
      </c>
      <c r="T24" s="13">
        <f>(1+$Z24)^(T22/365)-1</f>
        <v>6.1961653084297019E-4</v>
      </c>
      <c r="U24" s="13">
        <f t="shared" ref="U24:X24" si="27">(1+$Z24)^(U22/365)-1</f>
        <v>1.2396169863313489E-3</v>
      </c>
      <c r="V24" s="13">
        <f t="shared" si="27"/>
        <v>2.6582038371867345E-3</v>
      </c>
      <c r="W24" s="13">
        <f t="shared" si="27"/>
        <v>5.323473722013583E-3</v>
      </c>
      <c r="X24" s="13">
        <f t="shared" si="27"/>
        <v>7.9958284374754829E-3</v>
      </c>
      <c r="Y24" s="22">
        <v>3.2300000000000002E-2</v>
      </c>
      <c r="Z24" s="33">
        <f>(1+Y24/365)^365-1</f>
        <v>3.2825831032744723E-2</v>
      </c>
      <c r="AB24" s="14" t="s">
        <v>12</v>
      </c>
      <c r="AC24" s="33">
        <f>((1+$AI24)^(AC22/365)-1)*365/AC22</f>
        <v>2.9807299952161154E-2</v>
      </c>
      <c r="AD24" s="33">
        <f t="shared" ref="AD24:AG24" si="28">((1+$AI24)^(AD22/365)-1)*365/AD22</f>
        <v>2.9815819576702873E-2</v>
      </c>
      <c r="AE24" s="33">
        <f t="shared" si="28"/>
        <v>2.9835305198563405E-2</v>
      </c>
      <c r="AF24" s="33">
        <f t="shared" si="28"/>
        <v>2.9871886517863155E-2</v>
      </c>
      <c r="AG24" s="33">
        <f t="shared" si="28"/>
        <v>2.9908527640715526E-2</v>
      </c>
      <c r="AH24" s="22">
        <v>2.98E-2</v>
      </c>
      <c r="AI24" s="33">
        <f>(1+AH24/365)^365-1</f>
        <v>3.0247210433201888E-2</v>
      </c>
      <c r="AK24" s="14" t="s">
        <v>12</v>
      </c>
      <c r="AL24" s="33">
        <f>((1+$AR24)^(AL22/365)-1)*365/AL22</f>
        <v>3.1208002016684468E-2</v>
      </c>
      <c r="AM24" s="33">
        <f t="shared" ref="AM24:AP24" si="29">((1+$AR24)^(AM22/365)-1)*365/AM22</f>
        <v>3.121734116151758E-2</v>
      </c>
      <c r="AN24" s="33">
        <f t="shared" si="29"/>
        <v>3.1238701773908639E-2</v>
      </c>
      <c r="AO24" s="33">
        <f t="shared" si="29"/>
        <v>3.1278805465217829E-2</v>
      </c>
      <c r="AP24" s="33">
        <f t="shared" si="29"/>
        <v>3.1318977802404467E-2</v>
      </c>
      <c r="AQ24" s="22">
        <v>3.1199999999999999E-2</v>
      </c>
      <c r="AR24" s="33">
        <f>(1+AQ24/365)^365-1</f>
        <v>3.1690445957877067E-2</v>
      </c>
    </row>
    <row r="25" spans="1:44" x14ac:dyDescent="0.35">
      <c r="A25" s="14"/>
      <c r="B25" s="10"/>
      <c r="C25" s="10"/>
      <c r="D25" s="10"/>
      <c r="E25" s="10"/>
      <c r="F25" s="10"/>
      <c r="G25" s="15"/>
      <c r="H25" s="22"/>
      <c r="J25" s="14"/>
      <c r="K25" s="10"/>
      <c r="L25" s="10"/>
      <c r="M25" s="10"/>
      <c r="N25" s="10"/>
      <c r="O25" s="10"/>
      <c r="P25" s="10"/>
      <c r="Q25" s="10"/>
      <c r="S25" s="14"/>
      <c r="T25" s="10"/>
      <c r="U25" s="10"/>
      <c r="V25" s="10"/>
      <c r="W25" s="10"/>
      <c r="X25" s="10"/>
      <c r="Y25" s="22"/>
      <c r="Z25" s="33"/>
      <c r="AB25" s="14"/>
      <c r="AC25" s="10"/>
      <c r="AD25" s="10"/>
      <c r="AE25" s="10"/>
      <c r="AF25" s="10"/>
      <c r="AG25" s="10"/>
      <c r="AH25" s="10"/>
      <c r="AI25" s="15"/>
      <c r="AK25" s="14" t="s">
        <v>54</v>
      </c>
      <c r="AL25" s="22">
        <v>3.39E-2</v>
      </c>
      <c r="AM25" s="22">
        <v>3.4000000000000002E-2</v>
      </c>
      <c r="AN25" s="22">
        <v>4.3900000000000002E-2</v>
      </c>
      <c r="AO25" s="22">
        <v>0.04</v>
      </c>
      <c r="AP25" s="22">
        <v>0.05</v>
      </c>
      <c r="AQ25" s="22">
        <v>3.5299999999999998E-2</v>
      </c>
      <c r="AR25" s="33">
        <f>(1+AQ25/365)^365-1</f>
        <v>3.5928673130481092E-2</v>
      </c>
    </row>
    <row r="26" spans="1:44" x14ac:dyDescent="0.35">
      <c r="A26" s="14" t="s">
        <v>54</v>
      </c>
      <c r="B26" s="22">
        <v>3.3000000000000002E-2</v>
      </c>
      <c r="C26" s="22">
        <v>3.4000000000000002E-2</v>
      </c>
      <c r="D26" s="22">
        <v>4.2999999999999997E-2</v>
      </c>
      <c r="E26" s="22">
        <v>0.05</v>
      </c>
      <c r="F26" s="22">
        <v>5.8500000000000003E-2</v>
      </c>
      <c r="G26" s="15">
        <v>3.5000000000000003E-2</v>
      </c>
      <c r="H26" s="33">
        <f>(1+G26/365)^365-1</f>
        <v>3.5617971057199993E-2</v>
      </c>
      <c r="J26" s="14" t="s">
        <v>54</v>
      </c>
      <c r="K26" s="22">
        <v>3.7499999999999999E-2</v>
      </c>
      <c r="L26" s="22">
        <v>4.0899999999999999E-2</v>
      </c>
      <c r="M26" s="22">
        <v>4.2000000000000003E-2</v>
      </c>
      <c r="N26" s="22">
        <v>5.7299999999999997E-2</v>
      </c>
      <c r="O26" s="22">
        <v>5.8000000000000003E-2</v>
      </c>
      <c r="P26" s="22">
        <v>3.5400000000000001E-2</v>
      </c>
      <c r="Q26" s="33">
        <f>(1+P26/365)^365-1</f>
        <v>3.6032261144603783E-2</v>
      </c>
      <c r="S26" s="14" t="s">
        <v>54</v>
      </c>
      <c r="T26" s="22">
        <f>'Daily Data'!AT26</f>
        <v>3.5000000000000003E-2</v>
      </c>
      <c r="U26" s="22">
        <f>'Daily Data'!AU26</f>
        <v>4.2000000000000003E-2</v>
      </c>
      <c r="V26" s="22">
        <f>'Daily Data'!AV26</f>
        <v>0.04</v>
      </c>
      <c r="W26" s="22">
        <f>'Daily Data'!AW26</f>
        <v>4.2000000000000003E-2</v>
      </c>
      <c r="X26" s="22">
        <f>'Daily Data'!AX26</f>
        <v>5.0500000000000003E-2</v>
      </c>
      <c r="Y26" s="22">
        <v>3.5700000000000003E-2</v>
      </c>
      <c r="Z26" s="33">
        <f>(1+Y26/365)^365-1</f>
        <v>3.6343087170924049E-2</v>
      </c>
      <c r="AB26" s="14" t="s">
        <v>54</v>
      </c>
      <c r="AC26" s="22">
        <f>'Daily Data'!AT36</f>
        <v>0.03</v>
      </c>
      <c r="AD26" s="22">
        <f>'Daily Data'!AU36</f>
        <v>3.3000000000000002E-2</v>
      </c>
      <c r="AE26" s="22">
        <f>'Daily Data'!AV36</f>
        <v>2.5999999999999999E-2</v>
      </c>
      <c r="AF26" s="22">
        <f>'Daily Data'!AW36</f>
        <v>4.3999999999999997E-2</v>
      </c>
      <c r="AG26" s="22">
        <f>'Daily Data'!AX36</f>
        <v>2.6100000000000002E-2</v>
      </c>
      <c r="AH26" s="22">
        <v>3.39E-2</v>
      </c>
      <c r="AI26" s="33">
        <f t="shared" ref="AI26:AI30" si="30">(1+AH26/365)^365-1</f>
        <v>3.4479524999688094E-2</v>
      </c>
      <c r="AK26" s="14"/>
      <c r="AL26" s="10"/>
      <c r="AM26" s="10"/>
      <c r="AN26" s="10"/>
      <c r="AO26" s="10"/>
      <c r="AP26" s="10"/>
      <c r="AQ26" s="10"/>
      <c r="AR26" s="10"/>
    </row>
    <row r="27" spans="1:44" x14ac:dyDescent="0.35">
      <c r="A27" s="14"/>
      <c r="B27" s="33">
        <f>B28*365/B22</f>
        <v>2.5005137572765568E-2</v>
      </c>
      <c r="C27" s="33">
        <f t="shared" ref="C27:F27" si="31">C28*365/C22</f>
        <v>2.5011133186924366E-2</v>
      </c>
      <c r="D27" s="33">
        <f t="shared" si="31"/>
        <v>2.5024844646748073E-2</v>
      </c>
      <c r="E27" s="33">
        <f t="shared" si="31"/>
        <v>2.5050580654265259E-2</v>
      </c>
      <c r="F27" s="33">
        <f t="shared" si="31"/>
        <v>2.5076351951623117E-2</v>
      </c>
      <c r="G27" s="15"/>
      <c r="H27" s="33"/>
      <c r="J27" s="14"/>
      <c r="K27" s="29">
        <f>K28*365/K22</f>
        <v>2.5005137572765568E-2</v>
      </c>
      <c r="L27" s="29">
        <f t="shared" ref="L27:O27" si="32">L28*365/L22</f>
        <v>2.5011133186924366E-2</v>
      </c>
      <c r="M27" s="29">
        <f t="shared" si="32"/>
        <v>2.5024844646748073E-2</v>
      </c>
      <c r="N27" s="29">
        <f t="shared" si="32"/>
        <v>2.5050580654265259E-2</v>
      </c>
      <c r="O27" s="29">
        <f t="shared" si="32"/>
        <v>2.5076351951623117E-2</v>
      </c>
      <c r="P27" s="10"/>
      <c r="Q27" s="10"/>
      <c r="S27" s="14"/>
      <c r="T27" s="33">
        <f>T28*365/T22</f>
        <v>2.5005137572765568E-2</v>
      </c>
      <c r="U27" s="33">
        <f t="shared" ref="U27:X27" si="33">U28*365/U22</f>
        <v>2.5011133186924366E-2</v>
      </c>
      <c r="V27" s="33">
        <f t="shared" si="33"/>
        <v>2.5024844646748073E-2</v>
      </c>
      <c r="W27" s="33">
        <f t="shared" si="33"/>
        <v>2.5050580654265259E-2</v>
      </c>
      <c r="X27" s="33">
        <f t="shared" si="33"/>
        <v>2.5076351951623117E-2</v>
      </c>
      <c r="Y27" s="22"/>
      <c r="Z27" s="33"/>
      <c r="AB27" s="14"/>
      <c r="AC27" s="10"/>
      <c r="AD27" s="10"/>
      <c r="AE27" s="10"/>
      <c r="AF27" s="10"/>
      <c r="AG27" s="10"/>
      <c r="AH27" s="10"/>
      <c r="AI27" s="15"/>
      <c r="AK27" s="14" t="s">
        <v>15</v>
      </c>
      <c r="AL27" s="33">
        <f>((1+$AR27)^(AL22/365)-1)*365/AL22</f>
        <v>2.5005137572765568E-2</v>
      </c>
      <c r="AM27" s="33">
        <f t="shared" ref="AM27:AP27" si="34">((1+$AR27)^(AM22/365)-1)*365/AM22</f>
        <v>2.5011133186924366E-2</v>
      </c>
      <c r="AN27" s="33">
        <f t="shared" si="34"/>
        <v>2.5024844646748073E-2</v>
      </c>
      <c r="AO27" s="33">
        <f t="shared" si="34"/>
        <v>2.5050580654265259E-2</v>
      </c>
      <c r="AP27" s="33">
        <f t="shared" si="34"/>
        <v>2.5076351951623117E-2</v>
      </c>
      <c r="AQ27" s="22">
        <v>2.5000000000000001E-2</v>
      </c>
      <c r="AR27" s="33">
        <f>(1+AQ27/365)^365-1</f>
        <v>2.5314242726610869E-2</v>
      </c>
    </row>
    <row r="28" spans="1:44" x14ac:dyDescent="0.35">
      <c r="A28" s="14" t="s">
        <v>15</v>
      </c>
      <c r="B28" s="33">
        <f>(1+$H28)^(B22/365)-1</f>
        <v>4.7955058358728486E-4</v>
      </c>
      <c r="C28" s="33">
        <f>(1+$H28)^(C22/365)-1</f>
        <v>9.5933113593682506E-4</v>
      </c>
      <c r="D28" s="33">
        <f>(1+$H28)^(D22/365)-1</f>
        <v>2.0568365463080607E-3</v>
      </c>
      <c r="E28" s="33">
        <f>(1+$H28)^(E22/365)-1</f>
        <v>4.1179036691942894E-3</v>
      </c>
      <c r="F28" s="33">
        <f>(1+$H28)^(F22/365)-1</f>
        <v>6.1832100702632342E-3</v>
      </c>
      <c r="G28" s="15">
        <v>2.5000000000000001E-2</v>
      </c>
      <c r="H28" s="33">
        <f>(1+G28/365)^365-1</f>
        <v>2.5314242726610869E-2</v>
      </c>
      <c r="J28" s="14" t="s">
        <v>15</v>
      </c>
      <c r="K28" s="15">
        <f>(1+$Q28)^(K22/365)-1</f>
        <v>4.7955058358728486E-4</v>
      </c>
      <c r="L28" s="15">
        <f>(1+$Q28)^(L22/365)-1</f>
        <v>9.5933113593682506E-4</v>
      </c>
      <c r="M28" s="15">
        <f>(1+$Q28)^(M22/365)-1</f>
        <v>2.0568365463080607E-3</v>
      </c>
      <c r="N28" s="15">
        <f>(1+$Q28)^(N22/365)-1</f>
        <v>4.1179036691942894E-3</v>
      </c>
      <c r="O28" s="15">
        <f>(1+$Q28)^(O22/365)-1</f>
        <v>6.1832100702632342E-3</v>
      </c>
      <c r="P28" s="22">
        <v>2.5000000000000001E-2</v>
      </c>
      <c r="Q28" s="33">
        <f>(1+P28/365)^365-1</f>
        <v>2.5314242726610869E-2</v>
      </c>
      <c r="S28" s="14" t="s">
        <v>15</v>
      </c>
      <c r="T28" s="13">
        <f>(1+$Z28)^(T22/365)-1</f>
        <v>4.7955058358728486E-4</v>
      </c>
      <c r="U28" s="13">
        <f t="shared" ref="U28:X28" si="35">(1+$Z28)^(U22/365)-1</f>
        <v>9.5933113593682506E-4</v>
      </c>
      <c r="V28" s="13">
        <f t="shared" si="35"/>
        <v>2.0568365463080607E-3</v>
      </c>
      <c r="W28" s="13">
        <f t="shared" si="35"/>
        <v>4.1179036691942894E-3</v>
      </c>
      <c r="X28" s="13">
        <f t="shared" si="35"/>
        <v>6.1832100702632342E-3</v>
      </c>
      <c r="Y28" s="22">
        <v>2.5000000000000001E-2</v>
      </c>
      <c r="Z28" s="33">
        <f>(1+Y28/365)^365-1</f>
        <v>2.5314242726610869E-2</v>
      </c>
      <c r="AB28" s="14" t="s">
        <v>15</v>
      </c>
      <c r="AC28" s="33">
        <f>((1+$AI28)^(AC22/365)-1)*365/AC22</f>
        <v>2.5005137572765568E-2</v>
      </c>
      <c r="AD28" s="33">
        <f t="shared" ref="AD28:AG28" si="36">((1+$AI28)^(AD22/365)-1)*365/AD22</f>
        <v>2.5011133186924366E-2</v>
      </c>
      <c r="AE28" s="33">
        <f t="shared" si="36"/>
        <v>2.5024844646748073E-2</v>
      </c>
      <c r="AF28" s="33">
        <f t="shared" si="36"/>
        <v>2.5050580654265259E-2</v>
      </c>
      <c r="AG28" s="33">
        <f t="shared" si="36"/>
        <v>2.5076351951623117E-2</v>
      </c>
      <c r="AH28" s="22">
        <v>2.5000000000000001E-2</v>
      </c>
      <c r="AI28" s="33">
        <f t="shared" si="30"/>
        <v>2.5314242726610869E-2</v>
      </c>
      <c r="AK28" s="14"/>
      <c r="AL28" s="10"/>
      <c r="AM28" s="10"/>
      <c r="AN28" s="10"/>
      <c r="AO28" s="10"/>
      <c r="AP28" s="10"/>
      <c r="AQ28" s="10"/>
      <c r="AR28" s="10"/>
    </row>
    <row r="29" spans="1:44" s="18" customFormat="1" x14ac:dyDescent="0.35">
      <c r="A29" s="21"/>
      <c r="B29" s="34"/>
      <c r="C29" s="33">
        <f>C30*(365/C22)</f>
        <v>3.0716789716640571E-2</v>
      </c>
      <c r="D29" s="34"/>
      <c r="E29" s="33">
        <f>E30*(365/E22)</f>
        <v>3.0776297865676816E-2</v>
      </c>
      <c r="F29" s="33">
        <f>F30*(365/90)</f>
        <v>3.081519033302349E-2</v>
      </c>
      <c r="G29" s="34"/>
      <c r="H29" s="34"/>
      <c r="J29" s="21"/>
      <c r="K29" s="19"/>
      <c r="L29" s="33">
        <f>L30*365/L22</f>
        <v>3.2318585715067308E-2</v>
      </c>
      <c r="M29" s="19"/>
      <c r="N29" s="33">
        <f>N30*365/N22</f>
        <v>3.2384465142249297E-2</v>
      </c>
      <c r="O29" s="33">
        <f>O30*365/O22</f>
        <v>3.2427526440872788E-2</v>
      </c>
      <c r="P29" s="19"/>
      <c r="Q29" s="19"/>
      <c r="S29" s="21"/>
      <c r="T29" s="19"/>
      <c r="U29" s="33">
        <f>U30*365/U22</f>
        <v>3.121734116151758E-2</v>
      </c>
      <c r="V29" s="19"/>
      <c r="W29" s="33">
        <f>W30*365/W22</f>
        <v>3.1278805465217829E-2</v>
      </c>
      <c r="X29" s="33">
        <f>X30*365/X22</f>
        <v>3.1318977802404467E-2</v>
      </c>
      <c r="Y29" s="20"/>
      <c r="Z29" s="33"/>
      <c r="AB29" s="21"/>
      <c r="AC29" s="19"/>
      <c r="AD29" s="19"/>
      <c r="AE29" s="19"/>
      <c r="AF29" s="19"/>
      <c r="AG29" s="19"/>
      <c r="AH29" s="19"/>
      <c r="AI29" s="15"/>
      <c r="AK29" s="14" t="s">
        <v>17</v>
      </c>
      <c r="AL29" s="22">
        <v>3.8600000000000002E-2</v>
      </c>
      <c r="AM29" s="33">
        <f>((1+AR29)^(AM22/365)-1)*365/AM22</f>
        <v>3.2218470791195206E-2</v>
      </c>
      <c r="AN29" s="22">
        <v>5.4800000000000001E-2</v>
      </c>
      <c r="AO29" s="33">
        <f>((1+$AR29)^(AO22/365)-1)*365/AO22</f>
        <v>3.2283942502945993E-2</v>
      </c>
      <c r="AP29" s="33">
        <f>((1+$AR29)^(AP22/365)-1)*365/AP22</f>
        <v>3.2326737006068758E-2</v>
      </c>
      <c r="AQ29" s="22">
        <v>3.2199999999999999E-2</v>
      </c>
      <c r="AR29" s="33">
        <f>(1+AQ29/365)^365-1</f>
        <v>3.2722562737591776E-2</v>
      </c>
    </row>
    <row r="30" spans="1:44" x14ac:dyDescent="0.35">
      <c r="A30" s="14" t="s">
        <v>17</v>
      </c>
      <c r="B30" s="22">
        <v>3.9800000000000002E-2</v>
      </c>
      <c r="C30" s="33">
        <f>(1+$H30)^(C22/365)-1</f>
        <v>1.1781782357067616E-3</v>
      </c>
      <c r="D30" s="22">
        <v>5.4800000000000001E-2</v>
      </c>
      <c r="E30" s="33">
        <f>(1+H30)^(E22/365)-1</f>
        <v>5.0591174573715314E-3</v>
      </c>
      <c r="F30" s="33">
        <f>(1+H30)^(F22/365)-1</f>
        <v>7.5982661095126414E-3</v>
      </c>
      <c r="G30" s="15">
        <v>3.0700000000000002E-2</v>
      </c>
      <c r="H30" s="33">
        <f>(1+G30/365)^365-1</f>
        <v>3.1174773390001631E-2</v>
      </c>
      <c r="J30" s="14" t="s">
        <v>17</v>
      </c>
      <c r="K30" s="10" t="s">
        <v>37</v>
      </c>
      <c r="L30" s="33">
        <f>(1+Q30)^(L22/365)-1</f>
        <v>1.2396169863313489E-3</v>
      </c>
      <c r="M30" s="19" t="s">
        <v>27</v>
      </c>
      <c r="N30" s="13">
        <f>(1+Q30)^(N22/365)-1</f>
        <v>5.323473722013583E-3</v>
      </c>
      <c r="O30" s="13">
        <f>(1+Q30)^(O22/365)-1</f>
        <v>7.9958284374754829E-3</v>
      </c>
      <c r="P30" s="22">
        <v>3.2300000000000002E-2</v>
      </c>
      <c r="Q30" s="33">
        <f>(1+P30/365)^365-1</f>
        <v>3.2825831032744723E-2</v>
      </c>
      <c r="S30" s="14" t="s">
        <v>17</v>
      </c>
      <c r="T30" s="22">
        <v>3.7600000000000001E-2</v>
      </c>
      <c r="U30" s="13">
        <f>(1+Z30)^(U22/365)-1</f>
        <v>1.1973774692088934E-3</v>
      </c>
      <c r="V30" s="22">
        <v>5.4800000000000001E-2</v>
      </c>
      <c r="W30" s="13">
        <f>(1+Z30)^(W22/365)-1</f>
        <v>5.1417214463371774E-3</v>
      </c>
      <c r="X30" s="13">
        <f>(1+Z30)^(X22/365)-1</f>
        <v>7.722487677305212E-3</v>
      </c>
      <c r="Y30" s="22">
        <v>3.1199999999999999E-2</v>
      </c>
      <c r="Z30" s="33">
        <f>(1+Y30/365)^365-1</f>
        <v>3.1690445957877067E-2</v>
      </c>
      <c r="AB30" s="14" t="s">
        <v>17</v>
      </c>
      <c r="AC30" s="22">
        <v>3.8600000000000002E-2</v>
      </c>
      <c r="AD30" s="33">
        <f>((1+AI30)^(AD22/365)-1)*365/AD22</f>
        <v>2.9815819576702873E-2</v>
      </c>
      <c r="AE30" s="22">
        <v>5.4800000000000001E-2</v>
      </c>
      <c r="AF30" s="33">
        <f>((1+$AI30)^(AF22/365)-1)*365/AF22</f>
        <v>2.9871886517863155E-2</v>
      </c>
      <c r="AG30" s="33">
        <f>((1+$AI30)^(AG22/365)-1)*365/AG22</f>
        <v>2.9908527640715526E-2</v>
      </c>
      <c r="AH30" s="22">
        <v>2.98E-2</v>
      </c>
      <c r="AI30" s="33">
        <f t="shared" si="30"/>
        <v>3.0247210433201888E-2</v>
      </c>
    </row>
    <row r="32" spans="1:44" x14ac:dyDescent="0.35">
      <c r="A32" s="24">
        <v>46080</v>
      </c>
      <c r="B32" s="16">
        <v>7</v>
      </c>
      <c r="C32" s="16">
        <v>14</v>
      </c>
      <c r="D32" s="16">
        <v>30</v>
      </c>
      <c r="E32" s="16">
        <v>60</v>
      </c>
      <c r="F32" s="16">
        <v>90</v>
      </c>
      <c r="G32" s="36" t="s">
        <v>11</v>
      </c>
      <c r="H32" s="27" t="s">
        <v>53</v>
      </c>
      <c r="J32" s="24">
        <v>46090</v>
      </c>
      <c r="K32" s="16">
        <v>7</v>
      </c>
      <c r="L32" s="16">
        <v>14</v>
      </c>
      <c r="M32" s="16">
        <v>30</v>
      </c>
      <c r="N32" s="16">
        <v>60</v>
      </c>
      <c r="O32" s="16">
        <v>90</v>
      </c>
      <c r="P32" s="16" t="s">
        <v>11</v>
      </c>
      <c r="Q32" s="16" t="s">
        <v>53</v>
      </c>
      <c r="S32" s="24">
        <v>46100</v>
      </c>
      <c r="T32" s="16">
        <v>7</v>
      </c>
      <c r="U32" s="16">
        <v>14</v>
      </c>
      <c r="V32" s="16">
        <v>30</v>
      </c>
      <c r="W32" s="16">
        <v>60</v>
      </c>
      <c r="X32" s="16">
        <v>90</v>
      </c>
      <c r="Y32" s="16" t="s">
        <v>11</v>
      </c>
      <c r="Z32" s="16" t="s">
        <v>53</v>
      </c>
      <c r="AB32" s="24">
        <v>46110</v>
      </c>
      <c r="AC32" s="16">
        <v>7</v>
      </c>
      <c r="AD32" s="16">
        <v>14</v>
      </c>
      <c r="AE32" s="16">
        <v>30</v>
      </c>
      <c r="AF32" s="16">
        <v>60</v>
      </c>
      <c r="AG32" s="16">
        <v>90</v>
      </c>
      <c r="AH32" s="16" t="s">
        <v>11</v>
      </c>
      <c r="AI32" s="16" t="s">
        <v>53</v>
      </c>
      <c r="AK32" s="24">
        <v>46120</v>
      </c>
      <c r="AL32" s="16">
        <v>7</v>
      </c>
      <c r="AM32" s="16">
        <v>14</v>
      </c>
      <c r="AN32" s="16">
        <v>30</v>
      </c>
      <c r="AO32" s="16">
        <v>60</v>
      </c>
      <c r="AP32" s="16">
        <v>90</v>
      </c>
      <c r="AQ32" s="16" t="s">
        <v>11</v>
      </c>
      <c r="AR32" s="16" t="s">
        <v>53</v>
      </c>
    </row>
    <row r="33" spans="1:44" x14ac:dyDescent="0.35">
      <c r="A33" s="14"/>
      <c r="B33" s="33">
        <f>B34*(365/B32)</f>
        <v>3.2208523225749471E-2</v>
      </c>
      <c r="C33" s="33">
        <f t="shared" ref="C33:F33" si="37">C34*(365/C32)</f>
        <v>3.2218470791195206E-2</v>
      </c>
      <c r="D33" s="33">
        <f t="shared" si="37"/>
        <v>3.2241223469078907E-2</v>
      </c>
      <c r="E33" s="33">
        <f t="shared" si="37"/>
        <v>3.2283942502945986E-2</v>
      </c>
      <c r="F33" s="33">
        <f t="shared" si="37"/>
        <v>3.2326737006068758E-2</v>
      </c>
      <c r="G33" s="15"/>
      <c r="H33" s="22"/>
      <c r="J33" s="14"/>
      <c r="K33" s="33">
        <f>K34*365/K32</f>
        <v>3.1007899748336825E-2</v>
      </c>
      <c r="L33" s="33">
        <f t="shared" ref="L33:O33" si="38">L34*365/L32</f>
        <v>3.1017119513989746E-2</v>
      </c>
      <c r="M33" s="33">
        <f t="shared" si="38"/>
        <v>3.103820699217404E-2</v>
      </c>
      <c r="N33" s="33">
        <f t="shared" si="38"/>
        <v>3.1077797552172309E-2</v>
      </c>
      <c r="O33" s="33">
        <f t="shared" si="38"/>
        <v>3.1117455444773193E-2</v>
      </c>
      <c r="P33" s="10"/>
      <c r="Q33" s="10"/>
      <c r="S33" s="14"/>
      <c r="T33" s="33">
        <f>T34*365/T32</f>
        <v>3.0507646955369054E-2</v>
      </c>
      <c r="U33" s="33">
        <f t="shared" ref="U33:X33" si="39">U34*365/U32</f>
        <v>3.0516571634355998E-2</v>
      </c>
      <c r="V33" s="33">
        <f t="shared" si="39"/>
        <v>3.0536983974912595E-2</v>
      </c>
      <c r="W33" s="33">
        <f t="shared" si="39"/>
        <v>3.0575306196430729E-2</v>
      </c>
      <c r="X33" s="33">
        <f t="shared" si="39"/>
        <v>3.0613692540966575E-2</v>
      </c>
      <c r="Y33" s="10"/>
      <c r="Z33" s="10"/>
      <c r="AB33" s="14"/>
      <c r="AC33" s="10"/>
      <c r="AD33" s="10"/>
      <c r="AE33" s="10"/>
      <c r="AF33" s="10"/>
      <c r="AG33" s="10"/>
      <c r="AH33" s="10"/>
      <c r="AI33" s="10"/>
      <c r="AK33" s="14"/>
      <c r="AL33" s="10"/>
      <c r="AM33" s="10"/>
      <c r="AN33" s="10"/>
      <c r="AO33" s="10"/>
      <c r="AP33" s="10"/>
      <c r="AQ33" s="10"/>
      <c r="AR33" s="10"/>
    </row>
    <row r="34" spans="1:44" x14ac:dyDescent="0.35">
      <c r="A34" s="14" t="s">
        <v>12</v>
      </c>
      <c r="B34" s="33">
        <f>(1+$H34)^(B32/365)-1</f>
        <v>6.1769770569930493E-4</v>
      </c>
      <c r="C34" s="33">
        <f>(1+$H34)^(C32/365)-1</f>
        <v>1.2357769618540626E-3</v>
      </c>
      <c r="D34" s="33">
        <f>(1+$H34)^(D32/365)-1</f>
        <v>2.6499635728010063E-3</v>
      </c>
      <c r="E34" s="33">
        <f>(1+$H34)^(E32/365)-1</f>
        <v>5.306949452539067E-3</v>
      </c>
      <c r="F34" s="33">
        <f>(1+$H34)^(F32/365)-1</f>
        <v>7.9709762480717483E-3</v>
      </c>
      <c r="G34" s="15">
        <v>3.2199999999999999E-2</v>
      </c>
      <c r="H34" s="33">
        <f>(1+G34/365)^365-1</f>
        <v>3.2722562737591776E-2</v>
      </c>
      <c r="J34" s="14" t="s">
        <v>12</v>
      </c>
      <c r="K34" s="15">
        <f>(1+$Q34)^(K32/365)-1</f>
        <v>5.9467204996810352E-4</v>
      </c>
      <c r="L34" s="15">
        <f>(1+$Q34)^(L32/365)-1</f>
        <v>1.1896977347831683E-3</v>
      </c>
      <c r="M34" s="15">
        <f>(1+$Q34)^(M32/365)-1</f>
        <v>2.5510855062060855E-3</v>
      </c>
      <c r="N34" s="15">
        <f>(1+$Q34)^(N32/365)-1</f>
        <v>5.1086790496721601E-3</v>
      </c>
      <c r="O34" s="15">
        <f>(1+$Q34)^(O32/365)-1</f>
        <v>7.6727972329577732E-3</v>
      </c>
      <c r="P34" s="22">
        <v>3.1E-2</v>
      </c>
      <c r="Q34" s="33">
        <f>(1+P34/365)^365-1</f>
        <v>3.1484146077251696E-2</v>
      </c>
      <c r="S34" s="14" t="s">
        <v>12</v>
      </c>
      <c r="T34" s="33">
        <f>(1+$Z34)^(T32/365)-1</f>
        <v>5.8507816078789965E-4</v>
      </c>
      <c r="U34" s="33">
        <f t="shared" ref="U34:X34" si="40">(1+$Z34)^(U32/365)-1</f>
        <v>1.170498638030093E-3</v>
      </c>
      <c r="V34" s="33">
        <f t="shared" si="40"/>
        <v>2.5098890938284324E-3</v>
      </c>
      <c r="W34" s="33">
        <f t="shared" si="40"/>
        <v>5.0260777309201199E-3</v>
      </c>
      <c r="X34" s="33">
        <f t="shared" si="40"/>
        <v>7.5485817224301144E-3</v>
      </c>
      <c r="Y34" s="22">
        <v>3.0499999999999999E-2</v>
      </c>
      <c r="Z34" s="33">
        <f>(1+Y34/365)^365-1</f>
        <v>3.0968576342366605E-2</v>
      </c>
      <c r="AB34" s="14" t="s">
        <v>12</v>
      </c>
      <c r="AC34" s="33">
        <f>((1+$AI34)^(AC32/365)-1)*365/AC32</f>
        <v>2.9907349030706052E-2</v>
      </c>
      <c r="AD34" s="33">
        <f t="shared" ref="AD34:AG34" si="41">((1+$AI34)^(AD32/365)-1)*365/AD32</f>
        <v>2.9915925943969159E-2</v>
      </c>
      <c r="AE34" s="33">
        <f t="shared" si="41"/>
        <v>2.9935542634702439E-2</v>
      </c>
      <c r="AF34" s="33">
        <f t="shared" si="41"/>
        <v>2.9972370170845902E-2</v>
      </c>
      <c r="AG34" s="33">
        <f t="shared" si="41"/>
        <v>3.0009258115333635E-2</v>
      </c>
      <c r="AH34" s="22">
        <v>2.9899999999999999E-2</v>
      </c>
      <c r="AI34" s="33">
        <f>(1+AH34/365)^365-1</f>
        <v>3.0350231880070799E-2</v>
      </c>
      <c r="AK34" s="14" t="s">
        <v>12</v>
      </c>
      <c r="AL34" s="33">
        <f>((1+$AR34)^(AL32/365)-1)*365/AL32</f>
        <v>3.3609280547048134E-2</v>
      </c>
      <c r="AM34" s="33">
        <f t="shared" ref="AM34:AP34" si="42">((1+$AR34)^(AM32/365)-1)*365/AM32</f>
        <v>3.3620112171935869E-2</v>
      </c>
      <c r="AN34" s="33">
        <f t="shared" si="42"/>
        <v>3.3644887653183776E-2</v>
      </c>
      <c r="AO34" s="33">
        <f t="shared" si="42"/>
        <v>3.3691407316138212E-2</v>
      </c>
      <c r="AP34" s="33">
        <f t="shared" si="42"/>
        <v>3.3738012740671279E-2</v>
      </c>
      <c r="AQ34" s="22">
        <v>3.3599999999999998E-2</v>
      </c>
      <c r="AR34" s="33">
        <f>(1+AQ34/365)^365-1</f>
        <v>3.4169256374043444E-2</v>
      </c>
    </row>
    <row r="35" spans="1:44" x14ac:dyDescent="0.35">
      <c r="A35" s="14"/>
      <c r="B35" s="10"/>
      <c r="C35" s="10"/>
      <c r="D35" s="10"/>
      <c r="E35" s="10"/>
      <c r="F35" s="10"/>
      <c r="G35" s="15"/>
      <c r="H35" s="22"/>
      <c r="J35" s="14"/>
      <c r="K35" s="10"/>
      <c r="L35" s="10"/>
      <c r="M35" s="10"/>
      <c r="N35" s="10"/>
      <c r="O35" s="10"/>
      <c r="P35" s="10"/>
      <c r="Q35" s="10"/>
      <c r="S35" s="14"/>
      <c r="T35" s="10"/>
      <c r="U35" s="10"/>
      <c r="V35" s="10"/>
      <c r="W35" s="10"/>
      <c r="X35" s="10"/>
      <c r="Y35" s="10"/>
      <c r="Z35" s="10"/>
      <c r="AB35" s="14"/>
      <c r="AC35" s="10"/>
      <c r="AD35" s="10"/>
      <c r="AE35" s="10"/>
      <c r="AF35" s="10"/>
      <c r="AG35" s="10"/>
      <c r="AH35" s="10"/>
      <c r="AI35" s="34"/>
      <c r="AK35" s="14" t="s">
        <v>54</v>
      </c>
      <c r="AL35" s="22">
        <v>3.39E-2</v>
      </c>
      <c r="AM35" s="22">
        <v>3.49E-2</v>
      </c>
      <c r="AN35" s="22">
        <v>4.3900000000000002E-2</v>
      </c>
      <c r="AO35" s="22">
        <v>4.3999999999999997E-2</v>
      </c>
      <c r="AP35" s="22">
        <v>6.5000000000000002E-2</v>
      </c>
      <c r="AQ35" s="22">
        <v>3.6799999999999999E-2</v>
      </c>
      <c r="AR35" s="33">
        <f>(1+AQ35/365)^365-1</f>
        <v>3.7483578454069244E-2</v>
      </c>
    </row>
    <row r="36" spans="1:44" x14ac:dyDescent="0.35">
      <c r="A36" s="14" t="s">
        <v>54</v>
      </c>
      <c r="B36" s="22">
        <v>0.03</v>
      </c>
      <c r="C36" s="22">
        <v>3.4000000000000002E-2</v>
      </c>
      <c r="D36" s="22">
        <v>4.3400000000000001E-2</v>
      </c>
      <c r="E36" s="22">
        <v>0.05</v>
      </c>
      <c r="F36" s="22">
        <v>5.4699999999999999E-2</v>
      </c>
      <c r="G36" s="15">
        <v>3.5400000000000001E-2</v>
      </c>
      <c r="H36" s="33">
        <f>(1+G36/365)^365-1</f>
        <v>3.6032261144603783E-2</v>
      </c>
      <c r="J36" s="14" t="s">
        <v>54</v>
      </c>
      <c r="K36" s="22">
        <v>3.2000000000000001E-2</v>
      </c>
      <c r="L36" s="22">
        <v>4.0899999999999999E-2</v>
      </c>
      <c r="M36" s="22">
        <v>3.7999999999999999E-2</v>
      </c>
      <c r="N36" s="22">
        <v>0.05</v>
      </c>
      <c r="O36" s="22">
        <v>5.2400000000000002E-2</v>
      </c>
      <c r="P36" s="22">
        <v>3.44E-2</v>
      </c>
      <c r="Q36" s="33">
        <f>(1+P36/365)^365-1</f>
        <v>3.4996845680234534E-2</v>
      </c>
      <c r="S36" s="14" t="s">
        <v>54</v>
      </c>
      <c r="T36" s="22">
        <f>'Daily Data'!AT27</f>
        <v>3.4200000000000001E-2</v>
      </c>
      <c r="U36" s="22">
        <f>'Daily Data'!AU27</f>
        <v>4.2000000000000003E-2</v>
      </c>
      <c r="V36" s="22">
        <f>'Daily Data'!AV27</f>
        <v>3.5000000000000003E-2</v>
      </c>
      <c r="W36" s="22">
        <f>'Daily Data'!AW27</f>
        <v>4.3999999999999997E-2</v>
      </c>
      <c r="X36" s="22">
        <f>'Daily Data'!AX27</f>
        <v>5.0700000000000002E-2</v>
      </c>
      <c r="Y36" s="22">
        <v>3.4299999999999997E-2</v>
      </c>
      <c r="Z36" s="33">
        <f>(1+Y36/365)^365-1</f>
        <v>3.4893360908936799E-2</v>
      </c>
      <c r="AB36" s="14" t="s">
        <v>54</v>
      </c>
      <c r="AC36" s="77">
        <v>0.03</v>
      </c>
      <c r="AD36" s="22">
        <v>3.3000000000000002E-2</v>
      </c>
      <c r="AE36" s="22">
        <v>3.2000000000000001E-2</v>
      </c>
      <c r="AF36" s="22">
        <v>4.3999999999999997E-2</v>
      </c>
      <c r="AG36" s="22">
        <v>5.6000000000000001E-2</v>
      </c>
      <c r="AH36" s="22">
        <v>3.3000000000000002E-2</v>
      </c>
      <c r="AI36" s="33">
        <f t="shared" ref="AI36:AI40" si="43">(1+AH36/365)^365-1</f>
        <v>3.3548997504548206E-2</v>
      </c>
      <c r="AK36" s="14"/>
      <c r="AL36" s="10"/>
      <c r="AM36" s="10"/>
      <c r="AN36" s="10"/>
      <c r="AO36" s="10"/>
      <c r="AP36" s="10"/>
      <c r="AQ36" s="10"/>
      <c r="AR36" s="10"/>
    </row>
    <row r="37" spans="1:44" x14ac:dyDescent="0.35">
      <c r="A37" s="14"/>
      <c r="B37" s="33">
        <f>B38*(365/B32)</f>
        <v>2.5005137572765568E-2</v>
      </c>
      <c r="C37" s="33">
        <f t="shared" ref="C37:F37" si="44">C38*(365/C32)</f>
        <v>2.501113318692437E-2</v>
      </c>
      <c r="D37" s="33">
        <f t="shared" si="44"/>
        <v>2.5024844646748069E-2</v>
      </c>
      <c r="E37" s="33">
        <f t="shared" si="44"/>
        <v>2.5050580654265259E-2</v>
      </c>
      <c r="F37" s="33">
        <f t="shared" si="44"/>
        <v>2.5076351951623114E-2</v>
      </c>
      <c r="G37" s="15"/>
      <c r="H37" s="34"/>
      <c r="J37" s="14"/>
      <c r="K37" s="33">
        <f>K38*365/K32</f>
        <v>2.5005137572765568E-2</v>
      </c>
      <c r="L37" s="33">
        <f t="shared" ref="L37:O37" si="45">L38*365/L32</f>
        <v>2.5011133186924366E-2</v>
      </c>
      <c r="M37" s="33">
        <f t="shared" si="45"/>
        <v>2.5024844646748073E-2</v>
      </c>
      <c r="N37" s="33">
        <f t="shared" si="45"/>
        <v>2.5050580654265259E-2</v>
      </c>
      <c r="O37" s="33">
        <f t="shared" si="45"/>
        <v>2.5076351951623117E-2</v>
      </c>
      <c r="P37" s="10"/>
      <c r="Q37" s="10"/>
      <c r="S37" s="14"/>
      <c r="T37" s="10"/>
      <c r="U37" s="10"/>
      <c r="V37" s="10"/>
      <c r="W37" s="10"/>
      <c r="X37" s="10"/>
      <c r="Y37" s="10"/>
      <c r="Z37" s="10"/>
      <c r="AB37" s="14"/>
      <c r="AC37" s="10"/>
      <c r="AD37" s="10"/>
      <c r="AE37" s="10"/>
      <c r="AF37" s="10"/>
      <c r="AG37" s="10"/>
      <c r="AH37" s="10"/>
      <c r="AI37" s="34"/>
      <c r="AK37" s="14" t="s">
        <v>15</v>
      </c>
      <c r="AL37" s="33">
        <f>((1+$AR37)^(AL32/365)-1)*365/AL32</f>
        <v>2.5005137572765568E-2</v>
      </c>
      <c r="AM37" s="33">
        <f t="shared" ref="AM37:AP37" si="46">((1+$AR37)^(AM32/365)-1)*365/AM32</f>
        <v>2.5011133186924366E-2</v>
      </c>
      <c r="AN37" s="33">
        <f t="shared" si="46"/>
        <v>2.5024844646748073E-2</v>
      </c>
      <c r="AO37" s="33">
        <f t="shared" si="46"/>
        <v>2.5050580654265259E-2</v>
      </c>
      <c r="AP37" s="33">
        <f t="shared" si="46"/>
        <v>2.5076351951623117E-2</v>
      </c>
      <c r="AQ37" s="22">
        <v>2.5000000000000001E-2</v>
      </c>
      <c r="AR37" s="33">
        <f>(1+AQ37/365)^365-1</f>
        <v>2.5314242726610869E-2</v>
      </c>
    </row>
    <row r="38" spans="1:44" x14ac:dyDescent="0.35">
      <c r="A38" s="14" t="s">
        <v>15</v>
      </c>
      <c r="B38" s="33">
        <f>(1+$H38)^(B32/365)-1</f>
        <v>4.7955058358728486E-4</v>
      </c>
      <c r="C38" s="33">
        <f>(1+$H38)^(C32/365)-1</f>
        <v>9.5933113593682506E-4</v>
      </c>
      <c r="D38" s="33">
        <f>(1+$H38)^(D32/365)-1</f>
        <v>2.0568365463080607E-3</v>
      </c>
      <c r="E38" s="33">
        <f>(1+$H38)^(E32/365)-1</f>
        <v>4.1179036691942894E-3</v>
      </c>
      <c r="F38" s="33">
        <f>(1+$H38)^(F32/365)-1</f>
        <v>6.1832100702632342E-3</v>
      </c>
      <c r="G38" s="15">
        <v>2.5000000000000001E-2</v>
      </c>
      <c r="H38" s="33">
        <f>(1+G38/365)^365-1</f>
        <v>2.5314242726610869E-2</v>
      </c>
      <c r="J38" s="14" t="s">
        <v>15</v>
      </c>
      <c r="K38" s="33">
        <f>(1+$Q38)^(K32/365)-1</f>
        <v>4.7955058358728486E-4</v>
      </c>
      <c r="L38" s="33">
        <f>(1+$Q38)^(L32/365)-1</f>
        <v>9.5933113593682506E-4</v>
      </c>
      <c r="M38" s="33">
        <f>(1+$Q38)^(M32/365)-1</f>
        <v>2.0568365463080607E-3</v>
      </c>
      <c r="N38" s="33">
        <f>(1+$Q38)^(N32/365)-1</f>
        <v>4.1179036691942894E-3</v>
      </c>
      <c r="O38" s="33">
        <f>(1+$Q38)^(O32/365)-1</f>
        <v>6.1832100702632342E-3</v>
      </c>
      <c r="P38" s="22">
        <v>2.5000000000000001E-2</v>
      </c>
      <c r="Q38" s="33">
        <f>(1+P38/365)^365-1</f>
        <v>2.5314242726610869E-2</v>
      </c>
      <c r="S38" s="14" t="s">
        <v>15</v>
      </c>
      <c r="T38" s="33">
        <f>((1+$Z38)^(T32/365)-1)*365/T32</f>
        <v>2.5005137572765568E-2</v>
      </c>
      <c r="U38" s="33">
        <f t="shared" ref="U38:X38" si="47">((1+$Z38)^(U32/365)-1)*365/U32</f>
        <v>2.5011133186924366E-2</v>
      </c>
      <c r="V38" s="33">
        <f t="shared" si="47"/>
        <v>2.5024844646748073E-2</v>
      </c>
      <c r="W38" s="33">
        <f t="shared" si="47"/>
        <v>2.5050580654265259E-2</v>
      </c>
      <c r="X38" s="33">
        <f t="shared" si="47"/>
        <v>2.5076351951623117E-2</v>
      </c>
      <c r="Y38" s="22">
        <v>2.5000000000000001E-2</v>
      </c>
      <c r="Z38" s="33">
        <f>(1+Y38/365)^365-1</f>
        <v>2.5314242726610869E-2</v>
      </c>
      <c r="AB38" s="14" t="s">
        <v>15</v>
      </c>
      <c r="AC38" s="33">
        <f>((1+$AI38)^(AC32/365)-1)*365/AC32</f>
        <v>2.5005137572765568E-2</v>
      </c>
      <c r="AD38" s="33">
        <f t="shared" ref="AD38:AG38" si="48">((1+$AI38)^(AD32/365)-1)*365/AD32</f>
        <v>2.5011133186924366E-2</v>
      </c>
      <c r="AE38" s="33">
        <f t="shared" si="48"/>
        <v>2.5024844646748073E-2</v>
      </c>
      <c r="AF38" s="33">
        <f t="shared" si="48"/>
        <v>2.5050580654265259E-2</v>
      </c>
      <c r="AG38" s="33">
        <f t="shared" si="48"/>
        <v>2.5076351951623117E-2</v>
      </c>
      <c r="AH38" s="22">
        <v>2.5000000000000001E-2</v>
      </c>
      <c r="AI38" s="33">
        <f t="shared" si="43"/>
        <v>2.5314242726610869E-2</v>
      </c>
      <c r="AK38" s="14"/>
      <c r="AL38" s="10"/>
      <c r="AM38" s="10"/>
      <c r="AN38" s="10"/>
      <c r="AO38" s="10"/>
      <c r="AP38" s="10"/>
      <c r="AQ38" s="10"/>
      <c r="AR38" s="10"/>
    </row>
    <row r="39" spans="1:44" s="18" customFormat="1" x14ac:dyDescent="0.35">
      <c r="A39" s="21"/>
      <c r="B39" s="34"/>
      <c r="C39" s="33">
        <f>C40*365/C32</f>
        <v>3.0416463127971544E-2</v>
      </c>
      <c r="D39" s="34"/>
      <c r="E39" s="33">
        <f>E40*365/E32</f>
        <v>3.0474812798236512E-2</v>
      </c>
      <c r="F39" s="33">
        <f>F40*365/F32</f>
        <v>3.0512947329474491E-2</v>
      </c>
      <c r="G39" s="34"/>
      <c r="H39" s="34"/>
      <c r="J39" s="21"/>
      <c r="K39" s="19"/>
      <c r="L39" s="33">
        <f>L40*365/L32</f>
        <v>3.1417564235164716E-2</v>
      </c>
      <c r="M39" s="19"/>
      <c r="N39" s="33">
        <f>N40*365/N32</f>
        <v>3.1479819876150263E-2</v>
      </c>
      <c r="O39" s="33">
        <f>O40*365/O32</f>
        <v>3.1520509987099911E-2</v>
      </c>
      <c r="P39" s="19"/>
      <c r="Q39" s="19"/>
      <c r="S39" s="21"/>
      <c r="T39" s="19"/>
      <c r="U39" s="19"/>
      <c r="V39" s="19"/>
      <c r="W39" s="19"/>
      <c r="X39" s="19"/>
      <c r="Y39" s="19"/>
      <c r="Z39" s="19"/>
      <c r="AB39" s="21"/>
      <c r="AC39" s="19"/>
      <c r="AD39" s="19"/>
      <c r="AE39" s="19"/>
      <c r="AF39" s="19"/>
      <c r="AG39" s="19"/>
      <c r="AH39" s="19"/>
      <c r="AI39" s="34"/>
      <c r="AK39" s="14" t="s">
        <v>17</v>
      </c>
      <c r="AL39" s="22">
        <v>4.02E-2</v>
      </c>
      <c r="AM39" s="33">
        <f>((1+AR39)^(AM32/365)-1)*365/AM32</f>
        <v>3.3620112171935869E-2</v>
      </c>
      <c r="AN39" s="22">
        <v>5.4800000000000001E-2</v>
      </c>
      <c r="AO39" s="33">
        <f>((1+$AR39)^(AO32/365)-1)*365/AO32</f>
        <v>3.3691407316138212E-2</v>
      </c>
      <c r="AP39" s="33">
        <f>((1+$AR39)^(AP32/365)-1)*365/AP32</f>
        <v>3.3738012740671279E-2</v>
      </c>
      <c r="AQ39" s="22">
        <v>3.3599999999999998E-2</v>
      </c>
      <c r="AR39" s="33">
        <f>(1+AQ39/365)^365-1</f>
        <v>3.4169256374043444E-2</v>
      </c>
    </row>
    <row r="40" spans="1:44" x14ac:dyDescent="0.35">
      <c r="A40" s="14" t="s">
        <v>17</v>
      </c>
      <c r="B40" s="22">
        <v>0.04</v>
      </c>
      <c r="C40" s="33">
        <f>(1+H40)^(C32/365)-1</f>
        <v>1.1666588597030181E-3</v>
      </c>
      <c r="D40" s="22">
        <v>5.4800000000000001E-2</v>
      </c>
      <c r="E40" s="33">
        <f>(1+H40)^(E32/365)-1</f>
        <v>5.0095582682032624E-3</v>
      </c>
      <c r="F40" s="33">
        <f>(1+H40)^(F32/365)-1</f>
        <v>7.523740437404669E-3</v>
      </c>
      <c r="G40" s="15">
        <v>3.04E-2</v>
      </c>
      <c r="H40" s="33">
        <f>(1+G40/365)^365-1</f>
        <v>3.0865493238620978E-2</v>
      </c>
      <c r="J40" s="14" t="s">
        <v>17</v>
      </c>
      <c r="K40" s="22">
        <v>3.8600000000000002E-2</v>
      </c>
      <c r="L40" s="33">
        <f>(1+Q40)^(L32/365)-1</f>
        <v>1.2050572583350849E-3</v>
      </c>
      <c r="M40" s="22">
        <v>5.4800000000000001E-2</v>
      </c>
      <c r="N40" s="33">
        <f>(1+Q40)^(N32/365)-1</f>
        <v>5.1747649111479888E-3</v>
      </c>
      <c r="O40" s="33">
        <f>(1+Q40)^(O32/365)-1</f>
        <v>7.7721805447643622E-3</v>
      </c>
      <c r="P40" s="22">
        <v>3.1399999999999997E-2</v>
      </c>
      <c r="Q40" s="33">
        <f>(1+P40/365)^365-1</f>
        <v>3.1896786986022718E-2</v>
      </c>
      <c r="S40" s="14" t="s">
        <v>17</v>
      </c>
      <c r="T40" s="22">
        <v>3.8600000000000002E-2</v>
      </c>
      <c r="U40" s="33">
        <f>((1+Z40)^(U32/365)-1)*365/U32</f>
        <v>3.121734116151758E-2</v>
      </c>
      <c r="V40" s="22">
        <v>5.4800000000000001E-2</v>
      </c>
      <c r="W40" s="33">
        <f>((1+$Z40)^(W32/365)-1)*365/W32</f>
        <v>3.1278805465217829E-2</v>
      </c>
      <c r="X40" s="33">
        <f>((1+$Z40)^(X32/365)-1)*365/X32</f>
        <v>3.1318977802404467E-2</v>
      </c>
      <c r="Y40" s="22">
        <v>3.1199999999999999E-2</v>
      </c>
      <c r="Z40" s="33">
        <f>(1+Y40/365)^365-1</f>
        <v>3.1690445957877067E-2</v>
      </c>
      <c r="AB40" s="14" t="s">
        <v>17</v>
      </c>
      <c r="AC40" s="22">
        <v>3.7600000000000001E-2</v>
      </c>
      <c r="AD40" s="33">
        <f>((1+AI40)^(AD32/365)-1)*365/AD32</f>
        <v>2.97157135659997E-2</v>
      </c>
      <c r="AE40" s="22">
        <v>5.4800000000000001E-2</v>
      </c>
      <c r="AF40" s="33">
        <f>((1+$AI40)^(AF32/365)-1)*365/AF32</f>
        <v>2.9771404489047876E-2</v>
      </c>
      <c r="AG40" s="33">
        <f>((1+$AI40)^(AG32/365)-1)*365/AG32</f>
        <v>2.9807799622090583E-2</v>
      </c>
      <c r="AH40" s="22">
        <v>2.9700000000000001E-2</v>
      </c>
      <c r="AI40" s="33">
        <f t="shared" si="43"/>
        <v>3.0144199258958837E-2</v>
      </c>
    </row>
    <row r="42" spans="1:44" x14ac:dyDescent="0.35">
      <c r="A42" s="24">
        <v>46081</v>
      </c>
      <c r="B42" s="16">
        <v>7</v>
      </c>
      <c r="C42" s="16">
        <v>14</v>
      </c>
      <c r="D42" s="16">
        <v>30</v>
      </c>
      <c r="E42" s="16">
        <v>60</v>
      </c>
      <c r="F42" s="16">
        <v>90</v>
      </c>
      <c r="G42" s="36" t="s">
        <v>11</v>
      </c>
      <c r="H42" s="27" t="s">
        <v>53</v>
      </c>
      <c r="J42" s="24">
        <v>46091</v>
      </c>
      <c r="K42" s="16">
        <v>7</v>
      </c>
      <c r="L42" s="16">
        <v>14</v>
      </c>
      <c r="M42" s="16">
        <v>30</v>
      </c>
      <c r="N42" s="16">
        <v>60</v>
      </c>
      <c r="O42" s="16">
        <v>90</v>
      </c>
      <c r="P42" s="16" t="s">
        <v>11</v>
      </c>
      <c r="Q42" s="16" t="s">
        <v>53</v>
      </c>
      <c r="S42" s="24">
        <v>46101</v>
      </c>
      <c r="T42" s="16">
        <v>7</v>
      </c>
      <c r="U42" s="16">
        <v>14</v>
      </c>
      <c r="V42" s="16">
        <v>30</v>
      </c>
      <c r="W42" s="16">
        <v>60</v>
      </c>
      <c r="X42" s="16">
        <v>90</v>
      </c>
      <c r="Y42" s="16" t="s">
        <v>11</v>
      </c>
      <c r="Z42" s="16" t="s">
        <v>53</v>
      </c>
      <c r="AB42" s="24">
        <v>46111</v>
      </c>
      <c r="AC42" s="16">
        <v>7</v>
      </c>
      <c r="AD42" s="16">
        <v>14</v>
      </c>
      <c r="AE42" s="16">
        <v>30</v>
      </c>
      <c r="AF42" s="16">
        <v>60</v>
      </c>
      <c r="AG42" s="16">
        <v>90</v>
      </c>
      <c r="AH42" s="16" t="s">
        <v>11</v>
      </c>
      <c r="AI42" s="16" t="s">
        <v>53</v>
      </c>
      <c r="AK42" s="24">
        <v>46121</v>
      </c>
      <c r="AL42" s="16">
        <v>7</v>
      </c>
      <c r="AM42" s="16">
        <v>14</v>
      </c>
      <c r="AN42" s="16">
        <v>30</v>
      </c>
      <c r="AO42" s="16">
        <v>60</v>
      </c>
      <c r="AP42" s="16">
        <v>90</v>
      </c>
      <c r="AQ42" s="16" t="s">
        <v>11</v>
      </c>
      <c r="AR42" s="16" t="s">
        <v>53</v>
      </c>
    </row>
    <row r="43" spans="1:44" x14ac:dyDescent="0.35">
      <c r="A43" s="14"/>
      <c r="B43" s="33">
        <f>B44*(365/B42)</f>
        <v>3.1308053397499487E-2</v>
      </c>
      <c r="C43" s="33">
        <f t="shared" ref="C43:F43" si="49">C44*(365/C42)</f>
        <v>3.1317452520042227E-2</v>
      </c>
      <c r="D43" s="33">
        <f t="shared" si="49"/>
        <v>3.13389503593711E-2</v>
      </c>
      <c r="E43" s="33">
        <f t="shared" si="49"/>
        <v>3.137931185839702E-2</v>
      </c>
      <c r="F43" s="33">
        <f t="shared" si="49"/>
        <v>3.1419742666299495E-2</v>
      </c>
      <c r="G43" s="15"/>
      <c r="H43" s="22"/>
      <c r="J43" s="14"/>
      <c r="K43" s="33">
        <f>K44*365/K42</f>
        <v>3.0207497253032907E-2</v>
      </c>
      <c r="L43" s="33">
        <f t="shared" ref="L43:O43" si="50">L44*365/L42</f>
        <v>3.0216247184851448E-2</v>
      </c>
      <c r="M43" s="33">
        <f t="shared" si="50"/>
        <v>3.0236259721194925E-2</v>
      </c>
      <c r="N43" s="33">
        <f t="shared" si="50"/>
        <v>3.0273830874697632E-2</v>
      </c>
      <c r="O43" s="33">
        <f t="shared" si="50"/>
        <v>3.0311464275388368E-2</v>
      </c>
      <c r="P43" s="10"/>
      <c r="Q43" s="10"/>
      <c r="S43" s="14"/>
      <c r="T43" s="10"/>
      <c r="U43" s="10"/>
      <c r="V43" s="10"/>
      <c r="W43" s="10"/>
      <c r="X43" s="10"/>
      <c r="Y43" s="10"/>
      <c r="Z43" s="10"/>
      <c r="AB43" s="14"/>
      <c r="AC43" s="10"/>
      <c r="AD43" s="10"/>
      <c r="AE43" s="10"/>
      <c r="AF43" s="10"/>
      <c r="AG43" s="10"/>
      <c r="AH43" s="10"/>
      <c r="AI43" s="10"/>
      <c r="AK43" s="14"/>
      <c r="AL43" s="10"/>
      <c r="AM43" s="10"/>
      <c r="AN43" s="10"/>
      <c r="AO43" s="10"/>
      <c r="AP43" s="10"/>
      <c r="AQ43" s="10"/>
      <c r="AR43" s="10"/>
    </row>
    <row r="44" spans="1:44" x14ac:dyDescent="0.35">
      <c r="A44" s="14" t="s">
        <v>12</v>
      </c>
      <c r="B44" s="33">
        <f>(1+$H44)^(B42/365)-1</f>
        <v>6.0042842132190799E-4</v>
      </c>
      <c r="C44" s="33">
        <f>(1+$H44)^(C42/365)-1</f>
        <v>1.2012173569331264E-3</v>
      </c>
      <c r="D44" s="33">
        <f>(1+$H44)^(D42/365)-1</f>
        <v>2.5758041391263919E-3</v>
      </c>
      <c r="E44" s="33">
        <f>(1+$H44)^(E42/365)-1</f>
        <v>5.1582430452159489E-3</v>
      </c>
      <c r="F44" s="33">
        <f>(1+$H44)^(F42/365)-1</f>
        <v>7.7473338081286425E-3</v>
      </c>
      <c r="G44" s="15">
        <v>3.1300000000000001E-2</v>
      </c>
      <c r="H44" s="33">
        <f>(1+G44/365)^365-1</f>
        <v>3.1793611327958216E-2</v>
      </c>
      <c r="J44" s="14" t="s">
        <v>12</v>
      </c>
      <c r="K44" s="33">
        <f>(1+$Q44)^(K42/365)-1</f>
        <v>5.7932186512665851E-4</v>
      </c>
      <c r="L44" s="33">
        <f>(1+$Q44)^(L42/365)-1</f>
        <v>1.1589793440764939E-3</v>
      </c>
      <c r="M44" s="33">
        <f>(1+$Q44)^(M42/365)-1</f>
        <v>2.4851720318790349E-3</v>
      </c>
      <c r="N44" s="33">
        <f>(1+$Q44)^(N42/365)-1</f>
        <v>4.9765201437859119E-3</v>
      </c>
      <c r="O44" s="33">
        <f>(1+$Q44)^(O42/365)-1</f>
        <v>7.4740596843423379E-3</v>
      </c>
      <c r="P44" s="22">
        <v>3.0200000000000001E-2</v>
      </c>
      <c r="Q44" s="33">
        <f>(1+P44/365)^365-1</f>
        <v>3.0659357866290149E-2</v>
      </c>
      <c r="S44" s="14" t="s">
        <v>12</v>
      </c>
      <c r="T44" s="33">
        <f>((1+$Z44)^(T42/365)-1)*365/T42</f>
        <v>2.8706770942093587E-2</v>
      </c>
      <c r="U44" s="33">
        <f t="shared" ref="U44:X44" si="51">((1+$Z44)^(U42/365)-1)*365/U42</f>
        <v>2.8714673066593095E-2</v>
      </c>
      <c r="V44" s="33">
        <f t="shared" si="51"/>
        <v>2.8732745958280088E-2</v>
      </c>
      <c r="W44" s="33">
        <f t="shared" si="51"/>
        <v>2.8766673520893533E-2</v>
      </c>
      <c r="X44" s="33">
        <f t="shared" si="51"/>
        <v>2.8800654498963827E-2</v>
      </c>
      <c r="Y44" s="22">
        <v>2.87E-2</v>
      </c>
      <c r="Z44" s="33">
        <f>(1+Y44/365)^365-1</f>
        <v>2.9114652282718589E-2</v>
      </c>
      <c r="AB44" s="14" t="s">
        <v>12</v>
      </c>
      <c r="AC44" s="33">
        <f>((1+$AI44)^(AC42/365)-1)*365/AC42</f>
        <v>2.9807299952161154E-2</v>
      </c>
      <c r="AD44" s="33">
        <f t="shared" ref="AD44:AG44" si="52">((1+$AI44)^(AD42/365)-1)*365/AD42</f>
        <v>2.9815819576702873E-2</v>
      </c>
      <c r="AE44" s="33">
        <f t="shared" si="52"/>
        <v>2.9835305198563405E-2</v>
      </c>
      <c r="AF44" s="33">
        <f t="shared" si="52"/>
        <v>2.9871886517863155E-2</v>
      </c>
      <c r="AG44" s="33">
        <f t="shared" si="52"/>
        <v>2.9908527640715526E-2</v>
      </c>
      <c r="AH44" s="22">
        <v>2.98E-2</v>
      </c>
      <c r="AI44" s="33">
        <f>(1+AH44/365)^365-1</f>
        <v>3.0247210433201888E-2</v>
      </c>
      <c r="AK44" s="14" t="s">
        <v>12</v>
      </c>
      <c r="AL44" s="33">
        <f>((1+$AR44)^(AL42/365)-1)*365/AL42</f>
        <v>2.7606261830231009E-2</v>
      </c>
      <c r="AM44" s="33">
        <f t="shared" ref="AM44:AP44" si="53">((1+$AR44)^(AM42/365)-1)*365/AM42</f>
        <v>2.7613569693030509E-2</v>
      </c>
      <c r="AN44" s="33">
        <f t="shared" si="53"/>
        <v>2.7630283066844674E-2</v>
      </c>
      <c r="AO44" s="33">
        <f t="shared" si="53"/>
        <v>2.7661657006941637E-2</v>
      </c>
      <c r="AP44" s="33">
        <f t="shared" si="53"/>
        <v>2.7693078446810349E-2</v>
      </c>
      <c r="AQ44" s="22">
        <v>2.76E-2</v>
      </c>
      <c r="AR44" s="33">
        <f>(1+AQ44/365)^365-1</f>
        <v>2.7983335754216743E-2</v>
      </c>
    </row>
    <row r="45" spans="1:44" x14ac:dyDescent="0.35">
      <c r="A45" s="14"/>
      <c r="B45" s="10"/>
      <c r="C45" s="10"/>
      <c r="D45" s="10"/>
      <c r="E45" s="10"/>
      <c r="F45" s="10"/>
      <c r="G45" s="15"/>
      <c r="H45" s="22"/>
      <c r="J45" s="14"/>
      <c r="K45" s="10"/>
      <c r="L45" s="10"/>
      <c r="M45" s="10"/>
      <c r="N45" s="10"/>
      <c r="O45" s="10"/>
      <c r="P45" s="10"/>
      <c r="Q45" s="10"/>
      <c r="S45" s="14"/>
      <c r="T45" s="10"/>
      <c r="U45" s="10"/>
      <c r="V45" s="10"/>
      <c r="W45" s="10"/>
      <c r="X45" s="10"/>
      <c r="Y45" s="10"/>
      <c r="Z45" s="10"/>
      <c r="AB45" s="14"/>
      <c r="AC45" s="10"/>
      <c r="AD45" s="10"/>
      <c r="AE45" s="10"/>
      <c r="AF45" s="10"/>
      <c r="AG45" s="10"/>
      <c r="AH45" s="10"/>
      <c r="AI45" s="34"/>
      <c r="AK45" s="14" t="s">
        <v>54</v>
      </c>
      <c r="AL45" s="22">
        <v>0.03</v>
      </c>
      <c r="AM45" s="22">
        <v>0.03</v>
      </c>
      <c r="AN45" s="22">
        <v>4.3900000000000002E-2</v>
      </c>
      <c r="AO45" s="22">
        <v>4.2500000000000003E-2</v>
      </c>
      <c r="AP45" s="22">
        <v>5.2499999999999998E-2</v>
      </c>
      <c r="AQ45" s="22">
        <v>3.2899999999999999E-2</v>
      </c>
      <c r="AR45" s="33">
        <f>(1+AQ45/365)^365-1</f>
        <v>3.3445657100777071E-2</v>
      </c>
    </row>
    <row r="46" spans="1:44" x14ac:dyDescent="0.35">
      <c r="A46" s="14" t="s">
        <v>54</v>
      </c>
      <c r="B46" s="22">
        <v>3.1099999999999999E-2</v>
      </c>
      <c r="C46" s="22">
        <v>3.3500000000000002E-2</v>
      </c>
      <c r="D46" s="22">
        <v>3.2000000000000001E-2</v>
      </c>
      <c r="E46" s="22">
        <v>0.05</v>
      </c>
      <c r="F46" s="22">
        <v>5.4699999999999999E-2</v>
      </c>
      <c r="G46" s="15">
        <v>3.5099999999999999E-2</v>
      </c>
      <c r="H46" s="33">
        <f>(1+G46/365)^365-1</f>
        <v>3.5721528087785392E-2</v>
      </c>
      <c r="J46" s="14" t="s">
        <v>54</v>
      </c>
      <c r="K46" s="22">
        <v>3.2000000000000001E-2</v>
      </c>
      <c r="L46" s="22">
        <v>3.5000000000000003E-2</v>
      </c>
      <c r="M46" s="22">
        <v>3.7999999999999999E-2</v>
      </c>
      <c r="N46" s="22">
        <v>0.05</v>
      </c>
      <c r="O46" s="22">
        <v>5.8500000000000003E-2</v>
      </c>
      <c r="P46" s="22">
        <v>3.4099999999999998E-2</v>
      </c>
      <c r="Q46" s="33">
        <f>(1+P46/365)^365-1</f>
        <v>3.4686422321102972E-2</v>
      </c>
      <c r="S46" s="14" t="s">
        <v>54</v>
      </c>
      <c r="T46" s="22">
        <f>'Daily Data'!AT28</f>
        <v>3.4200000000000001E-2</v>
      </c>
      <c r="U46" s="22">
        <f>'Daily Data'!AU28</f>
        <v>0.04</v>
      </c>
      <c r="V46" s="22">
        <f>'Daily Data'!AV28</f>
        <v>3.4000000000000002E-2</v>
      </c>
      <c r="W46" s="22">
        <f>'Daily Data'!AW28</f>
        <v>4.3999999999999997E-2</v>
      </c>
      <c r="X46" s="22">
        <f>'Daily Data'!AX28</f>
        <v>0.05</v>
      </c>
      <c r="Y46" s="28">
        <f>'Daily Data'!$AZ$28</f>
        <v>3.4000000000000002E-2</v>
      </c>
      <c r="Z46" s="33">
        <f>(1+Y46/365)^365-1</f>
        <v>3.4582968502674616E-2</v>
      </c>
      <c r="AB46" s="14" t="s">
        <v>54</v>
      </c>
      <c r="AC46" s="22">
        <f>'Daily Data'!AT38</f>
        <v>0.03</v>
      </c>
      <c r="AD46" s="22">
        <f>'Daily Data'!AU38</f>
        <v>3.27E-2</v>
      </c>
      <c r="AE46" s="22">
        <f>'Daily Data'!AV38</f>
        <v>3.9899999999999998E-2</v>
      </c>
      <c r="AF46" s="22">
        <f>'Daily Data'!AW38</f>
        <v>4.3900000000000002E-2</v>
      </c>
      <c r="AG46" s="22">
        <f>'Daily Data'!AX38</f>
        <v>6.4899999999999999E-2</v>
      </c>
      <c r="AH46" s="22">
        <v>3.3399999999999999E-2</v>
      </c>
      <c r="AI46" s="33">
        <f t="shared" ref="AI46:AI51" si="54">(1+AH46/365)^365-1</f>
        <v>3.3962462182619113E-2</v>
      </c>
      <c r="AK46" s="14"/>
      <c r="AL46" s="10"/>
      <c r="AM46" s="10"/>
      <c r="AN46" s="10"/>
      <c r="AO46" s="10"/>
      <c r="AP46" s="10"/>
      <c r="AQ46" s="10"/>
      <c r="AR46" s="10"/>
    </row>
    <row r="47" spans="1:44" x14ac:dyDescent="0.35">
      <c r="A47" s="14"/>
      <c r="B47" s="22"/>
      <c r="C47" s="22"/>
      <c r="D47" s="22"/>
      <c r="E47" s="22"/>
      <c r="F47" s="22"/>
      <c r="G47" s="15"/>
      <c r="H47" s="34"/>
      <c r="J47" s="14"/>
      <c r="K47" s="10"/>
      <c r="L47" s="10"/>
      <c r="M47" s="10"/>
      <c r="N47" s="10"/>
      <c r="O47" s="10"/>
      <c r="P47" s="10"/>
      <c r="Q47" s="10"/>
      <c r="S47" s="14"/>
      <c r="T47" s="10"/>
      <c r="U47" s="10"/>
      <c r="V47" s="10"/>
      <c r="W47" s="10"/>
      <c r="X47" s="10"/>
      <c r="Y47" s="10"/>
      <c r="Z47" s="10"/>
      <c r="AB47" s="14"/>
      <c r="AC47" s="10"/>
      <c r="AD47" s="10"/>
      <c r="AE47" s="10"/>
      <c r="AF47" s="10"/>
      <c r="AG47" s="10"/>
      <c r="AH47" s="10"/>
      <c r="AI47" s="34"/>
      <c r="AK47" s="14" t="s">
        <v>15</v>
      </c>
      <c r="AL47" s="33">
        <f>((1+$AR47)^(AL42/365)-1)*365/AL42</f>
        <v>2.5005137572765568E-2</v>
      </c>
      <c r="AM47" s="33">
        <f t="shared" ref="AM47:AP47" si="55">((1+$AR47)^(AM42/365)-1)*365/AM42</f>
        <v>2.5011133186924366E-2</v>
      </c>
      <c r="AN47" s="33">
        <f t="shared" si="55"/>
        <v>2.5024844646748073E-2</v>
      </c>
      <c r="AO47" s="33">
        <f t="shared" si="55"/>
        <v>2.5050580654265259E-2</v>
      </c>
      <c r="AP47" s="33">
        <f t="shared" si="55"/>
        <v>2.5076351951623117E-2</v>
      </c>
      <c r="AQ47" s="22">
        <v>2.5000000000000001E-2</v>
      </c>
      <c r="AR47" s="33">
        <f>(1+AQ47/365)^365-1</f>
        <v>2.5314242726610869E-2</v>
      </c>
    </row>
    <row r="48" spans="1:44" x14ac:dyDescent="0.35">
      <c r="A48" s="14"/>
      <c r="B48" s="33">
        <f>B49*(365/B42)</f>
        <v>2.5005137572765568E-2</v>
      </c>
      <c r="C48" s="33">
        <f t="shared" ref="C48:F48" si="56">C49*(365/C42)</f>
        <v>2.501113318692437E-2</v>
      </c>
      <c r="D48" s="33">
        <f t="shared" si="56"/>
        <v>2.5024844646748069E-2</v>
      </c>
      <c r="E48" s="33">
        <f t="shared" si="56"/>
        <v>2.5050580654265259E-2</v>
      </c>
      <c r="F48" s="33">
        <f t="shared" si="56"/>
        <v>2.5076351951623114E-2</v>
      </c>
      <c r="G48" s="15"/>
      <c r="H48" s="34"/>
      <c r="J48" s="14"/>
      <c r="K48" s="33">
        <f>K49*365/K42</f>
        <v>2.5005137572765568E-2</v>
      </c>
      <c r="L48" s="33">
        <f t="shared" ref="L48:O48" si="57">L49*365/L42</f>
        <v>2.5011133186924366E-2</v>
      </c>
      <c r="M48" s="33">
        <f t="shared" si="57"/>
        <v>2.5024844646748073E-2</v>
      </c>
      <c r="N48" s="33">
        <f t="shared" si="57"/>
        <v>2.5050580654265259E-2</v>
      </c>
      <c r="O48" s="33">
        <f t="shared" si="57"/>
        <v>2.5076351951623117E-2</v>
      </c>
      <c r="P48" s="10"/>
      <c r="Q48" s="10"/>
      <c r="S48" s="14"/>
      <c r="T48" s="10"/>
      <c r="U48" s="10"/>
      <c r="V48" s="10"/>
      <c r="W48" s="10"/>
      <c r="X48" s="10"/>
      <c r="Y48" s="10"/>
      <c r="Z48" s="10"/>
      <c r="AB48" s="14"/>
      <c r="AC48" s="10"/>
      <c r="AD48" s="10"/>
      <c r="AE48" s="10"/>
      <c r="AF48" s="10"/>
      <c r="AG48" s="10"/>
      <c r="AH48" s="22"/>
      <c r="AI48" s="34"/>
      <c r="AK48" s="14"/>
      <c r="AL48" s="10"/>
      <c r="AM48" s="10"/>
      <c r="AN48" s="10"/>
      <c r="AO48" s="10"/>
      <c r="AP48" s="10"/>
      <c r="AQ48" s="10"/>
      <c r="AR48" s="10"/>
    </row>
    <row r="49" spans="1:53" x14ac:dyDescent="0.35">
      <c r="A49" s="14" t="s">
        <v>15</v>
      </c>
      <c r="B49" s="33">
        <f>(1+$H49)^(B42/365)-1</f>
        <v>4.7955058358728486E-4</v>
      </c>
      <c r="C49" s="33">
        <f>(1+$H49)^(C42/365)-1</f>
        <v>9.5933113593682506E-4</v>
      </c>
      <c r="D49" s="33">
        <f>(1+$H49)^(D42/365)-1</f>
        <v>2.0568365463080607E-3</v>
      </c>
      <c r="E49" s="33">
        <f>(1+$H49)^(E42/365)-1</f>
        <v>4.1179036691942894E-3</v>
      </c>
      <c r="F49" s="33">
        <f>(1+$H49)^(F42/365)-1</f>
        <v>6.1832100702632342E-3</v>
      </c>
      <c r="G49" s="15">
        <v>2.5000000000000001E-2</v>
      </c>
      <c r="H49" s="33">
        <f>(1+G49/365)^365-1</f>
        <v>2.5314242726610869E-2</v>
      </c>
      <c r="J49" s="14" t="s">
        <v>15</v>
      </c>
      <c r="K49" s="33">
        <f>(1+$Q49)^(K42/365)-1</f>
        <v>4.7955058358728486E-4</v>
      </c>
      <c r="L49" s="33">
        <f>(1+$Q49)^(L42/365)-1</f>
        <v>9.5933113593682506E-4</v>
      </c>
      <c r="M49" s="33">
        <f>(1+$Q49)^(M42/365)-1</f>
        <v>2.0568365463080607E-3</v>
      </c>
      <c r="N49" s="33">
        <f>(1+$Q49)^(N42/365)-1</f>
        <v>4.1179036691942894E-3</v>
      </c>
      <c r="O49" s="33">
        <f>(1+$Q49)^(O42/365)-1</f>
        <v>6.1832100702632342E-3</v>
      </c>
      <c r="P49" s="22">
        <v>2.5000000000000001E-2</v>
      </c>
      <c r="Q49" s="33">
        <f>(1+P49/365)^365-1</f>
        <v>2.5314242726610869E-2</v>
      </c>
      <c r="S49" s="14" t="s">
        <v>15</v>
      </c>
      <c r="T49" s="33">
        <f>((1+$Z49)^(T42/365)-1)*365/T42</f>
        <v>2.5005137572765568E-2</v>
      </c>
      <c r="U49" s="33">
        <f t="shared" ref="U49:X49" si="58">((1+$Z49)^(U42/365)-1)*365/U42</f>
        <v>2.5011133186924366E-2</v>
      </c>
      <c r="V49" s="33">
        <f t="shared" si="58"/>
        <v>2.5024844646748073E-2</v>
      </c>
      <c r="W49" s="33">
        <f t="shared" si="58"/>
        <v>2.5050580654265259E-2</v>
      </c>
      <c r="X49" s="33">
        <f t="shared" si="58"/>
        <v>2.5076351951623117E-2</v>
      </c>
      <c r="Y49" s="22">
        <v>2.5000000000000001E-2</v>
      </c>
      <c r="Z49" s="33">
        <f>(1+Y49/365)^365-1</f>
        <v>2.5314242726610869E-2</v>
      </c>
      <c r="AB49" s="14" t="s">
        <v>15</v>
      </c>
      <c r="AC49" s="33">
        <f>((1+$AI49)^(AC42/365)-1)*365/AC42</f>
        <v>2.5005137572765568E-2</v>
      </c>
      <c r="AD49" s="33">
        <f t="shared" ref="AD49:AG49" si="59">((1+$AI49)^(AD42/365)-1)*365/AD42</f>
        <v>2.5011133186924366E-2</v>
      </c>
      <c r="AE49" s="33">
        <f t="shared" si="59"/>
        <v>2.5024844646748073E-2</v>
      </c>
      <c r="AF49" s="33">
        <f t="shared" si="59"/>
        <v>2.5050580654265259E-2</v>
      </c>
      <c r="AG49" s="33">
        <f t="shared" si="59"/>
        <v>2.5076351951623117E-2</v>
      </c>
      <c r="AH49" s="22">
        <v>2.5000000000000001E-2</v>
      </c>
      <c r="AI49" s="33">
        <f t="shared" si="54"/>
        <v>2.5314242726610869E-2</v>
      </c>
      <c r="AK49" s="14" t="s">
        <v>17</v>
      </c>
      <c r="AL49" s="22">
        <v>3.7499999999999999E-2</v>
      </c>
      <c r="AM49" s="33">
        <f>((1+AR49)^(AM42/365)-1)*365/AM42</f>
        <v>2.8114065879042336E-2</v>
      </c>
      <c r="AN49" s="22">
        <v>5.4800000000000001E-2</v>
      </c>
      <c r="AO49" s="33">
        <f>((1+$AR49)^(AO42/365)-1)*365/AO42</f>
        <v>2.8163912885332154E-2</v>
      </c>
      <c r="AP49" s="33">
        <f>((1+$AR49)^(AP42/365)-1)*365/AP42</f>
        <v>2.8196485282603719E-2</v>
      </c>
      <c r="AQ49" s="22">
        <v>2.81E-2</v>
      </c>
      <c r="AR49" s="33">
        <f>(1+AQ49/365)^365-1</f>
        <v>2.8497416706523726E-2</v>
      </c>
    </row>
    <row r="50" spans="1:53" x14ac:dyDescent="0.35">
      <c r="A50" s="14"/>
      <c r="B50" s="34"/>
      <c r="C50" s="33">
        <f>C51*365/C42</f>
        <v>3.0216247184851448E-2</v>
      </c>
      <c r="D50" s="34"/>
      <c r="E50" s="33">
        <f>E51*365/E42</f>
        <v>3.0273830874697632E-2</v>
      </c>
      <c r="F50" s="33">
        <f>F51*365/F42</f>
        <v>3.0311464275388368E-2</v>
      </c>
      <c r="G50" s="15"/>
      <c r="H50" s="34"/>
      <c r="J50" s="14"/>
      <c r="K50" s="10"/>
      <c r="L50" s="33">
        <f>L51*365/L42</f>
        <v>3.2018242012937716E-2</v>
      </c>
      <c r="M50" s="33"/>
      <c r="N50" s="33">
        <f>N51*365/N42</f>
        <v>3.2082902098360046E-2</v>
      </c>
      <c r="O50" s="33">
        <f>O51*365/O42</f>
        <v>3.2940608077070041E-2</v>
      </c>
      <c r="P50" s="10"/>
      <c r="Q50" s="10"/>
      <c r="S50" s="14"/>
      <c r="T50" s="10"/>
      <c r="U50" s="10"/>
      <c r="V50" s="10"/>
      <c r="W50" s="10"/>
      <c r="X50" s="10"/>
      <c r="Y50" s="10"/>
      <c r="Z50" s="10"/>
      <c r="AB50" s="14"/>
      <c r="AC50" s="10"/>
      <c r="AD50" s="10"/>
      <c r="AE50" s="10"/>
      <c r="AF50" s="10"/>
      <c r="AG50" s="10"/>
      <c r="AH50" s="10"/>
      <c r="AI50" s="34"/>
    </row>
    <row r="51" spans="1:53" x14ac:dyDescent="0.35">
      <c r="A51" s="14" t="s">
        <v>17</v>
      </c>
      <c r="B51" s="10" t="s">
        <v>31</v>
      </c>
      <c r="C51" s="33">
        <f>(1+H51)^(C42/365)-1</f>
        <v>1.1589793440764939E-3</v>
      </c>
      <c r="D51" s="10" t="s">
        <v>27</v>
      </c>
      <c r="E51" s="33">
        <f>(1+H51)^(E42/365)-1</f>
        <v>4.9765201437859119E-3</v>
      </c>
      <c r="F51" s="33">
        <f>(1+H51)^(F42/365)-1</f>
        <v>7.4740596843423379E-3</v>
      </c>
      <c r="G51" s="15">
        <v>3.0200000000000001E-2</v>
      </c>
      <c r="H51" s="33">
        <f>(1+G51/365)^365-1</f>
        <v>3.0659357866290149E-2</v>
      </c>
      <c r="J51" s="14" t="s">
        <v>17</v>
      </c>
      <c r="K51" s="22">
        <v>3.8600000000000002E-2</v>
      </c>
      <c r="L51" s="33">
        <f>(1+Q51)^(L42/365)-1</f>
        <v>1.2280969539208986E-3</v>
      </c>
      <c r="M51" s="22">
        <v>5.4800000000000001E-2</v>
      </c>
      <c r="N51" s="33">
        <f>(1+Q51)^(N42/365)-1</f>
        <v>5.273901714798912E-3</v>
      </c>
      <c r="O51" s="33">
        <f>(1+Q51)^(O42/356)-1</f>
        <v>8.1223417176337076E-3</v>
      </c>
      <c r="P51" s="22">
        <v>3.2000000000000001E-2</v>
      </c>
      <c r="Q51" s="33">
        <f>(1+P51/365)^365-1</f>
        <v>3.2516057037460744E-2</v>
      </c>
      <c r="S51" s="14" t="s">
        <v>17</v>
      </c>
      <c r="T51" s="22">
        <v>3.7600000000000001E-2</v>
      </c>
      <c r="U51" s="33">
        <f>((1+Z51)^(U42/365)-1)*365/U42</f>
        <v>3.1818014660799525E-2</v>
      </c>
      <c r="V51" s="22">
        <v>5.4800000000000001E-2</v>
      </c>
      <c r="W51" s="33">
        <f>((1+$Z51)^(W42/365)-1)*365/W42</f>
        <v>3.1881868192445817E-2</v>
      </c>
      <c r="X51" s="33">
        <f>((1+$Z51)^(X42/365)-1)*365/X42</f>
        <v>3.1923603839523036E-2</v>
      </c>
      <c r="Y51" s="22">
        <v>3.1800000000000002E-2</v>
      </c>
      <c r="Z51" s="33">
        <f>(1+Y51/365)^365-1</f>
        <v>3.230959251755694E-2</v>
      </c>
      <c r="AB51" s="14" t="s">
        <v>17</v>
      </c>
      <c r="AC51" s="22">
        <v>3.7600000000000001E-2</v>
      </c>
      <c r="AD51" s="33">
        <f>((1+AI51)^(AD42/365)-1)*365/AD42</f>
        <v>2.97157135659997E-2</v>
      </c>
      <c r="AE51" s="22">
        <v>5.4800000000000001E-2</v>
      </c>
      <c r="AF51" s="33">
        <f>((1+$AI51)^(AF42/365)-1)*365/AF42</f>
        <v>2.9771404489047876E-2</v>
      </c>
      <c r="AG51" s="33">
        <f>((1+$AI51)^(AG42/365)-1)*365/AG42</f>
        <v>2.9807799622090583E-2</v>
      </c>
      <c r="AH51" s="22">
        <v>2.9700000000000001E-2</v>
      </c>
      <c r="AI51" s="33">
        <f t="shared" si="54"/>
        <v>3.0144199258958837E-2</v>
      </c>
    </row>
    <row r="53" spans="1:53" x14ac:dyDescent="0.35">
      <c r="A53" s="24">
        <v>46082</v>
      </c>
      <c r="B53" s="16">
        <v>7</v>
      </c>
      <c r="C53" s="16">
        <v>14</v>
      </c>
      <c r="D53" s="16">
        <v>30</v>
      </c>
      <c r="E53" s="16">
        <v>60</v>
      </c>
      <c r="F53" s="16">
        <v>90</v>
      </c>
      <c r="G53" s="36" t="s">
        <v>11</v>
      </c>
      <c r="H53" s="27" t="s">
        <v>53</v>
      </c>
      <c r="J53" s="24">
        <v>46092</v>
      </c>
      <c r="K53" s="16">
        <v>7</v>
      </c>
      <c r="L53" s="16">
        <v>14</v>
      </c>
      <c r="M53" s="16">
        <v>30</v>
      </c>
      <c r="N53" s="16">
        <v>60</v>
      </c>
      <c r="O53" s="16">
        <v>90</v>
      </c>
      <c r="P53" s="16" t="s">
        <v>11</v>
      </c>
      <c r="Q53" s="16" t="s">
        <v>53</v>
      </c>
      <c r="S53" s="24">
        <v>46102</v>
      </c>
      <c r="T53" s="16">
        <v>7</v>
      </c>
      <c r="U53" s="16">
        <v>14</v>
      </c>
      <c r="V53" s="16">
        <v>30</v>
      </c>
      <c r="W53" s="16">
        <v>60</v>
      </c>
      <c r="X53" s="16">
        <v>90</v>
      </c>
      <c r="Y53" s="16" t="s">
        <v>11</v>
      </c>
      <c r="Z53" s="16" t="s">
        <v>53</v>
      </c>
      <c r="AB53" s="24">
        <v>46112</v>
      </c>
      <c r="AC53" s="16">
        <v>7</v>
      </c>
      <c r="AD53" s="16">
        <v>14</v>
      </c>
      <c r="AE53" s="16">
        <v>30</v>
      </c>
      <c r="AF53" s="16">
        <v>60</v>
      </c>
      <c r="AG53" s="16">
        <v>90</v>
      </c>
      <c r="AH53" s="16" t="s">
        <v>11</v>
      </c>
      <c r="AI53" s="16" t="s">
        <v>53</v>
      </c>
      <c r="AK53" s="24">
        <v>46122</v>
      </c>
      <c r="AL53" s="16">
        <v>7</v>
      </c>
      <c r="AM53" s="16">
        <v>14</v>
      </c>
      <c r="AN53" s="16">
        <v>30</v>
      </c>
      <c r="AO53" s="16">
        <v>60</v>
      </c>
      <c r="AP53" s="16">
        <v>90</v>
      </c>
      <c r="AQ53" s="16" t="s">
        <v>11</v>
      </c>
      <c r="AR53" s="16" t="s">
        <v>53</v>
      </c>
    </row>
    <row r="54" spans="1:53" x14ac:dyDescent="0.35">
      <c r="A54" s="14"/>
      <c r="B54" s="10"/>
      <c r="C54" s="10"/>
      <c r="D54" s="10"/>
      <c r="E54" s="10"/>
      <c r="F54" s="10"/>
      <c r="G54" s="15"/>
      <c r="H54" s="22"/>
      <c r="J54" s="14"/>
      <c r="K54" s="10"/>
      <c r="L54" s="10"/>
      <c r="M54" s="10"/>
      <c r="N54" s="10"/>
      <c r="O54" s="10"/>
      <c r="P54" s="10"/>
      <c r="Q54" s="10"/>
      <c r="S54" s="14"/>
      <c r="T54" s="10"/>
      <c r="U54" s="10"/>
      <c r="V54" s="10"/>
      <c r="W54" s="10"/>
      <c r="X54" s="10"/>
      <c r="Y54" s="10"/>
      <c r="Z54" s="10"/>
      <c r="AB54" s="14"/>
      <c r="AC54" s="10"/>
      <c r="AD54" s="10"/>
      <c r="AE54" s="10"/>
      <c r="AF54" s="10"/>
      <c r="AG54" s="10"/>
      <c r="AH54" s="10"/>
      <c r="AI54" s="10"/>
      <c r="AK54" s="14"/>
      <c r="AL54" s="10"/>
      <c r="AM54" s="10"/>
      <c r="AN54" s="10"/>
      <c r="AO54" s="10"/>
      <c r="AP54" s="10"/>
      <c r="AQ54" s="10"/>
      <c r="AR54" s="10"/>
    </row>
    <row r="55" spans="1:53" x14ac:dyDescent="0.35">
      <c r="A55" s="14"/>
      <c r="B55" s="33">
        <f>B56*(365/B53)</f>
        <v>3.1107950800242885E-2</v>
      </c>
      <c r="C55" s="33">
        <f t="shared" ref="C55:F55" si="60">C56*(365/C53)</f>
        <v>3.1117230159457634E-2</v>
      </c>
      <c r="D55" s="33">
        <f t="shared" si="60"/>
        <v>3.1138453984796123E-2</v>
      </c>
      <c r="E55" s="33">
        <f t="shared" si="60"/>
        <v>3.1178300696434381E-2</v>
      </c>
      <c r="F55" s="33">
        <f t="shared" si="60"/>
        <v>3.1218215395197816E-2</v>
      </c>
      <c r="G55" s="15"/>
      <c r="H55" s="22"/>
      <c r="J55" s="14"/>
      <c r="K55" s="33">
        <f>K56*365/K53</f>
        <v>3.0807798137726067E-2</v>
      </c>
      <c r="L55" s="33">
        <f t="shared" ref="L55:O55" si="61">L56*365/L53</f>
        <v>3.0816899292500168E-2</v>
      </c>
      <c r="M55" s="33">
        <f t="shared" si="61"/>
        <v>3.0837715396014837E-2</v>
      </c>
      <c r="N55" s="33">
        <f t="shared" si="61"/>
        <v>3.087679613673544E-2</v>
      </c>
      <c r="O55" s="33">
        <f t="shared" si="61"/>
        <v>3.0915942913661267E-2</v>
      </c>
      <c r="P55" s="10"/>
      <c r="Q55" s="10"/>
      <c r="S55" s="14" t="s">
        <v>12</v>
      </c>
      <c r="T55" s="33">
        <f>((1+$Z55)^(T53/365)-1)*365/T53</f>
        <v>2.9006913244151722E-2</v>
      </c>
      <c r="U55" s="33">
        <f t="shared" ref="U55:X55" si="62">((1+$Z55)^(U53/365)-1)*365/U53</f>
        <v>2.9014981473073194E-2</v>
      </c>
      <c r="V55" s="33">
        <f t="shared" si="62"/>
        <v>2.9033434377282046E-2</v>
      </c>
      <c r="W55" s="33">
        <f t="shared" si="62"/>
        <v>2.906807575995744E-2</v>
      </c>
      <c r="X55" s="33">
        <f t="shared" si="62"/>
        <v>2.9102772252675557E-2</v>
      </c>
      <c r="Y55" s="22">
        <v>2.9000000000000001E-2</v>
      </c>
      <c r="Z55" s="33">
        <f>(1+Y55/365)^365-1</f>
        <v>2.9423408585072197E-2</v>
      </c>
      <c r="AB55" s="14"/>
      <c r="AC55" s="10"/>
      <c r="AD55" s="10"/>
      <c r="AE55" s="10"/>
      <c r="AF55" s="10"/>
      <c r="AG55" s="10"/>
      <c r="AH55" s="10"/>
      <c r="AI55" s="10"/>
      <c r="AK55" s="14" t="s">
        <v>12</v>
      </c>
      <c r="AL55" s="33">
        <f>((1+$AR55)^(AL53/365)-1)*365/AL53</f>
        <v>2.6805904064948365E-2</v>
      </c>
      <c r="AM55" s="33">
        <f t="shared" ref="AM55:AP55" si="63">((1+$AR55)^(AM53/365)-1)*365/AM53</f>
        <v>2.6812794332687431E-2</v>
      </c>
      <c r="AN55" s="33">
        <f t="shared" si="63"/>
        <v>2.6828552385075605E-2</v>
      </c>
      <c r="AO55" s="33">
        <f t="shared" si="63"/>
        <v>2.6858132024380182E-2</v>
      </c>
      <c r="AP55" s="33">
        <f t="shared" si="63"/>
        <v>2.68877551474602E-2</v>
      </c>
      <c r="AQ55" s="22">
        <v>2.6800000000000001E-2</v>
      </c>
      <c r="AR55" s="33">
        <f>(1+AQ55/365)^365-1</f>
        <v>2.7161339183711553E-2</v>
      </c>
    </row>
    <row r="56" spans="1:53" x14ac:dyDescent="0.35">
      <c r="A56" s="14" t="s">
        <v>12</v>
      </c>
      <c r="B56" s="33">
        <f>(1+$H56)^(B53/365)-1</f>
        <v>5.9659083726493201E-4</v>
      </c>
      <c r="C56" s="33">
        <f>(1+$H56)^(C53/365)-1</f>
        <v>1.1935375951572791E-3</v>
      </c>
      <c r="D56" s="33">
        <f>(1+$H56)^(D53/365)-1</f>
        <v>2.5593249850517363E-3</v>
      </c>
      <c r="E56" s="33">
        <f>(1+$H56)^(E53/365)-1</f>
        <v>5.1252001144823645E-3</v>
      </c>
      <c r="F56" s="33">
        <f>(1+$H56)^(F53/365)-1</f>
        <v>7.697642152240558E-3</v>
      </c>
      <c r="G56" s="15">
        <v>3.1099999999999999E-2</v>
      </c>
      <c r="H56" s="33">
        <f>(1+G56/365)^365-1</f>
        <v>3.1587290874597329E-2</v>
      </c>
      <c r="J56" s="14" t="s">
        <v>12</v>
      </c>
      <c r="K56" s="33">
        <f>(1+$Q56)^(K53/365)-1</f>
        <v>5.9083448483310264E-4</v>
      </c>
      <c r="L56" s="33">
        <f>(1+$Q56)^(L53/365)-1</f>
        <v>1.182018055054801E-3</v>
      </c>
      <c r="M56" s="33">
        <f>(1+$Q56)^(M53/365)-1</f>
        <v>2.5346067448779319E-3</v>
      </c>
      <c r="N56" s="33">
        <f>(1+$Q56)^(N53/365)-1</f>
        <v>5.0756377211071957E-3</v>
      </c>
      <c r="O56" s="33">
        <f>(1+$Q56)^(O53/365)-1</f>
        <v>7.6231092115877086E-3</v>
      </c>
      <c r="P56" s="22">
        <v>3.0800000000000001E-2</v>
      </c>
      <c r="Q56" s="33">
        <f>(1+P56/365)^365-1</f>
        <v>3.127788733589032E-2</v>
      </c>
      <c r="S56" s="14"/>
      <c r="T56" s="10"/>
      <c r="U56" s="10"/>
      <c r="V56" s="10"/>
      <c r="W56" s="10"/>
      <c r="X56" s="10"/>
      <c r="Y56" s="10"/>
      <c r="Z56" s="10"/>
      <c r="AB56" s="14" t="s">
        <v>12</v>
      </c>
      <c r="AC56" s="29">
        <f>((1+$AI56)^(AC53/365)-1)*365/AC53</f>
        <v>3.0507646955369054E-2</v>
      </c>
      <c r="AD56" s="29">
        <f t="shared" ref="AD56:AG56" si="64">((1+$AI56)^(AD53/365)-1)*365/AD53</f>
        <v>3.0516571634355998E-2</v>
      </c>
      <c r="AE56" s="29">
        <f t="shared" si="64"/>
        <v>3.0536983974912595E-2</v>
      </c>
      <c r="AF56" s="29">
        <f t="shared" si="64"/>
        <v>3.0575306196430729E-2</v>
      </c>
      <c r="AG56" s="29">
        <f t="shared" si="64"/>
        <v>3.0613692540966575E-2</v>
      </c>
      <c r="AH56" s="22">
        <v>3.0499999999999999E-2</v>
      </c>
      <c r="AI56" s="33">
        <f>(1+AH56/365)^365-1</f>
        <v>3.0968576342366605E-2</v>
      </c>
      <c r="AK56" s="14" t="s">
        <v>54</v>
      </c>
      <c r="AL56" s="22">
        <v>0.03</v>
      </c>
      <c r="AM56" s="22">
        <v>3.49E-2</v>
      </c>
      <c r="AN56" s="22">
        <v>4.3999999999999997E-2</v>
      </c>
      <c r="AO56" s="22">
        <v>4.3900000000000002E-2</v>
      </c>
      <c r="AP56" s="22">
        <v>6.3899999999999998E-2</v>
      </c>
      <c r="AQ56" s="22">
        <v>3.2899999999999999E-2</v>
      </c>
      <c r="AR56" s="33">
        <f>(1+AQ56/365)^365-1</f>
        <v>3.3445657100777071E-2</v>
      </c>
    </row>
    <row r="57" spans="1:53" x14ac:dyDescent="0.35">
      <c r="A57" s="14" t="s">
        <v>54</v>
      </c>
      <c r="B57" s="22">
        <v>3.2000000000000001E-2</v>
      </c>
      <c r="C57" s="22">
        <v>3.3500000000000002E-2</v>
      </c>
      <c r="D57" s="22">
        <v>3.2000000000000001E-2</v>
      </c>
      <c r="E57" s="22">
        <v>0.05</v>
      </c>
      <c r="F57" s="22">
        <v>5.3699999999999998E-2</v>
      </c>
      <c r="G57" s="15">
        <v>3.5099999999999999E-2</v>
      </c>
      <c r="H57" s="33">
        <f>(1+G57/365)^365-1</f>
        <v>3.5721528087785392E-2</v>
      </c>
      <c r="J57" s="14" t="s">
        <v>54</v>
      </c>
      <c r="K57" s="22">
        <v>3.2000000000000001E-2</v>
      </c>
      <c r="L57" s="22">
        <v>4.0899999999999999E-2</v>
      </c>
      <c r="M57" s="22">
        <v>3.5999999999999997E-2</v>
      </c>
      <c r="N57" s="22">
        <v>4.9000000000000002E-2</v>
      </c>
      <c r="O57" s="22">
        <v>5.33E-2</v>
      </c>
      <c r="P57" s="22">
        <v>3.5400000000000001E-2</v>
      </c>
      <c r="Q57" s="33">
        <f>(1+P57/365)^365-1</f>
        <v>3.6032261144603783E-2</v>
      </c>
      <c r="S57" s="14" t="s">
        <v>54</v>
      </c>
      <c r="T57" s="22">
        <f>'Daily Data'!AT29</f>
        <v>3.4200000000000001E-2</v>
      </c>
      <c r="U57" s="22">
        <f>'Daily Data'!AU29</f>
        <v>3.4000000000000002E-2</v>
      </c>
      <c r="V57" s="22">
        <f>'Daily Data'!AV29</f>
        <v>3.49E-2</v>
      </c>
      <c r="W57" s="22">
        <f>'Daily Data'!AW29</f>
        <v>4.2999999999999997E-2</v>
      </c>
      <c r="X57" s="22">
        <f>'Daily Data'!AX29</f>
        <v>0.05</v>
      </c>
      <c r="Y57" s="22">
        <v>3.3300000000000003E-2</v>
      </c>
      <c r="Z57" s="33">
        <f>(1+Y57/365)^365-1</f>
        <v>3.3859080551566834E-2</v>
      </c>
      <c r="AB57" s="14" t="s">
        <v>54</v>
      </c>
      <c r="AC57" s="22">
        <f>'Daily Data'!AT39</f>
        <v>2.53E-2</v>
      </c>
      <c r="AD57" s="22">
        <f>'Daily Data'!AU39</f>
        <v>3.2000000000000001E-2</v>
      </c>
      <c r="AE57" s="22">
        <f>'Daily Data'!AV39</f>
        <v>0.04</v>
      </c>
      <c r="AF57" s="22">
        <f>'Daily Data'!AW39</f>
        <v>3.15E-2</v>
      </c>
      <c r="AG57" s="22">
        <f>'Daily Data'!AX39</f>
        <v>6.4899999999999999E-2</v>
      </c>
      <c r="AH57" s="22">
        <v>3.4099999999999998E-2</v>
      </c>
      <c r="AI57" s="33">
        <f>(1+AH57/365)^365-1</f>
        <v>3.4686422321102972E-2</v>
      </c>
      <c r="AK57" s="14"/>
      <c r="AL57" s="10"/>
      <c r="AM57" s="10"/>
      <c r="AN57" s="10"/>
      <c r="AO57" s="10"/>
      <c r="AP57" s="10"/>
      <c r="AQ57" s="10"/>
      <c r="AR57" s="10"/>
    </row>
    <row r="58" spans="1:53" x14ac:dyDescent="0.35">
      <c r="A58" s="14"/>
      <c r="B58" s="22"/>
      <c r="C58" s="22"/>
      <c r="D58" s="22"/>
      <c r="E58" s="22"/>
      <c r="F58" s="22"/>
      <c r="G58" s="15"/>
      <c r="H58" s="34"/>
      <c r="J58" s="14"/>
      <c r="K58" s="26"/>
      <c r="L58" s="10"/>
      <c r="M58" s="10"/>
      <c r="N58" s="10"/>
      <c r="O58" s="10"/>
      <c r="P58" s="10"/>
      <c r="Q58" s="10"/>
      <c r="S58" s="14"/>
      <c r="T58" s="10"/>
      <c r="U58" s="10"/>
      <c r="V58" s="10"/>
      <c r="W58" s="10"/>
      <c r="X58" s="10"/>
      <c r="Y58" s="10"/>
      <c r="Z58" s="10"/>
      <c r="AB58" s="14"/>
      <c r="AC58" s="10"/>
      <c r="AD58" s="10"/>
      <c r="AE58" s="10"/>
      <c r="AF58" s="10"/>
      <c r="AG58" s="10"/>
      <c r="AH58" s="10"/>
      <c r="AI58" s="15"/>
      <c r="AK58" s="14" t="s">
        <v>15</v>
      </c>
      <c r="AL58" s="33">
        <f>((1+$AR58)^(AL53/365)-1)*365/AL53</f>
        <v>2.5005137572765568E-2</v>
      </c>
      <c r="AM58" s="33">
        <f t="shared" ref="AM58:AP58" si="65">((1+$AR58)^(AM53/365)-1)*365/AM53</f>
        <v>2.5011133186924366E-2</v>
      </c>
      <c r="AN58" s="33">
        <f t="shared" si="65"/>
        <v>2.5024844646748073E-2</v>
      </c>
      <c r="AO58" s="33">
        <f t="shared" si="65"/>
        <v>2.5050580654265259E-2</v>
      </c>
      <c r="AP58" s="33">
        <f t="shared" si="65"/>
        <v>2.5076351951623117E-2</v>
      </c>
      <c r="AQ58" s="22">
        <v>2.5000000000000001E-2</v>
      </c>
      <c r="AR58" s="33">
        <f>(1+AQ58/365)^365-1</f>
        <v>2.5314242726610869E-2</v>
      </c>
    </row>
    <row r="59" spans="1:53" x14ac:dyDescent="0.35">
      <c r="A59" s="14"/>
      <c r="B59" s="33">
        <f>B60*(365/B53)</f>
        <v>2.5005137572765568E-2</v>
      </c>
      <c r="C59" s="33">
        <f t="shared" ref="C59:F59" si="66">C60*(365/C53)</f>
        <v>2.501113318692437E-2</v>
      </c>
      <c r="D59" s="33">
        <f t="shared" si="66"/>
        <v>2.5024844646748069E-2</v>
      </c>
      <c r="E59" s="33">
        <f t="shared" si="66"/>
        <v>2.5050580654265259E-2</v>
      </c>
      <c r="F59" s="33">
        <f t="shared" si="66"/>
        <v>2.5076351951623114E-2</v>
      </c>
      <c r="G59" s="15"/>
      <c r="H59" s="34"/>
      <c r="J59" s="14"/>
      <c r="K59" s="33">
        <f>K60*365/K53</f>
        <v>2.5005137572765568E-2</v>
      </c>
      <c r="L59" s="33">
        <f t="shared" ref="L59:O59" si="67">L60*365/L53</f>
        <v>2.5011133186924366E-2</v>
      </c>
      <c r="M59" s="33">
        <f t="shared" si="67"/>
        <v>2.5024844646748073E-2</v>
      </c>
      <c r="N59" s="33">
        <f t="shared" si="67"/>
        <v>2.5050580654265259E-2</v>
      </c>
      <c r="O59" s="33">
        <f t="shared" si="67"/>
        <v>2.5076351951623117E-2</v>
      </c>
      <c r="P59" s="10"/>
      <c r="Q59" s="10"/>
      <c r="S59" s="14"/>
      <c r="T59" s="10"/>
      <c r="U59" s="10"/>
      <c r="V59" s="10"/>
      <c r="W59" s="10"/>
      <c r="X59" s="10"/>
      <c r="Y59" s="10"/>
      <c r="Z59" s="10"/>
      <c r="AB59" s="14"/>
      <c r="AC59" s="10"/>
      <c r="AD59" s="10"/>
      <c r="AE59" s="10"/>
      <c r="AF59" s="10"/>
      <c r="AG59" s="10"/>
      <c r="AH59" s="10"/>
      <c r="AI59" s="15"/>
      <c r="AK59" s="14"/>
      <c r="AL59" s="10"/>
      <c r="AM59" s="10"/>
      <c r="AN59" s="10"/>
      <c r="AO59" s="10"/>
      <c r="AP59" s="10"/>
      <c r="AQ59" s="10"/>
      <c r="AR59" s="10"/>
    </row>
    <row r="60" spans="1:53" x14ac:dyDescent="0.35">
      <c r="A60" s="14" t="s">
        <v>15</v>
      </c>
      <c r="B60" s="33">
        <f>(1+$H60)^(B53/365)-1</f>
        <v>4.7955058358728486E-4</v>
      </c>
      <c r="C60" s="33">
        <f>(1+$H60)^(C53/365)-1</f>
        <v>9.5933113593682506E-4</v>
      </c>
      <c r="D60" s="33">
        <f>(1+$H60)^(D53/365)-1</f>
        <v>2.0568365463080607E-3</v>
      </c>
      <c r="E60" s="33">
        <f>(1+$H60)^(E53/365)-1</f>
        <v>4.1179036691942894E-3</v>
      </c>
      <c r="F60" s="33">
        <f>(1+$H60)^(F53/365)-1</f>
        <v>6.1832100702632342E-3</v>
      </c>
      <c r="G60" s="15">
        <v>2.5000000000000001E-2</v>
      </c>
      <c r="H60" s="33">
        <f>(1+G60/365)^365-1</f>
        <v>2.5314242726610869E-2</v>
      </c>
      <c r="J60" s="14" t="s">
        <v>15</v>
      </c>
      <c r="K60" s="33">
        <f>(1+$Q60)^(K53/365)-1</f>
        <v>4.7955058358728486E-4</v>
      </c>
      <c r="L60" s="33">
        <f>(1+$Q60)^(L53/365)-1</f>
        <v>9.5933113593682506E-4</v>
      </c>
      <c r="M60" s="33">
        <f>(1+$Q60)^(M53/365)-1</f>
        <v>2.0568365463080607E-3</v>
      </c>
      <c r="N60" s="33">
        <f>(1+$Q60)^(N53/365)-1</f>
        <v>4.1179036691942894E-3</v>
      </c>
      <c r="O60" s="33">
        <f>(1+$Q60)^(O53/365)-1</f>
        <v>6.1832100702632342E-3</v>
      </c>
      <c r="P60" s="22">
        <v>2.5000000000000001E-2</v>
      </c>
      <c r="Q60" s="33">
        <f>(1+P60/365)^365-1</f>
        <v>2.5314242726610869E-2</v>
      </c>
      <c r="S60" s="14" t="s">
        <v>15</v>
      </c>
      <c r="T60" s="33">
        <f>((1+$Z60)^(T53/365)-1)*365/T53</f>
        <v>2.5005137572765568E-2</v>
      </c>
      <c r="U60" s="33">
        <f t="shared" ref="U60:X60" si="68">((1+$Z60)^(U53/365)-1)*365/U53</f>
        <v>2.5011133186924366E-2</v>
      </c>
      <c r="V60" s="33">
        <f t="shared" si="68"/>
        <v>2.5024844646748073E-2</v>
      </c>
      <c r="W60" s="33">
        <f t="shared" si="68"/>
        <v>2.5050580654265259E-2</v>
      </c>
      <c r="X60" s="33">
        <f t="shared" si="68"/>
        <v>2.5076351951623117E-2</v>
      </c>
      <c r="Y60" s="22">
        <v>2.5000000000000001E-2</v>
      </c>
      <c r="Z60" s="33">
        <f>(1+Y60/365)^365-1</f>
        <v>2.5314242726610869E-2</v>
      </c>
      <c r="AB60" s="14" t="s">
        <v>15</v>
      </c>
      <c r="AC60" s="33">
        <f>((1+$AI60)^(AC53/365)-1)*365/AC53</f>
        <v>2.5005137572765568E-2</v>
      </c>
      <c r="AD60" s="33">
        <f t="shared" ref="AD60:AG60" si="69">((1+$AI60)^(AD53/365)-1)*365/AD53</f>
        <v>2.5011133186924366E-2</v>
      </c>
      <c r="AE60" s="33">
        <f t="shared" si="69"/>
        <v>2.5024844646748073E-2</v>
      </c>
      <c r="AF60" s="33">
        <f t="shared" si="69"/>
        <v>2.5050580654265259E-2</v>
      </c>
      <c r="AG60" s="33">
        <f t="shared" si="69"/>
        <v>2.5076351951623117E-2</v>
      </c>
      <c r="AH60" s="22">
        <v>2.5000000000000001E-2</v>
      </c>
      <c r="AI60" s="33">
        <f>(1+AH60/365)^365-1</f>
        <v>2.5314242726610869E-2</v>
      </c>
      <c r="AK60" s="14" t="s">
        <v>17</v>
      </c>
      <c r="AL60" s="22">
        <v>3.6999999999999998E-2</v>
      </c>
      <c r="AM60" s="33">
        <f>((1+AR60)^(AM53/365)-1)*365/AM53</f>
        <v>2.791386633517404E-2</v>
      </c>
      <c r="AN60" s="22">
        <v>5.4800000000000001E-2</v>
      </c>
      <c r="AO60" s="33">
        <f>((1+$AR60)^(AO53/365)-1)*365/AO53</f>
        <v>2.7963005663145801E-2</v>
      </c>
      <c r="AP60" s="33">
        <f>((1+$AR60)^(AP53/365)-1)*365/AP53</f>
        <v>2.7995115183913229E-2</v>
      </c>
      <c r="AQ60" s="22">
        <v>2.7900000000000001E-2</v>
      </c>
      <c r="AR60" s="33">
        <f>(1+AQ60/365)^365-1</f>
        <v>2.8291753567093458E-2</v>
      </c>
    </row>
    <row r="61" spans="1:53" x14ac:dyDescent="0.35">
      <c r="A61" s="14"/>
      <c r="B61" s="34"/>
      <c r="C61" s="33">
        <f>C62*(365/C53)</f>
        <v>2.9815819576702877E-2</v>
      </c>
      <c r="D61" s="34"/>
      <c r="E61" s="33">
        <f>E62*(365/E53)</f>
        <v>2.9871886517863155E-2</v>
      </c>
      <c r="F61" s="33">
        <f>F62*(365/F53)</f>
        <v>2.9908527640715523E-2</v>
      </c>
      <c r="G61" s="15"/>
      <c r="H61" s="34"/>
      <c r="J61" s="14"/>
      <c r="K61" s="10"/>
      <c r="L61" s="33">
        <f>L62*365/L53</f>
        <v>3.1517676306815581E-2</v>
      </c>
      <c r="M61" s="10"/>
      <c r="N61" s="33">
        <f>N62*365/N53</f>
        <v>3.1580329518414073E-2</v>
      </c>
      <c r="O61" s="33">
        <f>O62*365/O53</f>
        <v>3.1621279764769708E-2</v>
      </c>
      <c r="P61" s="10"/>
      <c r="Q61" s="10"/>
      <c r="S61" s="14"/>
      <c r="T61" s="10"/>
      <c r="U61" s="10"/>
      <c r="V61" s="10"/>
      <c r="W61" s="10"/>
      <c r="X61" s="10"/>
      <c r="Y61" s="10"/>
      <c r="Z61" s="10"/>
      <c r="AB61" s="14"/>
      <c r="AC61" s="10"/>
      <c r="AD61" s="10"/>
      <c r="AE61" s="10"/>
      <c r="AF61" s="10"/>
      <c r="AG61" s="10"/>
      <c r="AH61" s="10"/>
      <c r="AI61" s="15"/>
    </row>
    <row r="62" spans="1:53" x14ac:dyDescent="0.35">
      <c r="A62" s="14" t="s">
        <v>17</v>
      </c>
      <c r="B62" s="22">
        <v>3.9600000000000003E-2</v>
      </c>
      <c r="C62" s="33">
        <f>(1+H62)^(C53/365)-1</f>
        <v>1.1436204769146308E-3</v>
      </c>
      <c r="D62" s="22">
        <v>5.4800000000000001E-2</v>
      </c>
      <c r="E62" s="33">
        <f>(1+H62)^(E53/365)-1</f>
        <v>4.9104470988268201E-3</v>
      </c>
      <c r="F62" s="33">
        <f>(1+H62)^(F53/365)-1</f>
        <v>7.3747054456558825E-3</v>
      </c>
      <c r="G62" s="15">
        <v>2.98E-2</v>
      </c>
      <c r="H62" s="33">
        <f>(1+G62/365)^365-1</f>
        <v>3.0247210433201888E-2</v>
      </c>
      <c r="J62" s="14" t="s">
        <v>17</v>
      </c>
      <c r="K62" s="22">
        <v>3.8600000000000002E-2</v>
      </c>
      <c r="L62" s="33">
        <f>(1+Q62)^(L53/365)-1</f>
        <v>1.2088971734121046E-3</v>
      </c>
      <c r="M62" s="22">
        <v>5.4800000000000001E-2</v>
      </c>
      <c r="N62" s="33">
        <f>(1+$Q62)^(N53/365)-1</f>
        <v>5.1912870441228609E-3</v>
      </c>
      <c r="O62" s="33">
        <f>(1+$Q62)^(O53/365)-1</f>
        <v>7.7970278872034893E-3</v>
      </c>
      <c r="P62" s="22">
        <v>3.15E-2</v>
      </c>
      <c r="Q62" s="33">
        <f>(1+P62/365)^365-1</f>
        <v>3.1999972932999388E-2</v>
      </c>
      <c r="S62" s="14" t="s">
        <v>17</v>
      </c>
      <c r="T62" s="20">
        <v>3.7600000000000001E-2</v>
      </c>
      <c r="U62" s="33">
        <f>((1+Z62)^(U53/365)-1)*365/U53</f>
        <v>2.861457097742421E-2</v>
      </c>
      <c r="V62" s="20">
        <v>5.4800000000000001E-2</v>
      </c>
      <c r="W62" s="33">
        <f>((1+Z62)^(W53/365)-1)*365/W53</f>
        <v>2.8666209355555194E-2</v>
      </c>
      <c r="X62" s="33">
        <f>((1+Z62)^(X53/365)-1)*365/X53</f>
        <v>2.8699953491705399E-2</v>
      </c>
      <c r="Y62" s="22">
        <v>2.86E-2</v>
      </c>
      <c r="Z62" s="33">
        <f>(1+Y62/365)^365-1</f>
        <v>2.9011754039298232E-2</v>
      </c>
      <c r="AB62" s="14" t="s">
        <v>17</v>
      </c>
      <c r="AC62" s="22">
        <v>3.7600000000000001E-2</v>
      </c>
      <c r="AD62" s="33">
        <f>((1+AI62)^(AD53/365)-1)*365/AD53</f>
        <v>3.1117230159457634E-2</v>
      </c>
      <c r="AE62" s="22">
        <v>5.4800000000000001E-2</v>
      </c>
      <c r="AF62" s="33">
        <f>((1+$AI62)^(AF53/365)-1)*365/AF53</f>
        <v>3.1178300696434385E-2</v>
      </c>
      <c r="AG62" s="33">
        <f>((1+$AI62)^(AG53/365)-1)*365/AG53</f>
        <v>3.1218215395197819E-2</v>
      </c>
      <c r="AH62" s="22">
        <v>3.1099999999999999E-2</v>
      </c>
      <c r="AI62" s="33">
        <f>(1+AH62/365)^365-1</f>
        <v>3.1587290874597329E-2</v>
      </c>
      <c r="AK62" s="24">
        <v>46123</v>
      </c>
      <c r="AL62" s="16">
        <v>7</v>
      </c>
      <c r="AM62" s="16">
        <v>14</v>
      </c>
      <c r="AN62" s="16">
        <v>30</v>
      </c>
      <c r="AO62" s="16">
        <v>60</v>
      </c>
      <c r="AP62" s="16">
        <v>90</v>
      </c>
      <c r="AQ62" s="16" t="s">
        <v>11</v>
      </c>
      <c r="AR62" s="16" t="s">
        <v>53</v>
      </c>
      <c r="AT62" s="24">
        <v>46128</v>
      </c>
      <c r="AU62" s="16">
        <v>7</v>
      </c>
      <c r="AV62" s="16">
        <v>14</v>
      </c>
      <c r="AW62" s="16">
        <v>30</v>
      </c>
      <c r="AX62" s="16">
        <v>60</v>
      </c>
      <c r="AY62" s="16">
        <v>90</v>
      </c>
      <c r="AZ62" s="16" t="s">
        <v>11</v>
      </c>
      <c r="BA62" s="16" t="s">
        <v>53</v>
      </c>
    </row>
    <row r="63" spans="1:53" x14ac:dyDescent="0.35">
      <c r="AK63" s="14"/>
      <c r="AL63" s="10"/>
      <c r="AM63" s="10"/>
      <c r="AN63" s="10"/>
      <c r="AO63" s="10"/>
      <c r="AP63" s="10"/>
      <c r="AQ63" s="10"/>
      <c r="AR63" s="10"/>
      <c r="AT63" s="14"/>
      <c r="AU63" s="10"/>
      <c r="AV63" s="10"/>
      <c r="AW63" s="10"/>
      <c r="AX63" s="10"/>
      <c r="AY63" s="10"/>
      <c r="AZ63" s="10"/>
      <c r="BA63" s="10"/>
    </row>
    <row r="64" spans="1:53" x14ac:dyDescent="0.35">
      <c r="A64" s="24">
        <v>46083</v>
      </c>
      <c r="B64" s="16">
        <v>7</v>
      </c>
      <c r="C64" s="16">
        <v>14</v>
      </c>
      <c r="D64" s="16">
        <v>30</v>
      </c>
      <c r="E64" s="16">
        <v>60</v>
      </c>
      <c r="F64" s="16">
        <v>90</v>
      </c>
      <c r="G64" s="36" t="s">
        <v>11</v>
      </c>
      <c r="H64" s="27" t="s">
        <v>53</v>
      </c>
      <c r="J64" s="24">
        <v>46093</v>
      </c>
      <c r="K64" s="16">
        <v>7</v>
      </c>
      <c r="L64" s="16">
        <v>14</v>
      </c>
      <c r="M64" s="16">
        <v>30</v>
      </c>
      <c r="N64" s="16">
        <v>60</v>
      </c>
      <c r="O64" s="16">
        <v>90</v>
      </c>
      <c r="P64" s="16" t="s">
        <v>11</v>
      </c>
      <c r="Q64" s="16" t="s">
        <v>53</v>
      </c>
      <c r="S64" s="24">
        <v>46103</v>
      </c>
      <c r="T64" s="16">
        <v>7</v>
      </c>
      <c r="U64" s="16">
        <v>14</v>
      </c>
      <c r="V64" s="16">
        <v>30</v>
      </c>
      <c r="W64" s="16">
        <v>60</v>
      </c>
      <c r="X64" s="16">
        <v>90</v>
      </c>
      <c r="Y64" s="16" t="s">
        <v>11</v>
      </c>
      <c r="Z64" s="16" t="s">
        <v>53</v>
      </c>
      <c r="AB64" s="24">
        <v>46113</v>
      </c>
      <c r="AC64" s="16">
        <v>7</v>
      </c>
      <c r="AD64" s="16">
        <v>14</v>
      </c>
      <c r="AE64" s="16">
        <v>30</v>
      </c>
      <c r="AF64" s="16">
        <v>60</v>
      </c>
      <c r="AG64" s="16">
        <v>90</v>
      </c>
      <c r="AH64" s="16" t="s">
        <v>11</v>
      </c>
      <c r="AI64" s="16" t="s">
        <v>53</v>
      </c>
      <c r="AK64" s="14" t="s">
        <v>12</v>
      </c>
      <c r="AL64" s="33">
        <f>((1+$AR64)^(AL62/365)-1)*365/AL62</f>
        <v>2.6405729129006201E-2</v>
      </c>
      <c r="AM64" s="33">
        <f t="shared" ref="AM64:AP64" si="70">((1+$AR64)^(AM62/365)-1)*365/AM62</f>
        <v>2.6412415208068109E-2</v>
      </c>
      <c r="AN64" s="33">
        <f t="shared" si="70"/>
        <v>2.6427706152159319E-2</v>
      </c>
      <c r="AO64" s="33">
        <f t="shared" si="70"/>
        <v>2.6456408494041721E-2</v>
      </c>
      <c r="AP64" s="33">
        <f t="shared" si="70"/>
        <v>2.648515239959881E-2</v>
      </c>
      <c r="AQ64" s="22">
        <v>2.64E-2</v>
      </c>
      <c r="AR64" s="33">
        <f>(1+AQ64/365)^365-1</f>
        <v>2.6750586738331306E-2</v>
      </c>
      <c r="AT64" s="14" t="s">
        <v>12</v>
      </c>
      <c r="AU64" s="33">
        <f>((1+$BA64)^(AU62/365)-1)*365/AU62</f>
        <v>2.7406171402247135E-2</v>
      </c>
      <c r="AV64" s="33">
        <f t="shared" ref="AV64:AY64" si="71">((1+$BA64)^(AV62/365)-1)*365/AV62</f>
        <v>2.7413373714052343E-2</v>
      </c>
      <c r="AW64" s="33">
        <f t="shared" si="71"/>
        <v>2.7429845619310389E-2</v>
      </c>
      <c r="AX64" s="33">
        <f t="shared" si="71"/>
        <v>2.7460766020571663E-2</v>
      </c>
      <c r="AY64" s="33">
        <f t="shared" si="71"/>
        <v>2.7491732895357952E-2</v>
      </c>
      <c r="AZ64" s="22">
        <v>2.7400000000000001E-2</v>
      </c>
      <c r="BA64" s="33">
        <f>(1+AZ64/365)^365-1</f>
        <v>2.7777775131269555E-2</v>
      </c>
    </row>
    <row r="65" spans="1:53" x14ac:dyDescent="0.35">
      <c r="A65" s="14"/>
      <c r="B65" s="33">
        <f>B66*(365/B64)</f>
        <v>3.1308053397499487E-2</v>
      </c>
      <c r="C65" s="33">
        <f t="shared" ref="C65:F65" si="72">C66*(365/C64)</f>
        <v>3.1317452520042227E-2</v>
      </c>
      <c r="D65" s="33">
        <f t="shared" si="72"/>
        <v>3.13389503593711E-2</v>
      </c>
      <c r="E65" s="33">
        <f t="shared" si="72"/>
        <v>3.137931185839702E-2</v>
      </c>
      <c r="F65" s="33">
        <f t="shared" si="72"/>
        <v>3.1419742666299495E-2</v>
      </c>
      <c r="G65" s="15"/>
      <c r="H65" s="22"/>
      <c r="J65" s="14"/>
      <c r="K65" s="33">
        <f>K66*365/K64</f>
        <v>3.1308053397499487E-2</v>
      </c>
      <c r="L65" s="33">
        <f t="shared" ref="L65:O65" si="73">L66*365/L64</f>
        <v>3.131745252004222E-2</v>
      </c>
      <c r="M65" s="33">
        <f t="shared" si="73"/>
        <v>3.13389503593711E-2</v>
      </c>
      <c r="N65" s="33">
        <f t="shared" si="73"/>
        <v>3.137931185839702E-2</v>
      </c>
      <c r="O65" s="33">
        <f t="shared" si="73"/>
        <v>3.1419742666299495E-2</v>
      </c>
      <c r="P65" s="10"/>
      <c r="Q65" s="10"/>
      <c r="S65" s="14"/>
      <c r="T65" s="10"/>
      <c r="U65" s="10"/>
      <c r="V65" s="10"/>
      <c r="W65" s="10"/>
      <c r="X65" s="10"/>
      <c r="Y65" s="10"/>
      <c r="Z65" s="10"/>
      <c r="AB65" s="14"/>
      <c r="AC65" s="10"/>
      <c r="AD65" s="10"/>
      <c r="AE65" s="10"/>
      <c r="AF65" s="10"/>
      <c r="AG65" s="10"/>
      <c r="AH65" s="10"/>
      <c r="AI65" s="10"/>
      <c r="AK65" s="14" t="s">
        <v>54</v>
      </c>
      <c r="AL65" s="22">
        <v>2.9899999999999999E-2</v>
      </c>
      <c r="AM65" s="22">
        <v>3.44E-2</v>
      </c>
      <c r="AN65" s="22">
        <v>3.49E-2</v>
      </c>
      <c r="AO65" s="22">
        <v>4.3799999999999999E-2</v>
      </c>
      <c r="AP65" s="22">
        <v>0.05</v>
      </c>
      <c r="AQ65" s="22">
        <v>3.2800000000000003E-2</v>
      </c>
      <c r="AR65" s="33">
        <f>(1+AQ65/365)^365-1</f>
        <v>3.334232700144435E-2</v>
      </c>
      <c r="AT65" s="14" t="s">
        <v>54</v>
      </c>
      <c r="AU65" s="22">
        <v>0.03</v>
      </c>
      <c r="AV65" s="22">
        <v>3.2000000000000001E-2</v>
      </c>
      <c r="AW65" s="22">
        <v>4.2900000000000001E-2</v>
      </c>
      <c r="AX65" s="22">
        <v>4.3499999999999997E-2</v>
      </c>
      <c r="AY65" s="22">
        <v>6.4899999999999999E-2</v>
      </c>
      <c r="AZ65" s="22">
        <v>3.2899999999999999E-2</v>
      </c>
      <c r="BA65" s="33">
        <f>(1+AZ65/365)^365-1</f>
        <v>3.3445657100777071E-2</v>
      </c>
    </row>
    <row r="66" spans="1:53" x14ac:dyDescent="0.35">
      <c r="A66" s="14" t="s">
        <v>12</v>
      </c>
      <c r="B66" s="33">
        <f>(1+$H66)^(B64/365)-1</f>
        <v>6.0042842132190799E-4</v>
      </c>
      <c r="C66" s="33">
        <f>(1+$H66)^(C64/365)-1</f>
        <v>1.2012173569331264E-3</v>
      </c>
      <c r="D66" s="33">
        <f>(1+$H66)^(D64/365)-1</f>
        <v>2.5758041391263919E-3</v>
      </c>
      <c r="E66" s="33">
        <f>(1+$H66)^(E64/365)-1</f>
        <v>5.1582430452159489E-3</v>
      </c>
      <c r="F66" s="33">
        <f>(1+$H66)^(F64/365)-1</f>
        <v>7.7473338081286425E-3</v>
      </c>
      <c r="G66" s="15">
        <v>3.1300000000000001E-2</v>
      </c>
      <c r="H66" s="33">
        <f>(1+G66/365)^365-1</f>
        <v>3.1793611327958216E-2</v>
      </c>
      <c r="J66" s="14" t="s">
        <v>12</v>
      </c>
      <c r="K66" s="33">
        <f>(1+$Q66)^(K64/365)-1</f>
        <v>6.0042842132190799E-4</v>
      </c>
      <c r="L66" s="33">
        <f>(1+$Q66)^(L64/365)-1</f>
        <v>1.2012173569331264E-3</v>
      </c>
      <c r="M66" s="33">
        <f>(1+$Q66)^(M64/365)-1</f>
        <v>2.5758041391263919E-3</v>
      </c>
      <c r="N66" s="33">
        <f>(1+$Q66)^(N64/365)-1</f>
        <v>5.1582430452159489E-3</v>
      </c>
      <c r="O66" s="33">
        <f>(1+$Q66)^(O64/365)-1</f>
        <v>7.7473338081286425E-3</v>
      </c>
      <c r="P66" s="22">
        <v>3.1300000000000001E-2</v>
      </c>
      <c r="Q66" s="33">
        <f>(1+P66/365)^365-1</f>
        <v>3.1793611327958216E-2</v>
      </c>
      <c r="S66" s="14" t="s">
        <v>12</v>
      </c>
      <c r="T66" s="33">
        <f>((1+$Z66)^(T64/365)-1)*365/T64</f>
        <v>2.8306583508236022E-2</v>
      </c>
      <c r="U66" s="33">
        <f t="shared" ref="U66:X66" si="74">((1+$Z66)^(U64/365)-1)*365/U64</f>
        <v>2.8314266848908365E-2</v>
      </c>
      <c r="V66" s="33">
        <f t="shared" si="74"/>
        <v>2.8331839214008798E-2</v>
      </c>
      <c r="W66" s="33">
        <f t="shared" si="74"/>
        <v>2.8364826602223003E-2</v>
      </c>
      <c r="X66" s="33">
        <f t="shared" si="74"/>
        <v>2.8397865201035391E-2</v>
      </c>
      <c r="Y66" s="22">
        <v>2.8299999999999999E-2</v>
      </c>
      <c r="Z66" s="33">
        <f>(1+Y66/365)^365-1</f>
        <v>2.8703120866840903E-2</v>
      </c>
      <c r="AB66" s="14" t="s">
        <v>12</v>
      </c>
      <c r="AC66" s="33">
        <f>((1+$AI66)^(AC64/365)-1)*365/AC64</f>
        <v>3.0507646955369054E-2</v>
      </c>
      <c r="AD66" s="33">
        <f t="shared" ref="AD66:AG66" si="75">((1+$AI66)^(AD64/365)-1)*365/AD64</f>
        <v>3.0516571634355998E-2</v>
      </c>
      <c r="AE66" s="33">
        <f t="shared" si="75"/>
        <v>3.0536983974912595E-2</v>
      </c>
      <c r="AF66" s="33">
        <f t="shared" si="75"/>
        <v>3.0575306196430729E-2</v>
      </c>
      <c r="AG66" s="33">
        <f t="shared" si="75"/>
        <v>3.0613692540966575E-2</v>
      </c>
      <c r="AH66" s="22">
        <v>3.0499999999999999E-2</v>
      </c>
      <c r="AI66" s="33">
        <f>(1+AH66/365)^365-1</f>
        <v>3.0968576342366605E-2</v>
      </c>
      <c r="AK66" s="14"/>
      <c r="AL66" s="10"/>
      <c r="AM66" s="10"/>
      <c r="AN66" s="10"/>
      <c r="AO66" s="10"/>
      <c r="AP66" s="10"/>
      <c r="AQ66" s="10"/>
      <c r="AR66" s="10"/>
      <c r="AT66" s="14"/>
      <c r="AU66" s="10"/>
      <c r="AV66" s="10"/>
      <c r="AW66" s="10"/>
      <c r="AX66" s="10"/>
      <c r="AY66" s="10"/>
      <c r="AZ66" s="10"/>
      <c r="BA66" s="10"/>
    </row>
    <row r="67" spans="1:53" x14ac:dyDescent="0.35">
      <c r="A67" s="14" t="s">
        <v>54</v>
      </c>
      <c r="B67" s="22">
        <v>3.3000000000000002E-2</v>
      </c>
      <c r="C67" s="22">
        <v>3.3000000000000002E-2</v>
      </c>
      <c r="D67" s="22">
        <v>4.2999999999999997E-2</v>
      </c>
      <c r="E67" s="22">
        <v>4.99E-2</v>
      </c>
      <c r="F67" s="22">
        <v>5.4899999999999997E-2</v>
      </c>
      <c r="G67" s="15">
        <v>3.4700000000000002E-2</v>
      </c>
      <c r="H67" s="33">
        <f>(1+G67/365)^365-1</f>
        <v>3.5307361916328883E-2</v>
      </c>
      <c r="J67" s="14" t="s">
        <v>54</v>
      </c>
      <c r="K67" s="22">
        <v>3.2000000000000001E-2</v>
      </c>
      <c r="L67" s="22">
        <v>4.0899999999999999E-2</v>
      </c>
      <c r="M67" s="22">
        <v>3.1E-2</v>
      </c>
      <c r="N67" s="22">
        <v>0.05</v>
      </c>
      <c r="O67" s="22">
        <v>5.33E-2</v>
      </c>
      <c r="P67" s="22">
        <v>3.5299999999999998E-2</v>
      </c>
      <c r="Q67" s="33">
        <f>(1+P67/365)^365-1</f>
        <v>3.5928673130481092E-2</v>
      </c>
      <c r="S67" s="14" t="s">
        <v>54</v>
      </c>
      <c r="T67" s="22">
        <f>'Daily Data'!AT30</f>
        <v>3.1E-2</v>
      </c>
      <c r="U67" s="22">
        <f>'Daily Data'!AU30</f>
        <v>3.9399999999999998E-2</v>
      </c>
      <c r="V67" s="22">
        <f>'Daily Data'!AV30</f>
        <v>3.49E-2</v>
      </c>
      <c r="W67" s="22">
        <f>'Daily Data'!AW30</f>
        <v>4.3999999999999997E-2</v>
      </c>
      <c r="X67" s="22">
        <f>'Daily Data'!AX30</f>
        <v>0.05</v>
      </c>
      <c r="Y67" s="22">
        <v>3.3300000000000003E-2</v>
      </c>
      <c r="Z67" s="33">
        <f>(1+Y67/365)^365-1</f>
        <v>3.3859080551566834E-2</v>
      </c>
      <c r="AB67" s="14" t="s">
        <v>54</v>
      </c>
      <c r="AC67" s="22">
        <v>4.2999999999999997E-2</v>
      </c>
      <c r="AD67" s="22">
        <v>3.2599999999999997E-2</v>
      </c>
      <c r="AE67" s="22">
        <v>0.04</v>
      </c>
      <c r="AF67" s="22">
        <v>4.3799999999999999E-2</v>
      </c>
      <c r="AG67" s="22">
        <v>5.9900000000000002E-2</v>
      </c>
      <c r="AH67" s="22">
        <v>3.39E-2</v>
      </c>
      <c r="AI67" s="33">
        <f>(1+AH67/365)^365-1</f>
        <v>3.4479524999688094E-2</v>
      </c>
      <c r="AK67" s="14" t="s">
        <v>15</v>
      </c>
      <c r="AL67" s="33">
        <f>((1+$AR67)^(AL62/365)-1)*365/AL62</f>
        <v>2.5005137572765568E-2</v>
      </c>
      <c r="AM67" s="33">
        <f t="shared" ref="AM67:AP67" si="76">((1+$AR67)^(AM62/365)-1)*365/AM62</f>
        <v>2.5011133186924366E-2</v>
      </c>
      <c r="AN67" s="33">
        <f t="shared" si="76"/>
        <v>2.5024844646748073E-2</v>
      </c>
      <c r="AO67" s="33">
        <f t="shared" si="76"/>
        <v>2.5050580654265259E-2</v>
      </c>
      <c r="AP67" s="33">
        <f t="shared" si="76"/>
        <v>2.5076351951623117E-2</v>
      </c>
      <c r="AQ67" s="22">
        <v>2.5000000000000001E-2</v>
      </c>
      <c r="AR67" s="33">
        <f>(1+AQ67/365)^365-1</f>
        <v>2.5314242726610869E-2</v>
      </c>
      <c r="AT67" s="14" t="s">
        <v>15</v>
      </c>
      <c r="AU67" s="33">
        <f>((1+$BA67)^(AU62/365)-1)*365/AU62</f>
        <v>2.5005137572765568E-2</v>
      </c>
      <c r="AV67" s="33">
        <f t="shared" ref="AV67:AY67" si="77">((1+$BA67)^(AV62/365)-1)*365/AV62</f>
        <v>2.5011133186924366E-2</v>
      </c>
      <c r="AW67" s="33">
        <f t="shared" si="77"/>
        <v>2.5024844646748073E-2</v>
      </c>
      <c r="AX67" s="33">
        <f t="shared" si="77"/>
        <v>2.5050580654265259E-2</v>
      </c>
      <c r="AY67" s="33">
        <f t="shared" si="77"/>
        <v>2.5076351951623117E-2</v>
      </c>
      <c r="AZ67" s="22">
        <v>2.5000000000000001E-2</v>
      </c>
      <c r="BA67" s="33">
        <f>(1+AZ67/365)^365-1</f>
        <v>2.5314242726610869E-2</v>
      </c>
    </row>
    <row r="68" spans="1:53" x14ac:dyDescent="0.35">
      <c r="A68" s="14"/>
      <c r="B68" s="22"/>
      <c r="C68" s="22"/>
      <c r="D68" s="22"/>
      <c r="E68" s="22"/>
      <c r="F68" s="22"/>
      <c r="G68" s="15"/>
      <c r="H68" s="34"/>
      <c r="J68" s="14"/>
      <c r="K68" s="10"/>
      <c r="L68" s="10"/>
      <c r="M68" s="10"/>
      <c r="N68" s="10"/>
      <c r="O68" s="10"/>
      <c r="P68" s="26"/>
      <c r="Q68" s="10"/>
      <c r="S68" s="14"/>
      <c r="T68" s="10"/>
      <c r="U68" s="10"/>
      <c r="V68" s="10"/>
      <c r="W68" s="10"/>
      <c r="X68" s="10"/>
      <c r="Y68" s="10"/>
      <c r="Z68" s="10"/>
      <c r="AB68" s="14"/>
      <c r="AC68" s="10"/>
      <c r="AD68" s="10"/>
      <c r="AE68" s="10"/>
      <c r="AF68" s="10"/>
      <c r="AG68" s="10"/>
      <c r="AH68" s="10"/>
      <c r="AI68" s="34"/>
      <c r="AK68" s="14"/>
      <c r="AL68" s="10"/>
      <c r="AM68" s="10"/>
      <c r="AN68" s="10"/>
      <c r="AO68" s="10"/>
      <c r="AP68" s="10"/>
      <c r="AQ68" s="10"/>
      <c r="AR68" s="10"/>
      <c r="AT68" s="14"/>
      <c r="AU68" s="10"/>
      <c r="AV68" s="10"/>
      <c r="AW68" s="10"/>
      <c r="AX68" s="10"/>
      <c r="AY68" s="10"/>
      <c r="AZ68" s="10"/>
      <c r="BA68" s="10"/>
    </row>
    <row r="69" spans="1:53" x14ac:dyDescent="0.35">
      <c r="A69" s="14"/>
      <c r="B69" s="33">
        <f>B70*(365/B64)</f>
        <v>2.5005137572765568E-2</v>
      </c>
      <c r="C69" s="33">
        <f t="shared" ref="C69:F69" si="78">C70*(365/C64)</f>
        <v>2.501113318692437E-2</v>
      </c>
      <c r="D69" s="33">
        <f t="shared" si="78"/>
        <v>2.5024844646748069E-2</v>
      </c>
      <c r="E69" s="33">
        <f t="shared" si="78"/>
        <v>2.5050580654265259E-2</v>
      </c>
      <c r="F69" s="33">
        <f t="shared" si="78"/>
        <v>2.5076351951623114E-2</v>
      </c>
      <c r="G69" s="15"/>
      <c r="H69" s="34"/>
      <c r="J69" s="14"/>
      <c r="K69" s="33">
        <f>K70*365/K64</f>
        <v>2.5005137572765568E-2</v>
      </c>
      <c r="L69" s="33">
        <f t="shared" ref="L69:O69" si="79">L70*365/L64</f>
        <v>2.5011133186924366E-2</v>
      </c>
      <c r="M69" s="33">
        <f t="shared" si="79"/>
        <v>2.5024844646748073E-2</v>
      </c>
      <c r="N69" s="33">
        <f t="shared" si="79"/>
        <v>2.5050580654265259E-2</v>
      </c>
      <c r="O69" s="33">
        <f t="shared" si="79"/>
        <v>2.5076351951623117E-2</v>
      </c>
      <c r="P69" s="26"/>
      <c r="Q69" s="10"/>
      <c r="S69" s="14"/>
      <c r="T69" s="10"/>
      <c r="U69" s="10"/>
      <c r="V69" s="10"/>
      <c r="W69" s="10"/>
      <c r="X69" s="10"/>
      <c r="Y69" s="22"/>
      <c r="Z69" s="10"/>
      <c r="AB69" s="14"/>
      <c r="AC69" s="10"/>
      <c r="AD69" s="10"/>
      <c r="AE69" s="10"/>
      <c r="AF69" s="10"/>
      <c r="AG69" s="10"/>
      <c r="AH69" s="10"/>
      <c r="AI69" s="34"/>
      <c r="AK69" s="14" t="s">
        <v>17</v>
      </c>
      <c r="AL69" s="22">
        <v>3.5700000000000003E-2</v>
      </c>
      <c r="AM69" s="33">
        <f>((1+AR69)^(AM62/365)-1)*365/AM62</f>
        <v>2.8214166185754581E-2</v>
      </c>
      <c r="AN69" s="22">
        <v>5.4800000000000001E-2</v>
      </c>
      <c r="AO69" s="33">
        <f>((1+$AR69)^(AO62/365)-1)*365/AO62</f>
        <v>2.8264368931956569E-2</v>
      </c>
      <c r="AP69" s="33">
        <f>((1+$AR69)^(AP62/365)-1)*365/AP62</f>
        <v>2.8297174014351119E-2</v>
      </c>
      <c r="AQ69" s="22">
        <v>2.8199999999999999E-2</v>
      </c>
      <c r="AR69" s="33">
        <f>(1+AQ69/365)^365-1</f>
        <v>2.8600263658591585E-2</v>
      </c>
      <c r="AT69" s="14" t="s">
        <v>17</v>
      </c>
      <c r="AU69" s="22">
        <v>3.5700000000000003E-2</v>
      </c>
      <c r="AV69" s="33">
        <f>((1+$BA69)^(AV62/365)-1)*365/AV62</f>
        <v>2.751347152523961E-2</v>
      </c>
      <c r="AW69" s="22">
        <v>5.4800000000000001E-2</v>
      </c>
      <c r="AX69" s="33">
        <f>((1+$BA69)^(AX62/365)-1)*365/AX62</f>
        <v>2.7561210701938343E-2</v>
      </c>
      <c r="AY69" s="33">
        <f>((1+$BA69)^(AY62/365)-1)*365/AY62</f>
        <v>2.7592404443735931E-2</v>
      </c>
      <c r="AZ69" s="22">
        <v>2.75E-2</v>
      </c>
      <c r="BA69" s="33">
        <f>(1+AZ69/365)^365-1</f>
        <v>2.7880550318131858E-2</v>
      </c>
    </row>
    <row r="70" spans="1:53" x14ac:dyDescent="0.35">
      <c r="A70" s="14" t="s">
        <v>15</v>
      </c>
      <c r="B70" s="33">
        <f>(1+$H70)^(B64/365)-1</f>
        <v>4.7955058358728486E-4</v>
      </c>
      <c r="C70" s="33">
        <f>(1+$H70)^(C64/365)-1</f>
        <v>9.5933113593682506E-4</v>
      </c>
      <c r="D70" s="33">
        <f>(1+$H70)^(D64/365)-1</f>
        <v>2.0568365463080607E-3</v>
      </c>
      <c r="E70" s="33">
        <f>(1+$H70)^(E64/365)-1</f>
        <v>4.1179036691942894E-3</v>
      </c>
      <c r="F70" s="33">
        <f>(1+$H70)^(F64/365)-1</f>
        <v>6.1832100702632342E-3</v>
      </c>
      <c r="G70" s="15">
        <v>2.5000000000000001E-2</v>
      </c>
      <c r="H70" s="33">
        <f>(1+G70/365)^365-1</f>
        <v>2.5314242726610869E-2</v>
      </c>
      <c r="J70" s="14" t="s">
        <v>15</v>
      </c>
      <c r="K70" s="15">
        <f>(1+$Q70)^(K64/365)-1</f>
        <v>4.7955058358728486E-4</v>
      </c>
      <c r="L70" s="15">
        <f>(1+$Q70)^(L64/365)-1</f>
        <v>9.5933113593682506E-4</v>
      </c>
      <c r="M70" s="15">
        <f>(1+$Q70)^(M64/365)-1</f>
        <v>2.0568365463080607E-3</v>
      </c>
      <c r="N70" s="15">
        <f>(1+$Q70)^(N64/365)-1</f>
        <v>4.1179036691942894E-3</v>
      </c>
      <c r="O70" s="15">
        <f>(1+$Q70)^(O64/365)-1</f>
        <v>6.1832100702632342E-3</v>
      </c>
      <c r="P70" s="22">
        <v>2.5000000000000001E-2</v>
      </c>
      <c r="Q70" s="33">
        <f>(1+P70/365)^365-1</f>
        <v>2.5314242726610869E-2</v>
      </c>
      <c r="S70" s="14" t="s">
        <v>15</v>
      </c>
      <c r="T70" s="33">
        <f>((1+$Z70)^(T64/365)-1)*365/T64</f>
        <v>2.5005137572765568E-2</v>
      </c>
      <c r="U70" s="33">
        <f t="shared" ref="U70:X70" si="80">((1+$Z70)^(U64/365)-1)*365/U64</f>
        <v>2.5011133186924366E-2</v>
      </c>
      <c r="V70" s="33">
        <f t="shared" si="80"/>
        <v>2.5024844646748073E-2</v>
      </c>
      <c r="W70" s="33">
        <f t="shared" si="80"/>
        <v>2.5050580654265259E-2</v>
      </c>
      <c r="X70" s="33">
        <f t="shared" si="80"/>
        <v>2.5076351951623117E-2</v>
      </c>
      <c r="Y70" s="22">
        <v>2.5000000000000001E-2</v>
      </c>
      <c r="Z70" s="33">
        <f>(1+Y70/365)^365-1</f>
        <v>2.5314242726610869E-2</v>
      </c>
      <c r="AB70" s="14" t="s">
        <v>15</v>
      </c>
      <c r="AC70" s="33">
        <f>((1+$AI70)^(AC64/365)-1)*365/AC64</f>
        <v>2.5005137572765568E-2</v>
      </c>
      <c r="AD70" s="33">
        <f t="shared" ref="AD70:AG70" si="81">((1+$AI70)^(AD64/365)-1)*365/AD64</f>
        <v>2.5011133186924366E-2</v>
      </c>
      <c r="AE70" s="33">
        <f t="shared" si="81"/>
        <v>2.5024844646748073E-2</v>
      </c>
      <c r="AF70" s="33">
        <f t="shared" si="81"/>
        <v>2.5050580654265259E-2</v>
      </c>
      <c r="AG70" s="33">
        <f t="shared" si="81"/>
        <v>2.5076351951623117E-2</v>
      </c>
      <c r="AH70" s="22">
        <v>2.5000000000000001E-2</v>
      </c>
      <c r="AI70" s="33">
        <f t="shared" ref="AI70:AI72" si="82">(1+AH70/365)^365-1</f>
        <v>2.5314242726610869E-2</v>
      </c>
    </row>
    <row r="71" spans="1:53" x14ac:dyDescent="0.35">
      <c r="A71" s="14"/>
      <c r="B71" s="34"/>
      <c r="C71" s="33">
        <f>C72*365/C64</f>
        <v>2.9415397672846257E-2</v>
      </c>
      <c r="D71" s="34"/>
      <c r="E71" s="33">
        <f>E72*365/E64</f>
        <v>2.9469968146881482E-2</v>
      </c>
      <c r="F71" s="33">
        <f>F72*365/F64</f>
        <v>2.9505630301122101E-2</v>
      </c>
      <c r="G71" s="15"/>
      <c r="H71" s="34"/>
      <c r="J71" s="14"/>
      <c r="K71" s="10"/>
      <c r="L71" s="33">
        <f>L72*365/L64</f>
        <v>3.1617788734936939E-2</v>
      </c>
      <c r="M71" s="10"/>
      <c r="N71" s="33">
        <f>N72*365/N64</f>
        <v>3.1680840785172228E-2</v>
      </c>
      <c r="O71" s="33">
        <f>O72*365/O64</f>
        <v>3.172205199932869E-2</v>
      </c>
      <c r="P71" s="10"/>
      <c r="Q71" s="10"/>
      <c r="S71" s="14"/>
      <c r="T71" s="10"/>
      <c r="U71" s="10"/>
      <c r="V71" s="10"/>
      <c r="W71" s="10"/>
      <c r="X71" s="10"/>
      <c r="Y71" s="10"/>
      <c r="Z71" s="10"/>
      <c r="AB71" s="14"/>
      <c r="AC71" s="10"/>
      <c r="AD71" s="10"/>
      <c r="AE71" s="10"/>
      <c r="AF71" s="10"/>
      <c r="AG71" s="10"/>
      <c r="AH71" s="10"/>
      <c r="AI71" s="34"/>
      <c r="AK71" s="24">
        <v>46124</v>
      </c>
      <c r="AL71" s="16">
        <v>7</v>
      </c>
      <c r="AM71" s="16">
        <v>14</v>
      </c>
      <c r="AN71" s="16">
        <v>30</v>
      </c>
      <c r="AO71" s="16">
        <v>60</v>
      </c>
      <c r="AP71" s="16">
        <v>90</v>
      </c>
      <c r="AQ71" s="16" t="s">
        <v>11</v>
      </c>
      <c r="AR71" s="16" t="s">
        <v>53</v>
      </c>
      <c r="AT71" s="24">
        <v>46129</v>
      </c>
      <c r="AU71" s="16">
        <v>7</v>
      </c>
      <c r="AV71" s="16">
        <v>14</v>
      </c>
      <c r="AW71" s="16">
        <v>30</v>
      </c>
      <c r="AX71" s="16">
        <v>60</v>
      </c>
      <c r="AY71" s="16">
        <v>90</v>
      </c>
      <c r="AZ71" s="16" t="s">
        <v>11</v>
      </c>
      <c r="BA71" s="16" t="s">
        <v>53</v>
      </c>
    </row>
    <row r="72" spans="1:53" x14ac:dyDescent="0.35">
      <c r="A72" s="14" t="s">
        <v>17</v>
      </c>
      <c r="B72" s="10" t="s">
        <v>37</v>
      </c>
      <c r="C72" s="33">
        <f>(1+H72)^(C64/365)-1</f>
        <v>1.1282618285475277E-3</v>
      </c>
      <c r="D72" s="10" t="s">
        <v>27</v>
      </c>
      <c r="E72" s="33">
        <f>(1+H72)^(E64/365)-1</f>
        <v>4.8443783255147643E-3</v>
      </c>
      <c r="F72" s="33">
        <f>(1+H72)^(F53/365)-1</f>
        <v>7.2753608961670935E-3</v>
      </c>
      <c r="G72" s="15">
        <v>2.9399999999999999E-2</v>
      </c>
      <c r="H72" s="33">
        <f>(1+G72/365)^365-1</f>
        <v>2.9835227361300731E-2</v>
      </c>
      <c r="J72" s="14" t="s">
        <v>17</v>
      </c>
      <c r="K72" s="22">
        <v>3.8600000000000002E-2</v>
      </c>
      <c r="L72" s="13">
        <f>(1+Q72)^(L64/365)-1</f>
        <v>1.2127371021619648E-3</v>
      </c>
      <c r="M72" s="22">
        <v>5.4800000000000001E-2</v>
      </c>
      <c r="N72" s="8">
        <f>(1+$Q72)^(N64/365)-1</f>
        <v>5.2078094441379008E-3</v>
      </c>
      <c r="O72" s="8">
        <f>(1+$Q72)^(O64/365)-1</f>
        <v>7.8218758354509088E-3</v>
      </c>
      <c r="P72" s="22">
        <v>3.1600000000000003E-2</v>
      </c>
      <c r="Q72" s="33">
        <f>(1+P72/365)^365-1</f>
        <v>3.2103169169868329E-2</v>
      </c>
      <c r="S72" s="14" t="s">
        <v>17</v>
      </c>
      <c r="T72" s="22">
        <v>3.7600000000000001E-2</v>
      </c>
      <c r="U72" s="33">
        <f>((1+Z72)^(U64/365)-1)*365/U64</f>
        <v>2.861457097742421E-2</v>
      </c>
      <c r="V72" s="22">
        <v>5.4800000000000001E-2</v>
      </c>
      <c r="W72" s="33">
        <f>((1+Z72)^(V64/365)-1)*365/V64</f>
        <v>2.8632518077824447E-2</v>
      </c>
      <c r="X72" s="33">
        <f>((1+Z72)^(X64/365)-1)*365/X64</f>
        <v>2.8699953491705399E-2</v>
      </c>
      <c r="Y72" s="22">
        <v>2.86E-2</v>
      </c>
      <c r="Z72" s="33">
        <f>(1+Y72/365)^365-1</f>
        <v>2.9011754039298232E-2</v>
      </c>
      <c r="AB72" s="14" t="s">
        <v>17</v>
      </c>
      <c r="AC72" s="22">
        <v>3.7600000000000001E-2</v>
      </c>
      <c r="AD72" s="33">
        <f>((1+AI72)^(AD64/365)-1)*365/AD64</f>
        <v>3.0616680497176203E-2</v>
      </c>
      <c r="AE72" s="22">
        <v>5.4800000000000001E-2</v>
      </c>
      <c r="AF72" s="33">
        <f>((1+$AI72)^(AF64/365)-1)*365/AF64</f>
        <v>3.0675801218832937E-2</v>
      </c>
      <c r="AG72" s="33">
        <f>((1+$AI72)^(AG64/365)-1)*365/AG64</f>
        <v>3.071444020872649E-2</v>
      </c>
      <c r="AH72" s="22">
        <v>3.0599999999999999E-2</v>
      </c>
      <c r="AI72" s="33">
        <f t="shared" si="82"/>
        <v>3.1071669725747597E-2</v>
      </c>
      <c r="AK72" s="14"/>
      <c r="AL72" s="10"/>
      <c r="AM72" s="10"/>
      <c r="AN72" s="10"/>
      <c r="AO72" s="10"/>
      <c r="AP72" s="10"/>
      <c r="AQ72" s="10"/>
      <c r="AR72" s="10"/>
      <c r="AT72" s="14"/>
      <c r="AU72" s="10"/>
      <c r="AV72" s="10"/>
      <c r="AW72" s="10"/>
      <c r="AX72" s="10"/>
      <c r="AY72" s="10"/>
      <c r="AZ72" s="10"/>
      <c r="BA72" s="10"/>
    </row>
    <row r="73" spans="1:53" x14ac:dyDescent="0.35">
      <c r="AK73" s="14" t="s">
        <v>12</v>
      </c>
      <c r="AL73" s="33">
        <f>((1+$AR73)^(AL71/365)-1)*365/AL71</f>
        <v>2.650577261626081E-2</v>
      </c>
      <c r="AM73" s="33">
        <f t="shared" ref="AM73:AP73" si="83">((1+$AR73)^(AM71/365)-1)*365/AM71</f>
        <v>2.6512509454446293E-2</v>
      </c>
      <c r="AN73" s="33">
        <f t="shared" si="83"/>
        <v>2.6527916516109307E-2</v>
      </c>
      <c r="AO73" s="33">
        <f t="shared" si="83"/>
        <v>2.6556836941645196E-2</v>
      </c>
      <c r="AP73" s="33">
        <f t="shared" si="83"/>
        <v>2.6585799405461893E-2</v>
      </c>
      <c r="AQ73" s="22">
        <v>2.6499999999999999E-2</v>
      </c>
      <c r="AR73" s="33">
        <f>(1+AQ73/365)^365-1</f>
        <v>2.6853259490220882E-2</v>
      </c>
      <c r="AT73" s="14" t="s">
        <v>12</v>
      </c>
      <c r="AU73" s="33"/>
      <c r="AV73" s="33"/>
      <c r="AW73" s="33"/>
      <c r="AX73" s="33"/>
      <c r="AY73" s="33"/>
      <c r="AZ73" s="22"/>
      <c r="BA73" s="33"/>
    </row>
    <row r="74" spans="1:53" x14ac:dyDescent="0.35">
      <c r="A74" s="24">
        <v>46084</v>
      </c>
      <c r="B74" s="16">
        <v>7</v>
      </c>
      <c r="C74" s="16">
        <v>14</v>
      </c>
      <c r="D74" s="16">
        <v>30</v>
      </c>
      <c r="E74" s="16">
        <v>60</v>
      </c>
      <c r="F74" s="16">
        <v>90</v>
      </c>
      <c r="G74" s="36" t="s">
        <v>11</v>
      </c>
      <c r="H74" s="27" t="s">
        <v>53</v>
      </c>
      <c r="J74" s="24">
        <v>46094</v>
      </c>
      <c r="K74" s="16">
        <v>7</v>
      </c>
      <c r="L74" s="16">
        <v>14</v>
      </c>
      <c r="M74" s="16">
        <v>30</v>
      </c>
      <c r="N74" s="16">
        <v>60</v>
      </c>
      <c r="O74" s="16">
        <v>90</v>
      </c>
      <c r="P74" s="16" t="s">
        <v>11</v>
      </c>
      <c r="Q74" s="16" t="s">
        <v>53</v>
      </c>
      <c r="S74" s="24">
        <v>46104</v>
      </c>
      <c r="T74" s="16">
        <v>7</v>
      </c>
      <c r="U74" s="16">
        <v>14</v>
      </c>
      <c r="V74" s="16">
        <v>30</v>
      </c>
      <c r="W74" s="16">
        <v>60</v>
      </c>
      <c r="X74" s="16">
        <v>90</v>
      </c>
      <c r="Y74" s="16" t="s">
        <v>11</v>
      </c>
      <c r="Z74" s="16" t="s">
        <v>53</v>
      </c>
      <c r="AB74" s="24">
        <v>46114</v>
      </c>
      <c r="AC74" s="16">
        <v>7</v>
      </c>
      <c r="AD74" s="16">
        <v>14</v>
      </c>
      <c r="AE74" s="16">
        <v>30</v>
      </c>
      <c r="AF74" s="16">
        <v>60</v>
      </c>
      <c r="AG74" s="16">
        <v>90</v>
      </c>
      <c r="AH74" s="16" t="s">
        <v>11</v>
      </c>
      <c r="AI74" s="16" t="s">
        <v>53</v>
      </c>
      <c r="AK74" s="14" t="s">
        <v>54</v>
      </c>
      <c r="AL74" s="22">
        <v>2.9899999999999999E-2</v>
      </c>
      <c r="AM74" s="22">
        <v>3.44E-2</v>
      </c>
      <c r="AN74" s="22">
        <v>3.49E-2</v>
      </c>
      <c r="AO74" s="22">
        <v>4.3900000000000002E-2</v>
      </c>
      <c r="AP74" s="22">
        <v>0.05</v>
      </c>
      <c r="AQ74" s="22">
        <v>3.2899999999999999E-2</v>
      </c>
      <c r="AR74" s="33">
        <f>(1+AQ74/365)^365-1</f>
        <v>3.3445657100777071E-2</v>
      </c>
      <c r="AT74" s="14" t="s">
        <v>54</v>
      </c>
      <c r="AU74" s="22"/>
      <c r="AV74" s="22"/>
      <c r="AW74" s="22"/>
      <c r="AX74" s="22"/>
      <c r="AY74" s="22"/>
      <c r="AZ74" s="22"/>
      <c r="BA74" s="33"/>
    </row>
    <row r="75" spans="1:53" x14ac:dyDescent="0.35">
      <c r="A75" s="14"/>
      <c r="B75" s="10"/>
      <c r="C75" s="10"/>
      <c r="D75" s="10"/>
      <c r="E75" s="10"/>
      <c r="F75" s="10"/>
      <c r="G75" s="15"/>
      <c r="H75" s="22"/>
      <c r="J75" s="14"/>
      <c r="K75" s="10"/>
      <c r="L75" s="10"/>
      <c r="M75" s="10"/>
      <c r="N75" s="10"/>
      <c r="O75" s="10"/>
      <c r="P75" s="10"/>
      <c r="Q75" s="10"/>
      <c r="S75" s="14"/>
      <c r="T75" s="10"/>
      <c r="U75" s="10"/>
      <c r="V75" s="10"/>
      <c r="W75" s="10"/>
      <c r="X75" s="10"/>
      <c r="Y75" s="10"/>
      <c r="Z75" s="10"/>
      <c r="AB75" s="14"/>
      <c r="AC75" s="10"/>
      <c r="AD75" s="10"/>
      <c r="AE75" s="10"/>
      <c r="AF75" s="10"/>
      <c r="AG75" s="10"/>
      <c r="AH75" s="10"/>
      <c r="AI75" s="10"/>
      <c r="AK75" s="14"/>
      <c r="AL75" s="10"/>
      <c r="AM75" s="10"/>
      <c r="AN75" s="10"/>
      <c r="AO75" s="10"/>
      <c r="AP75" s="10"/>
      <c r="AQ75" s="10"/>
      <c r="AR75" s="10"/>
      <c r="AT75" s="14"/>
      <c r="AU75" s="10"/>
      <c r="AV75" s="10"/>
      <c r="AW75" s="10"/>
      <c r="AX75" s="10"/>
      <c r="AY75" s="10"/>
      <c r="AZ75" s="10"/>
      <c r="BA75" s="10"/>
    </row>
    <row r="76" spans="1:53" x14ac:dyDescent="0.35">
      <c r="A76" s="14"/>
      <c r="B76" s="33">
        <f>B77*365/B74</f>
        <v>3.1208002016684468E-2</v>
      </c>
      <c r="C76" s="33">
        <f t="shared" ref="C76:F76" si="84">C77*365/C74</f>
        <v>3.121734116151758E-2</v>
      </c>
      <c r="D76" s="33">
        <f t="shared" si="84"/>
        <v>3.1238701773908639E-2</v>
      </c>
      <c r="E76" s="33">
        <f t="shared" si="84"/>
        <v>3.1278805465217829E-2</v>
      </c>
      <c r="F76" s="33">
        <f t="shared" si="84"/>
        <v>3.1318977802404467E-2</v>
      </c>
      <c r="G76" s="15"/>
      <c r="H76" s="22"/>
      <c r="J76" s="14"/>
      <c r="K76" s="33">
        <f>K77*365/K74</f>
        <v>3.06076971850027E-2</v>
      </c>
      <c r="L76" s="33">
        <f t="shared" ref="L76:O76" si="85">L77*365/L74</f>
        <v>3.0616680497176203E-2</v>
      </c>
      <c r="M76" s="33">
        <f t="shared" si="85"/>
        <v>3.063722698551748E-2</v>
      </c>
      <c r="N76" s="33">
        <f t="shared" si="85"/>
        <v>3.0675801218832937E-2</v>
      </c>
      <c r="O76" s="33">
        <f t="shared" si="85"/>
        <v>3.071444020872649E-2</v>
      </c>
      <c r="P76" s="10"/>
      <c r="Q76" s="10"/>
      <c r="S76" s="14"/>
      <c r="T76" s="10"/>
      <c r="U76" s="10"/>
      <c r="V76" s="10"/>
      <c r="W76" s="10"/>
      <c r="X76" s="10"/>
      <c r="Y76" s="10"/>
      <c r="Z76" s="10"/>
      <c r="AB76" s="14"/>
      <c r="AC76" s="10"/>
      <c r="AD76" s="10"/>
      <c r="AE76" s="10"/>
      <c r="AF76" s="10"/>
      <c r="AG76" s="10"/>
      <c r="AH76" s="10"/>
      <c r="AI76" s="10"/>
      <c r="AK76" s="14" t="s">
        <v>15</v>
      </c>
      <c r="AL76" s="33">
        <f>((1+$AR76)^(AL71/365)-1)*365/AL71</f>
        <v>2.5005137572765568E-2</v>
      </c>
      <c r="AM76" s="33">
        <f t="shared" ref="AM76:AP76" si="86">((1+$AR76)^(AM71/365)-1)*365/AM71</f>
        <v>2.5011133186924366E-2</v>
      </c>
      <c r="AN76" s="33">
        <f t="shared" si="86"/>
        <v>2.5024844646748073E-2</v>
      </c>
      <c r="AO76" s="33">
        <f t="shared" si="86"/>
        <v>2.5050580654265259E-2</v>
      </c>
      <c r="AP76" s="33">
        <f t="shared" si="86"/>
        <v>2.5076351951623117E-2</v>
      </c>
      <c r="AQ76" s="22">
        <v>2.5000000000000001E-2</v>
      </c>
      <c r="AR76" s="33">
        <f>(1+AQ76/365)^365-1</f>
        <v>2.5314242726610869E-2</v>
      </c>
      <c r="AT76" s="14" t="s">
        <v>15</v>
      </c>
      <c r="AU76" s="33"/>
      <c r="AV76" s="33"/>
      <c r="AW76" s="33"/>
      <c r="AX76" s="33"/>
      <c r="AY76" s="33"/>
      <c r="AZ76" s="22"/>
      <c r="BA76" s="33"/>
    </row>
    <row r="77" spans="1:53" x14ac:dyDescent="0.35">
      <c r="A77" s="14" t="s">
        <v>12</v>
      </c>
      <c r="B77" s="33">
        <f>(1+$H77)^(B74/365)-1</f>
        <v>5.9850962771723637E-4</v>
      </c>
      <c r="C77" s="33">
        <f>(1+$H77)^(C74/365)-1</f>
        <v>1.1973774692088934E-3</v>
      </c>
      <c r="D77" s="33">
        <f>(1+$H77)^(D74/365)-1</f>
        <v>2.5675645293623539E-3</v>
      </c>
      <c r="E77" s="33">
        <f>(1+$H77)^(E74/365)-1</f>
        <v>5.1417214463371774E-3</v>
      </c>
      <c r="F77" s="33">
        <f>(1+$H77)^(F74/365)-1</f>
        <v>7.722487677305212E-3</v>
      </c>
      <c r="G77" s="15">
        <v>3.1199999999999999E-2</v>
      </c>
      <c r="H77" s="33">
        <f>(1+G77/365)^365-1</f>
        <v>3.1690445957877067E-2</v>
      </c>
      <c r="J77" s="14" t="s">
        <v>12</v>
      </c>
      <c r="K77" s="33">
        <f>(1+$Q77)^(K74/365)-1</f>
        <v>5.8699693231512029E-4</v>
      </c>
      <c r="L77" s="33">
        <f>(1+$Q77)^(L74/365)-1</f>
        <v>1.1743384300286763E-3</v>
      </c>
      <c r="M77" s="33">
        <f>(1+$Q77)^(M74/365)-1</f>
        <v>2.5181282453849985E-3</v>
      </c>
      <c r="N77" s="33">
        <f>(1+$Q77)^(N74/365)-1</f>
        <v>5.0425974606300716E-3</v>
      </c>
      <c r="O77" s="33">
        <f>(1+$Q77)^(O74/365)-1</f>
        <v>7.5734236131106414E-3</v>
      </c>
      <c r="P77" s="22">
        <v>3.0599999999999999E-2</v>
      </c>
      <c r="Q77" s="33">
        <f>(1+P77/365)^365-1</f>
        <v>3.1071669725747597E-2</v>
      </c>
      <c r="S77" s="14" t="s">
        <v>12</v>
      </c>
      <c r="T77" s="75">
        <f>((1+$Z77)^(T74/365)-1)*365/T74</f>
        <v>2.8806818211650764E-2</v>
      </c>
      <c r="U77" s="75">
        <f t="shared" ref="U77:X77" si="87">((1+$Z77)^(U74/365)-1)*365/U74</f>
        <v>2.8814775512232469E-2</v>
      </c>
      <c r="V77" s="75">
        <f t="shared" si="87"/>
        <v>2.8832974634983022E-2</v>
      </c>
      <c r="W77" s="75">
        <f t="shared" si="87"/>
        <v>2.8867139310035983E-2</v>
      </c>
      <c r="X77" s="75">
        <f t="shared" si="87"/>
        <v>2.8901357961484207E-2</v>
      </c>
      <c r="Y77" s="22">
        <v>2.8799999999999999E-2</v>
      </c>
      <c r="Z77" s="33">
        <f>(1+Y77/365)^365-1</f>
        <v>2.9217560787452745E-2</v>
      </c>
      <c r="AB77" s="14" t="s">
        <v>12</v>
      </c>
      <c r="AC77" s="33">
        <f>((1+$AI77)^(AC74/365)-1)*365/AC74</f>
        <v>3.0807798137726067E-2</v>
      </c>
      <c r="AD77" s="33">
        <f t="shared" ref="AD77:AG77" si="88">((1+$AI77)^(AD74/365)-1)*365/AD74</f>
        <v>3.0816899292500168E-2</v>
      </c>
      <c r="AE77" s="33">
        <f t="shared" si="88"/>
        <v>3.0837715396014837E-2</v>
      </c>
      <c r="AF77" s="33">
        <f t="shared" si="88"/>
        <v>3.087679613673544E-2</v>
      </c>
      <c r="AG77" s="33">
        <f t="shared" si="88"/>
        <v>3.0915942913661267E-2</v>
      </c>
      <c r="AH77" s="22">
        <v>3.0800000000000001E-2</v>
      </c>
      <c r="AI77" s="33">
        <f>(1+AH77/365)^365-1</f>
        <v>3.127788733589032E-2</v>
      </c>
      <c r="AK77" s="14"/>
      <c r="AL77" s="10"/>
      <c r="AM77" s="10"/>
      <c r="AN77" s="10"/>
      <c r="AO77" s="10"/>
      <c r="AP77" s="10"/>
      <c r="AQ77" s="10"/>
      <c r="AR77" s="10"/>
      <c r="AT77" s="14"/>
      <c r="AU77" s="10"/>
      <c r="AV77" s="10"/>
      <c r="AW77" s="10"/>
      <c r="AX77" s="10"/>
      <c r="AY77" s="10"/>
      <c r="AZ77" s="10"/>
      <c r="BA77" s="10"/>
    </row>
    <row r="78" spans="1:53" x14ac:dyDescent="0.35">
      <c r="A78" s="14"/>
      <c r="B78" s="10"/>
      <c r="C78" s="10"/>
      <c r="D78" s="10"/>
      <c r="E78" s="10"/>
      <c r="F78" s="10"/>
      <c r="G78" s="15"/>
      <c r="H78" s="22"/>
      <c r="J78" s="14"/>
      <c r="K78" s="10"/>
      <c r="L78" s="10"/>
      <c r="M78" s="10"/>
      <c r="N78" s="10"/>
      <c r="O78" s="10"/>
      <c r="P78" s="10"/>
      <c r="Q78" s="10"/>
      <c r="S78" s="14"/>
      <c r="T78" s="10"/>
      <c r="U78" s="10"/>
      <c r="V78" s="10"/>
      <c r="W78" s="10"/>
      <c r="X78" s="10"/>
      <c r="Y78" s="10"/>
      <c r="Z78" s="10"/>
      <c r="AB78" s="14"/>
      <c r="AC78" s="10"/>
      <c r="AD78" s="10"/>
      <c r="AE78" s="10"/>
      <c r="AF78" s="10"/>
      <c r="AG78" s="10"/>
      <c r="AH78" s="10"/>
      <c r="AI78" s="10"/>
      <c r="AK78" s="14" t="s">
        <v>17</v>
      </c>
      <c r="AL78" s="22">
        <v>3.5700000000000003E-2</v>
      </c>
      <c r="AM78" s="33">
        <f>((1+AR78)^(AM71/365)-1)*365/AM71</f>
        <v>2.7012986033863436E-2</v>
      </c>
      <c r="AN78" s="22">
        <v>5.4800000000000001E-2</v>
      </c>
      <c r="AO78" s="33">
        <f>((1+$AR78)^(AO71/365)-1)*365/AO71</f>
        <v>2.7059003529465182E-2</v>
      </c>
      <c r="AP78" s="33">
        <f>((1+$AR78)^(AP71/365)-1)*365/AP71</f>
        <v>2.7089071246125033E-2</v>
      </c>
      <c r="AQ78" s="22">
        <v>2.7E-2</v>
      </c>
      <c r="AR78" s="33">
        <f>(1+AQ78/365)^365-1</f>
        <v>2.7366776854136576E-2</v>
      </c>
      <c r="AT78" s="14" t="s">
        <v>17</v>
      </c>
      <c r="AU78" s="22"/>
      <c r="AV78" s="33"/>
      <c r="AW78" s="22"/>
      <c r="AX78" s="33"/>
      <c r="AY78" s="33"/>
      <c r="AZ78" s="22"/>
      <c r="BA78" s="33"/>
    </row>
    <row r="79" spans="1:53" x14ac:dyDescent="0.35">
      <c r="A79" s="14" t="s">
        <v>54</v>
      </c>
      <c r="B79" s="34">
        <v>4.5999999999999999E-2</v>
      </c>
      <c r="C79" s="34">
        <v>3.2000000000000001E-2</v>
      </c>
      <c r="D79" s="34">
        <v>4.2000000000000003E-2</v>
      </c>
      <c r="E79" s="34">
        <v>5.8999999999999997E-2</v>
      </c>
      <c r="F79" s="34">
        <v>5.8500000000000003E-2</v>
      </c>
      <c r="G79" s="15">
        <v>3.5099999999999999E-2</v>
      </c>
      <c r="H79" s="33">
        <f>(1+G79/365)^365-1</f>
        <v>3.5721528087785392E-2</v>
      </c>
      <c r="J79" s="14" t="s">
        <v>54</v>
      </c>
      <c r="K79" s="22">
        <v>3.3000000000000002E-2</v>
      </c>
      <c r="L79" s="22">
        <v>4.07E-2</v>
      </c>
      <c r="M79" s="22">
        <v>3.7999999999999999E-2</v>
      </c>
      <c r="N79" s="22">
        <v>4.6899999999999997E-2</v>
      </c>
      <c r="O79" s="22">
        <v>4.7899999999999998E-2</v>
      </c>
      <c r="P79" s="22">
        <v>3.4500000000000003E-2</v>
      </c>
      <c r="Q79" s="33">
        <f>(1+P79/365)^365-1</f>
        <v>3.5100340771234473E-2</v>
      </c>
      <c r="S79" s="14" t="s">
        <v>54</v>
      </c>
      <c r="T79" s="22">
        <f>'Daily Data'!AT31</f>
        <v>0.03</v>
      </c>
      <c r="U79" s="22">
        <f>'Daily Data'!AU31</f>
        <v>3.5000000000000003E-2</v>
      </c>
      <c r="V79" s="22">
        <f>'Daily Data'!AV31</f>
        <v>3.5000000000000003E-2</v>
      </c>
      <c r="W79" s="22">
        <f>'Daily Data'!AW31</f>
        <v>4.3999999999999997E-2</v>
      </c>
      <c r="X79" s="22">
        <f>'Daily Data'!AX31</f>
        <v>5.7500000000000002E-2</v>
      </c>
      <c r="Y79" s="22">
        <v>3.3300000000000003E-2</v>
      </c>
      <c r="Z79" s="33">
        <f>(1+Y79/365)^365-1</f>
        <v>3.3859080551566834E-2</v>
      </c>
      <c r="AB79" s="14" t="s">
        <v>54</v>
      </c>
      <c r="AC79" s="22">
        <v>0.04</v>
      </c>
      <c r="AD79" s="22">
        <v>3.3000000000000002E-2</v>
      </c>
      <c r="AE79" s="22">
        <v>4.1000000000000002E-2</v>
      </c>
      <c r="AF79" s="22">
        <v>4.3799999999999999E-2</v>
      </c>
      <c r="AG79" s="22">
        <v>5.9900000000000002E-2</v>
      </c>
      <c r="AH79" s="22">
        <v>3.3000000000000002E-2</v>
      </c>
      <c r="AI79" s="33">
        <f>(1+AH79/365)^365-1</f>
        <v>3.3548997504548206E-2</v>
      </c>
    </row>
    <row r="80" spans="1:53" x14ac:dyDescent="0.35">
      <c r="A80" s="14"/>
      <c r="B80" s="34"/>
      <c r="C80" s="34"/>
      <c r="D80" s="34"/>
      <c r="E80" s="34"/>
      <c r="F80" s="34"/>
      <c r="G80" s="15"/>
      <c r="H80" s="34"/>
      <c r="J80" s="14"/>
      <c r="K80" s="10"/>
      <c r="L80" s="10"/>
      <c r="M80" s="10"/>
      <c r="N80" s="10"/>
      <c r="O80" s="10"/>
      <c r="P80" s="10"/>
      <c r="Q80" s="10"/>
      <c r="S80" s="14"/>
      <c r="T80" s="10"/>
      <c r="U80" s="10"/>
      <c r="V80" s="10"/>
      <c r="W80" s="10"/>
      <c r="X80" s="10"/>
      <c r="Y80" s="10"/>
      <c r="Z80" s="10"/>
      <c r="AB80" s="14"/>
      <c r="AC80" s="10"/>
      <c r="AD80" s="10"/>
      <c r="AE80" s="10"/>
      <c r="AF80" s="10"/>
      <c r="AG80" s="10"/>
      <c r="AH80" s="10"/>
      <c r="AI80" s="10"/>
      <c r="AK80" s="24">
        <v>46125</v>
      </c>
      <c r="AL80" s="16">
        <v>7</v>
      </c>
      <c r="AM80" s="16">
        <v>14</v>
      </c>
      <c r="AN80" s="16">
        <v>30</v>
      </c>
      <c r="AO80" s="16">
        <v>60</v>
      </c>
      <c r="AP80" s="16">
        <v>90</v>
      </c>
      <c r="AQ80" s="16" t="s">
        <v>11</v>
      </c>
      <c r="AR80" s="16" t="s">
        <v>53</v>
      </c>
    </row>
    <row r="81" spans="1:44" x14ac:dyDescent="0.35">
      <c r="A81" s="14"/>
      <c r="B81" s="33">
        <f>B82*365/B74</f>
        <v>2.5005137572765568E-2</v>
      </c>
      <c r="C81" s="33">
        <f t="shared" ref="C81:F81" si="89">C82*365/C74</f>
        <v>2.5011133186924366E-2</v>
      </c>
      <c r="D81" s="33">
        <f t="shared" si="89"/>
        <v>2.5024844646748073E-2</v>
      </c>
      <c r="E81" s="33">
        <f t="shared" si="89"/>
        <v>2.5050580654265259E-2</v>
      </c>
      <c r="F81" s="33">
        <f t="shared" si="89"/>
        <v>2.5076351951623117E-2</v>
      </c>
      <c r="G81" s="15"/>
      <c r="H81" s="34"/>
      <c r="J81" s="14"/>
      <c r="K81" s="13">
        <f>K82*365/K74</f>
        <v>2.5005137572765568E-2</v>
      </c>
      <c r="L81" s="13">
        <f t="shared" ref="L81:O81" si="90">L82*365/L74</f>
        <v>2.5011133186924366E-2</v>
      </c>
      <c r="M81" s="13">
        <f t="shared" si="90"/>
        <v>2.5024844646748073E-2</v>
      </c>
      <c r="N81" s="13">
        <f t="shared" si="90"/>
        <v>2.5050580654265259E-2</v>
      </c>
      <c r="O81" s="13">
        <f t="shared" si="90"/>
        <v>2.5076351951623117E-2</v>
      </c>
      <c r="P81" s="10"/>
      <c r="Q81" s="10"/>
      <c r="S81" s="14"/>
      <c r="T81" s="10"/>
      <c r="U81" s="10"/>
      <c r="V81" s="10"/>
      <c r="W81" s="10"/>
      <c r="X81" s="10"/>
      <c r="Y81" s="10"/>
      <c r="Z81" s="10"/>
      <c r="AB81" s="14"/>
      <c r="AC81" s="10"/>
      <c r="AD81" s="10"/>
      <c r="AE81" s="10"/>
      <c r="AF81" s="10"/>
      <c r="AG81" s="10"/>
      <c r="AH81" s="22"/>
      <c r="AI81" s="34"/>
      <c r="AK81" s="14"/>
      <c r="AL81" s="10"/>
      <c r="AM81" s="10"/>
      <c r="AN81" s="10"/>
      <c r="AO81" s="10"/>
      <c r="AP81" s="10"/>
      <c r="AQ81" s="10"/>
      <c r="AR81" s="10"/>
    </row>
    <row r="82" spans="1:44" x14ac:dyDescent="0.35">
      <c r="A82" s="14" t="s">
        <v>15</v>
      </c>
      <c r="B82" s="33">
        <f>(1+$H82)^(B74/365)-1</f>
        <v>4.7955058358728486E-4</v>
      </c>
      <c r="C82" s="33">
        <f>(1+$H82)^(C74/365)-1</f>
        <v>9.5933113593682506E-4</v>
      </c>
      <c r="D82" s="33">
        <f>(1+$H82)^(D74/365)-1</f>
        <v>2.0568365463080607E-3</v>
      </c>
      <c r="E82" s="33">
        <f>(1+$H82)^(E74/365)-1</f>
        <v>4.1179036691942894E-3</v>
      </c>
      <c r="F82" s="33">
        <f>(1+$H82)^(F74/365)-1</f>
        <v>6.1832100702632342E-3</v>
      </c>
      <c r="G82" s="15">
        <v>2.5000000000000001E-2</v>
      </c>
      <c r="H82" s="33">
        <f>(1+G82/365)^365-1</f>
        <v>2.5314242726610869E-2</v>
      </c>
      <c r="J82" s="14" t="s">
        <v>15</v>
      </c>
      <c r="K82" s="33">
        <f>(1+$Q82)^(K74/365)-1</f>
        <v>4.7955058358728486E-4</v>
      </c>
      <c r="L82" s="33">
        <f>(1+$Q82)^(L74/365)-1</f>
        <v>9.5933113593682506E-4</v>
      </c>
      <c r="M82" s="33">
        <f>(1+$Q82)^(M74/365)-1</f>
        <v>2.0568365463080607E-3</v>
      </c>
      <c r="N82" s="33">
        <f>(1+$Q82)^(N74/365)-1</f>
        <v>4.1179036691942894E-3</v>
      </c>
      <c r="O82" s="33">
        <f>(1+$Q82)^(O74/365)-1</f>
        <v>6.1832100702632342E-3</v>
      </c>
      <c r="P82" s="22">
        <v>2.5000000000000001E-2</v>
      </c>
      <c r="Q82" s="33">
        <f>(1+P82/365)^365-1</f>
        <v>2.5314242726610869E-2</v>
      </c>
      <c r="S82" s="14" t="s">
        <v>15</v>
      </c>
      <c r="T82" s="33">
        <f>((1+$Z82)^(T74/365)-1)*365/T74</f>
        <v>2.5005137572765568E-2</v>
      </c>
      <c r="U82" s="33">
        <f t="shared" ref="U82:X82" si="91">((1+$Z82)^(U74/365)-1)*365/U74</f>
        <v>2.5011133186924366E-2</v>
      </c>
      <c r="V82" s="33">
        <f t="shared" si="91"/>
        <v>2.5024844646748073E-2</v>
      </c>
      <c r="W82" s="33">
        <f t="shared" si="91"/>
        <v>2.5050580654265259E-2</v>
      </c>
      <c r="X82" s="33">
        <f t="shared" si="91"/>
        <v>2.5076351951623117E-2</v>
      </c>
      <c r="Y82" s="22">
        <v>2.5000000000000001E-2</v>
      </c>
      <c r="Z82" s="33">
        <f>(1+Y82/365)^365-1</f>
        <v>2.5314242726610869E-2</v>
      </c>
      <c r="AB82" s="14" t="s">
        <v>15</v>
      </c>
      <c r="AC82" s="33">
        <f>((1+$AI82)^(AC74/365)-1)*365/AC74</f>
        <v>2.5005137572765568E-2</v>
      </c>
      <c r="AD82" s="33">
        <f t="shared" ref="AD82:AG82" si="92">((1+$AI82)^(AD74/365)-1)*365/AD74</f>
        <v>2.5011133186924366E-2</v>
      </c>
      <c r="AE82" s="33">
        <f t="shared" si="92"/>
        <v>2.5024844646748073E-2</v>
      </c>
      <c r="AF82" s="33">
        <f t="shared" si="92"/>
        <v>2.5050580654265259E-2</v>
      </c>
      <c r="AG82" s="33">
        <f t="shared" si="92"/>
        <v>2.5076351951623117E-2</v>
      </c>
      <c r="AH82" s="22">
        <v>2.5000000000000001E-2</v>
      </c>
      <c r="AI82" s="33">
        <f>(1+AH82/365)^365-1</f>
        <v>2.5314242726610869E-2</v>
      </c>
      <c r="AK82" s="14" t="s">
        <v>12</v>
      </c>
      <c r="AL82" s="33">
        <f>((1+$AR82)^(AL80/365)-1)*365/AL80</f>
        <v>2.650577261626081E-2</v>
      </c>
      <c r="AM82" s="33">
        <f t="shared" ref="AM82:AP82" si="93">((1+$AR82)^(AM80/365)-1)*365/AM80</f>
        <v>2.6512509454446293E-2</v>
      </c>
      <c r="AN82" s="33">
        <f t="shared" si="93"/>
        <v>2.6527916516109307E-2</v>
      </c>
      <c r="AO82" s="33">
        <f t="shared" si="93"/>
        <v>2.6556836941645196E-2</v>
      </c>
      <c r="AP82" s="33">
        <f t="shared" si="93"/>
        <v>2.6585799405461893E-2</v>
      </c>
      <c r="AQ82" s="22">
        <v>2.6499999999999999E-2</v>
      </c>
      <c r="AR82" s="33">
        <f>(1+AQ82/365)^365-1</f>
        <v>2.6853259490220882E-2</v>
      </c>
    </row>
    <row r="83" spans="1:44" s="18" customFormat="1" x14ac:dyDescent="0.35">
      <c r="A83" s="21"/>
      <c r="B83" s="34"/>
      <c r="C83" s="33">
        <f>C84*365/C74</f>
        <v>3.0816899292500168E-2</v>
      </c>
      <c r="D83" s="34"/>
      <c r="E83" s="33">
        <f>E84*365/E74</f>
        <v>3.087679613673544E-2</v>
      </c>
      <c r="F83" s="33">
        <f>F84*365/F74</f>
        <v>3.0915942913661267E-2</v>
      </c>
      <c r="G83" s="34"/>
      <c r="H83" s="34"/>
      <c r="J83" s="21"/>
      <c r="K83" s="19"/>
      <c r="L83" s="33">
        <f>L84*365/L74</f>
        <v>3.1417564235164716E-2</v>
      </c>
      <c r="M83" s="19"/>
      <c r="N83" s="33">
        <f>N84*365/N74</f>
        <v>3.1479819876150263E-2</v>
      </c>
      <c r="O83" s="33">
        <f>O84*365/O74</f>
        <v>3.1520509987099911E-2</v>
      </c>
      <c r="P83" s="19"/>
      <c r="Q83" s="19"/>
      <c r="S83" s="21"/>
      <c r="T83" s="19"/>
      <c r="U83" s="19"/>
      <c r="V83" s="19"/>
      <c r="W83" s="19"/>
      <c r="X83" s="19"/>
      <c r="Y83" s="19"/>
      <c r="Z83" s="33"/>
      <c r="AB83" s="21"/>
      <c r="AC83" s="19"/>
      <c r="AD83" s="19"/>
      <c r="AE83" s="19"/>
      <c r="AF83" s="19"/>
      <c r="AG83" s="19"/>
      <c r="AH83" s="19"/>
      <c r="AI83" s="34"/>
      <c r="AK83" s="14" t="s">
        <v>54</v>
      </c>
      <c r="AL83" s="22">
        <v>2.9899999999999999E-2</v>
      </c>
      <c r="AM83" s="22">
        <v>3.44E-2</v>
      </c>
      <c r="AN83" s="22">
        <v>3.49E-2</v>
      </c>
      <c r="AO83" s="22">
        <v>4.3900000000000002E-2</v>
      </c>
      <c r="AP83" s="22">
        <v>0.05</v>
      </c>
      <c r="AQ83" s="22">
        <v>3.2899999999999999E-2</v>
      </c>
      <c r="AR83" s="33">
        <f>(1+AQ83/365)^365-1</f>
        <v>3.3445657100777071E-2</v>
      </c>
    </row>
    <row r="84" spans="1:44" x14ac:dyDescent="0.35">
      <c r="A84" s="14" t="s">
        <v>17</v>
      </c>
      <c r="B84" s="15">
        <v>3.8600000000000002E-2</v>
      </c>
      <c r="C84" s="33">
        <f>(1+H84)^(C74/365)-1</f>
        <v>1.182018055054801E-3</v>
      </c>
      <c r="D84" s="15">
        <v>5.4800000000000001E-2</v>
      </c>
      <c r="E84" s="33">
        <f>(1+H84)^(E74/365)-1</f>
        <v>5.0756377211071957E-3</v>
      </c>
      <c r="F84" s="33">
        <f>(1+H84)^(F74/365)-1</f>
        <v>7.6231092115877086E-3</v>
      </c>
      <c r="G84" s="15">
        <v>3.0800000000000001E-2</v>
      </c>
      <c r="H84" s="33">
        <f>(1+G84/365)^365-1</f>
        <v>3.127788733589032E-2</v>
      </c>
      <c r="J84" s="14" t="s">
        <v>17</v>
      </c>
      <c r="K84" s="22">
        <v>3.8600000000000002E-2</v>
      </c>
      <c r="L84" s="33">
        <f>(1+Q84)^(L74/365)-1</f>
        <v>1.2050572583350849E-3</v>
      </c>
      <c r="M84" s="22">
        <v>5.4800000000000001E-2</v>
      </c>
      <c r="N84" s="33">
        <f>(1+Q84)^(N74/365)-1</f>
        <v>5.1747649111479888E-3</v>
      </c>
      <c r="O84" s="33">
        <f>(1+Q84)^(O74/365)-1</f>
        <v>7.7721805447643622E-3</v>
      </c>
      <c r="P84" s="22">
        <v>3.1399999999999997E-2</v>
      </c>
      <c r="Q84" s="33">
        <f>(1+P84/365)^365-1</f>
        <v>3.1896786986022718E-2</v>
      </c>
      <c r="S84" s="14" t="s">
        <v>17</v>
      </c>
      <c r="T84" s="22">
        <v>3.7600000000000001E-2</v>
      </c>
      <c r="U84" s="33">
        <f>((1+Z84)^(U74/365)-1)*365/U74</f>
        <v>3.0116139748005817E-2</v>
      </c>
      <c r="V84" s="22">
        <v>5.4800000000000001E-2</v>
      </c>
      <c r="W84" s="33">
        <f>((1+$Z84)^(W74/365)-1)*365/W74</f>
        <v>3.0173342349201677E-2</v>
      </c>
      <c r="X84" s="33">
        <f>((1+$Z84)^(X74/365)-1)*365/X74</f>
        <v>3.021072643257551E-2</v>
      </c>
      <c r="Y84" s="22">
        <v>3.0099999999999998E-2</v>
      </c>
      <c r="Z84" s="33">
        <f>(1+Y84/365)^365-1</f>
        <v>3.0556305595556443E-2</v>
      </c>
      <c r="AB84" s="14" t="s">
        <v>17</v>
      </c>
      <c r="AC84" s="22">
        <v>3.8100000000000002E-2</v>
      </c>
      <c r="AD84" s="33">
        <f>((1+AI84)^(AD74/365)-1)*365/AD74</f>
        <v>3.1017119513989746E-2</v>
      </c>
      <c r="AE84" s="22">
        <v>5.4800000000000001E-2</v>
      </c>
      <c r="AF84" s="33">
        <f>((1+$AI84)^(AF74/365)-1)*365/AF74</f>
        <v>3.1077797552172309E-2</v>
      </c>
      <c r="AG84" s="33">
        <f>((1+$AI84)^(AG74/365)-1)*365/AG74</f>
        <v>3.1117455444773193E-2</v>
      </c>
      <c r="AH84" s="22">
        <v>3.1E-2</v>
      </c>
      <c r="AI84" s="33">
        <f>(1+AH84/365)^365-1</f>
        <v>3.1484146077251696E-2</v>
      </c>
      <c r="AK84" s="14"/>
      <c r="AL84" s="10"/>
      <c r="AM84" s="10"/>
      <c r="AN84" s="10"/>
      <c r="AO84" s="10"/>
      <c r="AP84" s="10"/>
      <c r="AQ84" s="10"/>
      <c r="AR84" s="10"/>
    </row>
    <row r="85" spans="1:44" x14ac:dyDescent="0.35">
      <c r="AK85" s="14" t="s">
        <v>15</v>
      </c>
      <c r="AL85" s="33">
        <f>((1+$AR85)^(AL80/365)-1)*365/AL80</f>
        <v>2.5005137572765568E-2</v>
      </c>
      <c r="AM85" s="33">
        <f t="shared" ref="AM85:AP85" si="94">((1+$AR85)^(AM80/365)-1)*365/AM80</f>
        <v>2.5011133186924366E-2</v>
      </c>
      <c r="AN85" s="33">
        <f t="shared" si="94"/>
        <v>2.5024844646748073E-2</v>
      </c>
      <c r="AO85" s="33">
        <f t="shared" si="94"/>
        <v>2.5050580654265259E-2</v>
      </c>
      <c r="AP85" s="33">
        <f t="shared" si="94"/>
        <v>2.5076351951623117E-2</v>
      </c>
      <c r="AQ85" s="22">
        <v>2.5000000000000001E-2</v>
      </c>
      <c r="AR85" s="33">
        <f>(1+AQ85/365)^365-1</f>
        <v>2.5314242726610869E-2</v>
      </c>
    </row>
    <row r="86" spans="1:44" x14ac:dyDescent="0.35">
      <c r="A86" s="24">
        <v>46085</v>
      </c>
      <c r="B86" s="16">
        <v>7</v>
      </c>
      <c r="C86" s="16">
        <v>14</v>
      </c>
      <c r="D86" s="16">
        <v>30</v>
      </c>
      <c r="E86" s="16">
        <v>60</v>
      </c>
      <c r="F86" s="16">
        <v>90</v>
      </c>
      <c r="G86" s="36" t="s">
        <v>11</v>
      </c>
      <c r="H86" s="27" t="s">
        <v>53</v>
      </c>
      <c r="J86" s="24">
        <v>46095</v>
      </c>
      <c r="K86" s="16">
        <v>7</v>
      </c>
      <c r="L86" s="16">
        <v>14</v>
      </c>
      <c r="M86" s="16">
        <v>30</v>
      </c>
      <c r="N86" s="16">
        <v>60</v>
      </c>
      <c r="O86" s="16">
        <v>90</v>
      </c>
      <c r="P86" s="16" t="s">
        <v>11</v>
      </c>
      <c r="Q86" s="16" t="s">
        <v>53</v>
      </c>
      <c r="S86" s="24">
        <v>46105</v>
      </c>
      <c r="T86" s="16">
        <v>7</v>
      </c>
      <c r="U86" s="16">
        <v>14</v>
      </c>
      <c r="V86" s="16">
        <v>30</v>
      </c>
      <c r="W86" s="16">
        <v>60</v>
      </c>
      <c r="X86" s="16">
        <v>90</v>
      </c>
      <c r="Y86" s="16" t="s">
        <v>11</v>
      </c>
      <c r="Z86" s="16" t="s">
        <v>53</v>
      </c>
      <c r="AB86" s="24">
        <v>46115</v>
      </c>
      <c r="AC86" s="16">
        <v>7</v>
      </c>
      <c r="AD86" s="16">
        <v>14</v>
      </c>
      <c r="AE86" s="16">
        <v>30</v>
      </c>
      <c r="AF86" s="16">
        <v>60</v>
      </c>
      <c r="AG86" s="16">
        <v>90</v>
      </c>
      <c r="AH86" s="16" t="s">
        <v>11</v>
      </c>
      <c r="AI86" s="16" t="s">
        <v>53</v>
      </c>
      <c r="AK86" s="14"/>
      <c r="AL86" s="10"/>
      <c r="AM86" s="10"/>
      <c r="AN86" s="10"/>
      <c r="AO86" s="10"/>
      <c r="AP86" s="10"/>
      <c r="AQ86" s="10"/>
      <c r="AR86" s="10"/>
    </row>
    <row r="87" spans="1:44" x14ac:dyDescent="0.35">
      <c r="A87" s="14"/>
      <c r="B87" s="33">
        <f>B88*365/B86</f>
        <v>3.0407596890108839E-2</v>
      </c>
      <c r="C87" s="33">
        <f t="shared" ref="C87:F87" si="95">C88*365/C86</f>
        <v>3.0416463127971544E-2</v>
      </c>
      <c r="D87" s="33">
        <f t="shared" si="95"/>
        <v>3.0436741760606328E-2</v>
      </c>
      <c r="E87" s="33">
        <f t="shared" si="95"/>
        <v>3.0474812798236512E-2</v>
      </c>
      <c r="F87" s="33">
        <f t="shared" si="95"/>
        <v>3.0512947329474491E-2</v>
      </c>
      <c r="G87" s="15"/>
      <c r="H87" s="22"/>
      <c r="J87" s="14"/>
      <c r="K87" s="33">
        <f>K88*365/K86</f>
        <v>2.9907349030706052E-2</v>
      </c>
      <c r="L87" s="33">
        <f t="shared" ref="L87:O87" si="96">L88*365/L86</f>
        <v>2.9915925943969159E-2</v>
      </c>
      <c r="M87" s="33">
        <f t="shared" si="96"/>
        <v>2.9935542634702439E-2</v>
      </c>
      <c r="N87" s="33">
        <f t="shared" si="96"/>
        <v>2.9972370170845902E-2</v>
      </c>
      <c r="O87" s="33">
        <f t="shared" si="96"/>
        <v>3.0009258115333635E-2</v>
      </c>
      <c r="P87" s="10"/>
      <c r="Q87" s="10"/>
      <c r="S87" s="14"/>
      <c r="T87" s="10"/>
      <c r="U87" s="10"/>
      <c r="V87" s="10"/>
      <c r="W87" s="10"/>
      <c r="X87" s="10"/>
      <c r="Y87" s="10"/>
      <c r="Z87" s="10"/>
      <c r="AB87" s="14"/>
      <c r="AC87" s="10"/>
      <c r="AD87" s="10"/>
      <c r="AE87" s="10"/>
      <c r="AF87" s="10"/>
      <c r="AG87" s="10"/>
      <c r="AH87" s="10"/>
      <c r="AI87" s="10"/>
      <c r="AK87" s="14" t="s">
        <v>17</v>
      </c>
      <c r="AL87" s="22">
        <v>3.5700000000000003E-2</v>
      </c>
      <c r="AM87" s="33">
        <f>((1+AR87)^(AM80/365)-1)*365/AM80</f>
        <v>2.7113082419203485E-2</v>
      </c>
      <c r="AN87" s="22">
        <v>5.4800000000000001E-2</v>
      </c>
      <c r="AO87" s="33">
        <f>((1+$AR87)^(AO80/365)-1)*365/AO80</f>
        <v>2.715944171711478E-2</v>
      </c>
      <c r="AP87" s="33">
        <f>((1+$AR87)^(AP80/365)-1)*365/AP80</f>
        <v>2.7189732976884338E-2</v>
      </c>
      <c r="AQ87" s="22">
        <v>2.7099999999999999E-2</v>
      </c>
      <c r="AR87" s="33">
        <f>(1+AQ87/365)^365-1</f>
        <v>2.7469511054885043E-2</v>
      </c>
    </row>
    <row r="88" spans="1:44" x14ac:dyDescent="0.35">
      <c r="A88" s="14" t="s">
        <v>12</v>
      </c>
      <c r="B88" s="33">
        <f>(1+$H88)^(B86/365)-1</f>
        <v>5.8315939241304626E-4</v>
      </c>
      <c r="C88" s="33">
        <f>(1+$H88)^(C86/365)-1</f>
        <v>1.1666588597030181E-3</v>
      </c>
      <c r="D88" s="33">
        <f>(1+$H88)^(D86/365)-1</f>
        <v>2.5016500077210679E-3</v>
      </c>
      <c r="E88" s="33">
        <f>(1+$H88)^(E86/365)-1</f>
        <v>5.0095582682032624E-3</v>
      </c>
      <c r="F88" s="33">
        <f>(1+$H88)^(F86/365)-1</f>
        <v>7.523740437404669E-3</v>
      </c>
      <c r="G88" s="15">
        <v>3.04E-2</v>
      </c>
      <c r="H88" s="33">
        <f>(1+G88/365)^365-1</f>
        <v>3.0865493238620978E-2</v>
      </c>
      <c r="J88" s="14" t="s">
        <v>12</v>
      </c>
      <c r="K88" s="33">
        <f>(1+$Q88)^(K86/365)-1</f>
        <v>5.7356559784915717E-4</v>
      </c>
      <c r="L88" s="33">
        <f>(1+$Q88)^(L86/365)-1</f>
        <v>1.1474601731933376E-3</v>
      </c>
      <c r="M88" s="33">
        <f>(1+$Q88)^(M86/365)-1</f>
        <v>2.4604555590166388E-3</v>
      </c>
      <c r="N88" s="33">
        <f>(1+$Q88)^(N86/365)-1</f>
        <v>4.9269649595911069E-3</v>
      </c>
      <c r="O88" s="33">
        <f>(1+$Q88)^(O86/365)-1</f>
        <v>7.3995430969315823E-3</v>
      </c>
      <c r="P88" s="22">
        <v>2.9899999999999999E-2</v>
      </c>
      <c r="Q88" s="33">
        <f>(1+P88/365)^365-1</f>
        <v>3.0350231880070799E-2</v>
      </c>
      <c r="S88" s="14" t="s">
        <v>12</v>
      </c>
      <c r="T88" s="33">
        <f>((1+$Z88)^(T86/365)-1)*365/T86</f>
        <v>2.9207008934516918E-2</v>
      </c>
      <c r="U88" s="33">
        <f t="shared" ref="U88:X88" si="97">((1+$Z88)^(U86/365)-1)*365/U86</f>
        <v>2.9215188859992698E-2</v>
      </c>
      <c r="V88" s="33">
        <f t="shared" si="97"/>
        <v>2.9233897304799861E-2</v>
      </c>
      <c r="W88" s="33">
        <f t="shared" si="97"/>
        <v>2.9269018705551892E-2</v>
      </c>
      <c r="X88" s="33">
        <f t="shared" si="97"/>
        <v>2.9304196365779224E-2</v>
      </c>
      <c r="Y88" s="22">
        <v>2.92E-2</v>
      </c>
      <c r="Z88" s="33">
        <f>(1+Y88/365)^365-1</f>
        <v>2.9629297440349367E-2</v>
      </c>
      <c r="AB88" s="14" t="s">
        <v>12</v>
      </c>
      <c r="AC88" s="33">
        <f>((1+$AI88)^(AC86/365)-1)*365/AC86</f>
        <v>3.0907848860827362E-2</v>
      </c>
      <c r="AD88" s="33">
        <f t="shared" ref="AD88:AG88" si="98">((1+$AI88)^(AD86/365)-1)*365/AD86</f>
        <v>3.0917009225003924E-2</v>
      </c>
      <c r="AE88" s="33">
        <f t="shared" si="98"/>
        <v>3.0937960795912711E-2</v>
      </c>
      <c r="AF88" s="33">
        <f t="shared" si="98"/>
        <v>3.0977296032276263E-2</v>
      </c>
      <c r="AG88" s="33">
        <f t="shared" si="98"/>
        <v>3.1016697950943278E-2</v>
      </c>
      <c r="AH88" s="22">
        <v>3.09E-2</v>
      </c>
      <c r="AI88" s="33">
        <f>(1+AH88/365)^365-1</f>
        <v>3.1381011564685979E-2</v>
      </c>
    </row>
    <row r="89" spans="1:44" x14ac:dyDescent="0.35">
      <c r="A89" s="14"/>
      <c r="B89" s="10"/>
      <c r="C89" s="10"/>
      <c r="D89" s="10"/>
      <c r="E89" s="10"/>
      <c r="F89" s="10"/>
      <c r="G89" s="15"/>
      <c r="H89" s="22"/>
      <c r="J89" s="14"/>
      <c r="K89" s="10"/>
      <c r="L89" s="10"/>
      <c r="M89" s="10"/>
      <c r="N89" s="10"/>
      <c r="O89" s="10"/>
      <c r="P89" s="10"/>
      <c r="Q89" s="10"/>
      <c r="S89" s="14"/>
      <c r="T89" s="10"/>
      <c r="U89" s="10"/>
      <c r="V89" s="10"/>
      <c r="W89" s="10"/>
      <c r="X89" s="10"/>
      <c r="Y89" s="10"/>
      <c r="Z89" s="10"/>
      <c r="AB89" s="14"/>
      <c r="AC89" s="10"/>
      <c r="AD89" s="10"/>
      <c r="AE89" s="10"/>
      <c r="AF89" s="10"/>
      <c r="AG89" s="10"/>
      <c r="AH89" s="10"/>
      <c r="AI89" s="15"/>
      <c r="AK89" s="24">
        <v>46126</v>
      </c>
      <c r="AL89" s="16">
        <v>7</v>
      </c>
      <c r="AM89" s="16">
        <v>14</v>
      </c>
      <c r="AN89" s="16">
        <v>30</v>
      </c>
      <c r="AO89" s="16">
        <v>60</v>
      </c>
      <c r="AP89" s="16">
        <v>90</v>
      </c>
      <c r="AQ89" s="16" t="s">
        <v>11</v>
      </c>
      <c r="AR89" s="16" t="s">
        <v>53</v>
      </c>
    </row>
    <row r="90" spans="1:44" x14ac:dyDescent="0.35">
      <c r="A90" s="14" t="s">
        <v>54</v>
      </c>
      <c r="B90" s="15">
        <v>4.5999999999999999E-2</v>
      </c>
      <c r="C90" s="15">
        <v>0.04</v>
      </c>
      <c r="D90" s="15">
        <v>4.2000000000000003E-2</v>
      </c>
      <c r="E90" s="15">
        <v>5.7500000000000002E-2</v>
      </c>
      <c r="F90" s="15">
        <v>5.8000000000000003E-2</v>
      </c>
      <c r="G90" s="15">
        <v>3.4599999999999999E-2</v>
      </c>
      <c r="H90" s="33">
        <f>(1+G90/365)^365-1</f>
        <v>3.5203846182888965E-2</v>
      </c>
      <c r="J90" s="14" t="s">
        <v>54</v>
      </c>
      <c r="K90" s="22">
        <v>3.2800000000000003E-2</v>
      </c>
      <c r="L90" s="22">
        <v>4.0800000000000003E-2</v>
      </c>
      <c r="M90" s="22">
        <v>0.04</v>
      </c>
      <c r="N90" s="22">
        <v>4.3999999999999997E-2</v>
      </c>
      <c r="O90" s="22">
        <v>5.33E-2</v>
      </c>
      <c r="P90" s="22">
        <v>3.4000000000000002E-2</v>
      </c>
      <c r="Q90" s="33">
        <f>(1+P90/365)^365-1</f>
        <v>3.4582968502674616E-2</v>
      </c>
      <c r="S90" s="14" t="s">
        <v>54</v>
      </c>
      <c r="T90" s="22">
        <f>'Daily Data'!AT32</f>
        <v>0.03</v>
      </c>
      <c r="U90" s="22">
        <f>'Daily Data'!AU32</f>
        <v>3.5000000000000003E-2</v>
      </c>
      <c r="V90" s="22">
        <f>'Daily Data'!AV32</f>
        <v>3.49E-2</v>
      </c>
      <c r="W90" s="22">
        <f>'Daily Data'!AW32</f>
        <v>4.2900000000000001E-2</v>
      </c>
      <c r="X90" s="22">
        <f>'Daily Data'!AX32</f>
        <v>0.06</v>
      </c>
      <c r="Y90" s="22">
        <v>3.3300000000000003E-2</v>
      </c>
      <c r="Z90" s="33">
        <f>(1+Y90/365)^365-1</f>
        <v>3.3859080551566834E-2</v>
      </c>
      <c r="AB90" s="14" t="s">
        <v>54</v>
      </c>
      <c r="AC90" s="22">
        <v>3.1E-2</v>
      </c>
      <c r="AD90" s="22">
        <v>3.49E-2</v>
      </c>
      <c r="AE90" s="22">
        <v>4.2000000000000003E-2</v>
      </c>
      <c r="AF90" s="22">
        <v>4.3799999999999999E-2</v>
      </c>
      <c r="AG90" s="22">
        <v>5.9700000000000003E-2</v>
      </c>
      <c r="AH90" s="22">
        <v>3.1E-2</v>
      </c>
      <c r="AI90" s="33">
        <f t="shared" ref="AI90:AI95" si="99">(1+AH90/365)^365-1</f>
        <v>3.1484146077251696E-2</v>
      </c>
      <c r="AK90" s="14"/>
      <c r="AL90" s="10"/>
      <c r="AM90" s="10"/>
      <c r="AN90" s="10"/>
      <c r="AO90" s="10"/>
      <c r="AP90" s="10"/>
      <c r="AQ90" s="10"/>
      <c r="AR90" s="10"/>
    </row>
    <row r="91" spans="1:44" x14ac:dyDescent="0.35">
      <c r="A91" s="14"/>
      <c r="B91" s="15"/>
      <c r="C91" s="15"/>
      <c r="D91" s="15"/>
      <c r="E91" s="15"/>
      <c r="F91" s="15"/>
      <c r="G91" s="15"/>
      <c r="H91" s="34"/>
      <c r="J91" s="14"/>
      <c r="K91" s="10"/>
      <c r="L91" s="10"/>
      <c r="M91" s="10"/>
      <c r="N91" s="10"/>
      <c r="O91" s="10"/>
      <c r="P91" s="10"/>
      <c r="Q91" s="10"/>
      <c r="S91" s="14"/>
      <c r="T91" s="10"/>
      <c r="U91" s="10"/>
      <c r="V91" s="10"/>
      <c r="W91" s="10"/>
      <c r="X91" s="10"/>
      <c r="Y91" s="10"/>
      <c r="Z91" s="76"/>
      <c r="AB91" s="14"/>
      <c r="AC91" s="10"/>
      <c r="AD91" s="10"/>
      <c r="AE91" s="10"/>
      <c r="AF91" s="10"/>
      <c r="AG91" s="10"/>
      <c r="AH91" s="10"/>
      <c r="AI91" s="15"/>
      <c r="AK91" s="14" t="s">
        <v>12</v>
      </c>
      <c r="AL91" s="33">
        <f>((1+$AR91)^(AL89/365)-1)*365/AL89</f>
        <v>2.8506676896215315E-2</v>
      </c>
      <c r="AM91" s="33">
        <f t="shared" ref="AM91:AP91" si="100">((1+$AR91)^(AM89/365)-1)*365/AM89</f>
        <v>2.8514469244696868E-2</v>
      </c>
      <c r="AN91" s="33">
        <f t="shared" si="100"/>
        <v>2.8532290993570169E-2</v>
      </c>
      <c r="AO91" s="33">
        <f t="shared" si="100"/>
        <v>2.8565746813953425E-2</v>
      </c>
      <c r="AP91" s="33">
        <f t="shared" si="100"/>
        <v>2.8599254939608972E-2</v>
      </c>
      <c r="AQ91" s="22">
        <v>2.8500000000000001E-2</v>
      </c>
      <c r="AR91" s="33">
        <f>(1+AQ91/365)^365-1</f>
        <v>2.8908866056128746E-2</v>
      </c>
    </row>
    <row r="92" spans="1:44" x14ac:dyDescent="0.35">
      <c r="A92" s="14"/>
      <c r="B92" s="33">
        <f>B93*365/B86</f>
        <v>2.5005137572765568E-2</v>
      </c>
      <c r="C92" s="33">
        <f t="shared" ref="C92:F92" si="101">C93*365/C86</f>
        <v>2.5011133186924366E-2</v>
      </c>
      <c r="D92" s="33">
        <f t="shared" si="101"/>
        <v>2.5024844646748073E-2</v>
      </c>
      <c r="E92" s="33">
        <f t="shared" si="101"/>
        <v>2.5050580654265259E-2</v>
      </c>
      <c r="F92" s="33">
        <f t="shared" si="101"/>
        <v>2.5076351951623117E-2</v>
      </c>
      <c r="G92" s="15"/>
      <c r="H92" s="34"/>
      <c r="J92" s="14"/>
      <c r="K92" s="33">
        <f>K93*365/K86</f>
        <v>2.5005137572765568E-2</v>
      </c>
      <c r="L92" s="33">
        <f t="shared" ref="L92:O92" si="102">L93*365/L86</f>
        <v>2.5011133186924366E-2</v>
      </c>
      <c r="M92" s="33">
        <f t="shared" si="102"/>
        <v>2.5024844646748073E-2</v>
      </c>
      <c r="N92" s="33">
        <f t="shared" si="102"/>
        <v>2.5050580654265259E-2</v>
      </c>
      <c r="O92" s="33">
        <f t="shared" si="102"/>
        <v>2.5076351951623117E-2</v>
      </c>
      <c r="P92" s="10"/>
      <c r="Q92" s="10"/>
      <c r="S92" s="14"/>
      <c r="T92" s="10"/>
      <c r="U92" s="10"/>
      <c r="V92" s="10"/>
      <c r="W92" s="10"/>
      <c r="X92" s="10"/>
      <c r="Y92" s="10"/>
      <c r="Z92" s="15"/>
      <c r="AB92" s="14"/>
      <c r="AC92" s="10"/>
      <c r="AD92" s="10"/>
      <c r="AE92" s="10"/>
      <c r="AF92" s="10"/>
      <c r="AG92" s="10"/>
      <c r="AH92" s="10"/>
      <c r="AI92" s="15"/>
      <c r="AK92" s="14" t="s">
        <v>54</v>
      </c>
      <c r="AL92" s="22">
        <v>0.03</v>
      </c>
      <c r="AM92" s="22">
        <v>3.4000000000000002E-2</v>
      </c>
      <c r="AN92" s="22">
        <v>3.5000000000000003E-2</v>
      </c>
      <c r="AO92" s="22">
        <v>4.3900000000000002E-2</v>
      </c>
      <c r="AP92" s="22">
        <v>6.4699999999999994E-2</v>
      </c>
      <c r="AQ92" s="22">
        <v>3.2899999999999999E-2</v>
      </c>
      <c r="AR92" s="33">
        <f>(1+AQ92/365)^365-1</f>
        <v>3.3445657100777071E-2</v>
      </c>
    </row>
    <row r="93" spans="1:44" x14ac:dyDescent="0.35">
      <c r="A93" s="14" t="s">
        <v>15</v>
      </c>
      <c r="B93" s="33">
        <f>(1+$H93)^(B86/365)-1</f>
        <v>4.7955058358728486E-4</v>
      </c>
      <c r="C93" s="33">
        <f>(1+$H93)^(C86/365)-1</f>
        <v>9.5933113593682506E-4</v>
      </c>
      <c r="D93" s="33">
        <f>(1+$H93)^(D86/365)-1</f>
        <v>2.0568365463080607E-3</v>
      </c>
      <c r="E93" s="33">
        <f>(1+$H93)^(E86/365)-1</f>
        <v>4.1179036691942894E-3</v>
      </c>
      <c r="F93" s="33">
        <f>(1+$H93)^(F86/365)-1</f>
        <v>6.1832100702632342E-3</v>
      </c>
      <c r="G93" s="15">
        <v>2.5000000000000001E-2</v>
      </c>
      <c r="H93" s="33">
        <f>(1+G93/365)^365-1</f>
        <v>2.5314242726610869E-2</v>
      </c>
      <c r="J93" s="14" t="s">
        <v>15</v>
      </c>
      <c r="K93" s="33">
        <f>(1+$Q93)^(K86/365)-1</f>
        <v>4.7955058358728486E-4</v>
      </c>
      <c r="L93" s="33">
        <f>(1+$Q93)^(L86/365)-1</f>
        <v>9.5933113593682506E-4</v>
      </c>
      <c r="M93" s="33">
        <f>(1+$Q93)^(M86/365)-1</f>
        <v>2.0568365463080607E-3</v>
      </c>
      <c r="N93" s="33">
        <f>(1+$Q93)^(N86/365)-1</f>
        <v>4.1179036691942894E-3</v>
      </c>
      <c r="O93" s="33">
        <f>(1+$Q93)^(O86/365)-1</f>
        <v>6.1832100702632342E-3</v>
      </c>
      <c r="P93" s="22">
        <v>2.5000000000000001E-2</v>
      </c>
      <c r="Q93" s="33">
        <f>(1+P93/365)^365-1</f>
        <v>2.5314242726610869E-2</v>
      </c>
      <c r="S93" s="14" t="s">
        <v>15</v>
      </c>
      <c r="T93" s="33">
        <f>((1+$Z93)^(T86/365)-1)*365/T86</f>
        <v>2.5005137572765568E-2</v>
      </c>
      <c r="U93" s="33">
        <f t="shared" ref="U93:X93" si="103">((1+$Z93)^(U86/365)-1)*365/U86</f>
        <v>2.5011133186924366E-2</v>
      </c>
      <c r="V93" s="33">
        <f t="shared" si="103"/>
        <v>2.5024844646748073E-2</v>
      </c>
      <c r="W93" s="33">
        <f t="shared" si="103"/>
        <v>2.5050580654265259E-2</v>
      </c>
      <c r="X93" s="33">
        <f t="shared" si="103"/>
        <v>2.5076351951623117E-2</v>
      </c>
      <c r="Y93" s="22">
        <v>2.5000000000000001E-2</v>
      </c>
      <c r="Z93" s="33">
        <f>(1+Y93/365)^365-1</f>
        <v>2.5314242726610869E-2</v>
      </c>
      <c r="AB93" s="14" t="s">
        <v>15</v>
      </c>
      <c r="AC93" s="33">
        <f>((1+$AI93)^(AC86/365)-1)*365/AC86</f>
        <v>2.5005137572765568E-2</v>
      </c>
      <c r="AD93" s="33">
        <f t="shared" ref="AD93:AG93" si="104">((1+$AI93)^(AD86/365)-1)*365/AD86</f>
        <v>2.5011133186924366E-2</v>
      </c>
      <c r="AE93" s="33">
        <f t="shared" si="104"/>
        <v>2.5024844646748073E-2</v>
      </c>
      <c r="AF93" s="33">
        <f t="shared" si="104"/>
        <v>2.5050580654265259E-2</v>
      </c>
      <c r="AG93" s="33">
        <f t="shared" si="104"/>
        <v>2.5076351951623117E-2</v>
      </c>
      <c r="AH93" s="22">
        <v>2.5000000000000001E-2</v>
      </c>
      <c r="AI93" s="33">
        <f t="shared" si="99"/>
        <v>2.5314242726610869E-2</v>
      </c>
      <c r="AK93" s="14"/>
      <c r="AL93" s="10"/>
      <c r="AM93" s="10"/>
      <c r="AN93" s="10"/>
      <c r="AO93" s="10"/>
      <c r="AP93" s="10"/>
      <c r="AQ93" s="10"/>
      <c r="AR93" s="10"/>
    </row>
    <row r="94" spans="1:44" x14ac:dyDescent="0.35">
      <c r="A94" s="14"/>
      <c r="B94" s="33"/>
      <c r="C94" s="33">
        <f>C95*365/C86</f>
        <v>3.0416463127971544E-2</v>
      </c>
      <c r="D94" s="33"/>
      <c r="E94" s="33">
        <f>E95*(365/E86)</f>
        <v>3.0474812798236512E-2</v>
      </c>
      <c r="F94" s="33">
        <f>F95*365/F86</f>
        <v>3.0512947329474491E-2</v>
      </c>
      <c r="G94" s="15"/>
      <c r="H94" s="33"/>
      <c r="J94" s="14"/>
      <c r="K94" s="10"/>
      <c r="L94" s="33">
        <f>L95*365/L86</f>
        <v>3.2018242012937716E-2</v>
      </c>
      <c r="M94" s="10"/>
      <c r="N94" s="33">
        <f>N95*365/N86</f>
        <v>3.2082902098360046E-2</v>
      </c>
      <c r="O94" s="33">
        <f>O95*365/O86</f>
        <v>3.2125165508335836E-2</v>
      </c>
      <c r="P94" s="10"/>
      <c r="Q94" s="10"/>
      <c r="S94" s="14"/>
      <c r="T94" s="10"/>
      <c r="U94" s="10"/>
      <c r="V94" s="10"/>
      <c r="W94" s="10"/>
      <c r="X94" s="10"/>
      <c r="Y94" s="10"/>
      <c r="Z94" s="15"/>
      <c r="AB94" s="14"/>
      <c r="AC94" s="10"/>
      <c r="AD94" s="10"/>
      <c r="AE94" s="10"/>
      <c r="AF94" s="10"/>
      <c r="AG94" s="10"/>
      <c r="AH94" s="10"/>
      <c r="AI94" s="15"/>
      <c r="AK94" s="14" t="s">
        <v>15</v>
      </c>
      <c r="AL94" s="33">
        <f>((1+$AR94)^(AL89/365)-1)*365/AL89</f>
        <v>2.5005137572765568E-2</v>
      </c>
      <c r="AM94" s="33">
        <f t="shared" ref="AM94:AP94" si="105">((1+$AR94)^(AM89/365)-1)*365/AM89</f>
        <v>2.5011133186924366E-2</v>
      </c>
      <c r="AN94" s="33">
        <f t="shared" si="105"/>
        <v>2.5024844646748073E-2</v>
      </c>
      <c r="AO94" s="33">
        <f t="shared" si="105"/>
        <v>2.5050580654265259E-2</v>
      </c>
      <c r="AP94" s="33">
        <f t="shared" si="105"/>
        <v>2.5076351951623117E-2</v>
      </c>
      <c r="AQ94" s="22">
        <v>2.5000000000000001E-2</v>
      </c>
      <c r="AR94" s="33">
        <f>(1+AQ94/365)^365-1</f>
        <v>2.5314242726610869E-2</v>
      </c>
    </row>
    <row r="95" spans="1:44" x14ac:dyDescent="0.35">
      <c r="A95" s="14" t="s">
        <v>17</v>
      </c>
      <c r="B95" s="10" t="s">
        <v>37</v>
      </c>
      <c r="C95" s="15">
        <f>(1+H95)^(C86/365)-1</f>
        <v>1.1666588597030181E-3</v>
      </c>
      <c r="D95" s="10" t="s">
        <v>27</v>
      </c>
      <c r="E95" s="33">
        <f>(1+H95)^(E86/365)-1</f>
        <v>5.0095582682032624E-3</v>
      </c>
      <c r="F95" s="33">
        <f>(1+H95)^(F86/365)-1</f>
        <v>7.523740437404669E-3</v>
      </c>
      <c r="G95" s="15">
        <v>3.04E-2</v>
      </c>
      <c r="H95" s="33">
        <f>(1+G95/365)^365-1</f>
        <v>3.0865493238620978E-2</v>
      </c>
      <c r="J95" s="14" t="s">
        <v>17</v>
      </c>
      <c r="K95" s="22">
        <v>3.8600000000000002E-2</v>
      </c>
      <c r="L95" s="33">
        <f>(1+Q95)^(L86/365)-1</f>
        <v>1.2280969539208986E-3</v>
      </c>
      <c r="M95" s="22">
        <v>5.4800000000000001E-2</v>
      </c>
      <c r="N95" s="33">
        <f>(1+$Q95)^(N86/365)-1</f>
        <v>5.273901714798912E-3</v>
      </c>
      <c r="O95" s="33">
        <f>(1+$Q95)^(O86/365)-1</f>
        <v>7.9212736869869182E-3</v>
      </c>
      <c r="P95" s="22">
        <v>3.2000000000000001E-2</v>
      </c>
      <c r="Q95" s="33">
        <f>(1+P95/365)^365-1</f>
        <v>3.2516057037460744E-2</v>
      </c>
      <c r="S95" s="14" t="s">
        <v>17</v>
      </c>
      <c r="T95" s="22">
        <v>3.7600000000000001E-2</v>
      </c>
      <c r="U95" s="33">
        <f>((1+Z95)^(U86/365)-1)*365/U86</f>
        <v>2.97157135659997E-2</v>
      </c>
      <c r="V95" s="22">
        <v>5.4800000000000001E-2</v>
      </c>
      <c r="W95" s="33">
        <f>((1+$Z95)^(W86/365)-1)*365/W86</f>
        <v>2.9771404489047876E-2</v>
      </c>
      <c r="X95" s="33">
        <f>((1+$Z95)^(X86/365)-1)*365/X86</f>
        <v>2.9807799622090583E-2</v>
      </c>
      <c r="Y95" s="22">
        <v>2.9700000000000001E-2</v>
      </c>
      <c r="Z95" s="33">
        <f>(1+Y95/365)^365-1</f>
        <v>3.0144199258958837E-2</v>
      </c>
      <c r="AB95" s="14" t="s">
        <v>17</v>
      </c>
      <c r="AC95" s="22">
        <v>3.8100000000000002E-2</v>
      </c>
      <c r="AD95" s="33">
        <f>((1+AI95)^(AD86/365)-1)*365/AD86</f>
        <v>3.1818014660799525E-2</v>
      </c>
      <c r="AE95" s="22">
        <v>5.4800000000000001E-2</v>
      </c>
      <c r="AF95" s="33">
        <f>((1+$AI95)^(AF86/365)-1)*365/AF86</f>
        <v>3.1881868192445817E-2</v>
      </c>
      <c r="AG95" s="33">
        <f>((1+$AI95)^(AG86/365)-1)*365/AG86</f>
        <v>3.1923603839523036E-2</v>
      </c>
      <c r="AH95" s="22">
        <v>3.1800000000000002E-2</v>
      </c>
      <c r="AI95" s="33">
        <f t="shared" si="99"/>
        <v>3.230959251755694E-2</v>
      </c>
      <c r="AK95" s="14"/>
      <c r="AL95" s="10"/>
      <c r="AM95" s="10"/>
      <c r="AN95" s="10"/>
      <c r="AO95" s="10"/>
      <c r="AP95" s="10"/>
      <c r="AQ95" s="10"/>
      <c r="AR95" s="10"/>
    </row>
    <row r="96" spans="1:44" x14ac:dyDescent="0.35">
      <c r="AK96" s="14" t="s">
        <v>17</v>
      </c>
      <c r="AL96" s="22">
        <v>3.5700000000000003E-2</v>
      </c>
      <c r="AM96" s="33">
        <f>((1+AR96)^(AM89/365)-1)*365/AM89</f>
        <v>2.8514469244696868E-2</v>
      </c>
      <c r="AN96" s="22">
        <v>5.4800000000000001E-2</v>
      </c>
      <c r="AO96" s="33">
        <f>((1+$AR96)^(AO89/365)-1)*365/AO89</f>
        <v>2.8565746813953425E-2</v>
      </c>
      <c r="AP96" s="33">
        <f>((1+$AR96)^(AP89/365)-1)*365/AP89</f>
        <v>2.8599254939608972E-2</v>
      </c>
      <c r="AQ96" s="22">
        <v>2.8500000000000001E-2</v>
      </c>
      <c r="AR96" s="33">
        <f>(1+AQ96/365)^365-1</f>
        <v>2.8908866056128746E-2</v>
      </c>
    </row>
    <row r="97" spans="1:44" x14ac:dyDescent="0.35">
      <c r="A97" s="24">
        <v>46086</v>
      </c>
      <c r="B97" s="16">
        <v>7</v>
      </c>
      <c r="C97" s="16">
        <v>14</v>
      </c>
      <c r="D97" s="16">
        <v>30</v>
      </c>
      <c r="E97" s="16">
        <v>60</v>
      </c>
      <c r="F97" s="16">
        <v>90</v>
      </c>
      <c r="G97" s="36" t="s">
        <v>11</v>
      </c>
      <c r="H97" s="27" t="s">
        <v>53</v>
      </c>
      <c r="J97" s="24">
        <v>46096</v>
      </c>
      <c r="K97" s="16">
        <v>7</v>
      </c>
      <c r="L97" s="16">
        <v>14</v>
      </c>
      <c r="M97" s="16">
        <v>30</v>
      </c>
      <c r="N97" s="16">
        <v>60</v>
      </c>
      <c r="O97" s="16">
        <v>90</v>
      </c>
      <c r="P97" s="16" t="s">
        <v>11</v>
      </c>
      <c r="Q97" s="16" t="s">
        <v>53</v>
      </c>
      <c r="S97" s="24">
        <v>46106</v>
      </c>
      <c r="T97" s="16">
        <v>7</v>
      </c>
      <c r="U97" s="16">
        <v>14</v>
      </c>
      <c r="V97" s="16">
        <v>30</v>
      </c>
      <c r="W97" s="16">
        <v>60</v>
      </c>
      <c r="X97" s="16">
        <v>90</v>
      </c>
      <c r="Y97" s="16" t="s">
        <v>11</v>
      </c>
      <c r="Z97" s="16" t="s">
        <v>53</v>
      </c>
      <c r="AB97" s="24">
        <v>46116</v>
      </c>
      <c r="AC97" s="16">
        <v>7</v>
      </c>
      <c r="AD97" s="16">
        <v>14</v>
      </c>
      <c r="AE97" s="16">
        <v>30</v>
      </c>
      <c r="AF97" s="16">
        <v>60</v>
      </c>
      <c r="AG97" s="16">
        <v>90</v>
      </c>
      <c r="AH97" s="16" t="s">
        <v>11</v>
      </c>
      <c r="AI97" s="16" t="s">
        <v>53</v>
      </c>
    </row>
    <row r="98" spans="1:44" x14ac:dyDescent="0.35">
      <c r="A98" s="14"/>
      <c r="B98" s="33">
        <f>B99*365/B97</f>
        <v>3.1708260565512791E-2</v>
      </c>
      <c r="C98" s="33">
        <f t="shared" ref="C98:F98" si="106">C99*365/C97</f>
        <v>3.1717901519644563E-2</v>
      </c>
      <c r="D98" s="33">
        <f t="shared" si="106"/>
        <v>3.1739952665787552E-2</v>
      </c>
      <c r="E98" s="33">
        <f t="shared" si="106"/>
        <v>3.1781353676550363E-2</v>
      </c>
      <c r="F98" s="33">
        <f t="shared" si="106"/>
        <v>3.1822826690937146E-2</v>
      </c>
      <c r="G98" s="15"/>
      <c r="H98" s="22"/>
      <c r="J98" s="14"/>
      <c r="K98" s="33">
        <f>K99*365/K97</f>
        <v>3.2108470364739912E-2</v>
      </c>
      <c r="L98" s="33">
        <f t="shared" ref="L98:O98" si="107">L99*365/L97</f>
        <v>3.2118356223753065E-2</v>
      </c>
      <c r="M98" s="33">
        <f t="shared" si="107"/>
        <v>3.2140967715421409E-2</v>
      </c>
      <c r="N98" s="33">
        <f t="shared" si="107"/>
        <v>3.2183421488258611E-2</v>
      </c>
      <c r="O98" s="33">
        <f t="shared" si="107"/>
        <v>3.2225950028510517E-2</v>
      </c>
      <c r="P98" s="10"/>
      <c r="Q98" s="10"/>
      <c r="S98" s="14"/>
      <c r="T98" s="10"/>
      <c r="U98" s="10"/>
      <c r="V98" s="10"/>
      <c r="W98" s="10"/>
      <c r="X98" s="10"/>
      <c r="Y98" s="10"/>
      <c r="Z98" s="10"/>
      <c r="AB98" s="14"/>
      <c r="AC98" s="10"/>
      <c r="AD98" s="10"/>
      <c r="AE98" s="10"/>
      <c r="AF98" s="10"/>
      <c r="AG98" s="10"/>
      <c r="AH98" s="10"/>
      <c r="AI98" s="10"/>
      <c r="AK98" s="24">
        <v>46127</v>
      </c>
      <c r="AL98" s="16">
        <v>7</v>
      </c>
      <c r="AM98" s="16">
        <v>14</v>
      </c>
      <c r="AN98" s="16">
        <v>30</v>
      </c>
      <c r="AO98" s="16">
        <v>60</v>
      </c>
      <c r="AP98" s="16">
        <v>90</v>
      </c>
      <c r="AQ98" s="16" t="s">
        <v>11</v>
      </c>
      <c r="AR98" s="16" t="s">
        <v>53</v>
      </c>
    </row>
    <row r="99" spans="1:44" x14ac:dyDescent="0.35">
      <c r="A99" s="14" t="s">
        <v>12</v>
      </c>
      <c r="B99" s="33">
        <f>(1+$H99)^(B97/365)-1</f>
        <v>6.0810362728380696E-4</v>
      </c>
      <c r="C99" s="33">
        <f>(1+$H99)^(C97/365)-1</f>
        <v>1.2165770445891066E-3</v>
      </c>
      <c r="D99" s="33">
        <f>(1+$H99)^(D97/365)-1</f>
        <v>2.6087632328044563E-3</v>
      </c>
      <c r="E99" s="33">
        <f>(1+$H99)^(E97/365)-1</f>
        <v>5.2243321112137586E-3</v>
      </c>
      <c r="F99" s="33">
        <f>(1+$H99)^(F97/365)-1</f>
        <v>7.8467243895461447E-3</v>
      </c>
      <c r="G99" s="15">
        <v>3.1699999999999999E-2</v>
      </c>
      <c r="H99" s="33">
        <f>(1+G99/365)^365-1</f>
        <v>3.2206375697757972E-2</v>
      </c>
      <c r="J99" s="14" t="s">
        <v>12</v>
      </c>
      <c r="K99" s="13">
        <f>(1+$Q99)^(K97/365)-1</f>
        <v>6.157788837073408E-4</v>
      </c>
      <c r="L99" s="13">
        <f>(1+$Q99)^(L97/365)-1</f>
        <v>1.2319369510480627E-3</v>
      </c>
      <c r="M99" s="13">
        <f>(1+$Q99)^(M97/365)-1</f>
        <v>2.6417233738702528E-3</v>
      </c>
      <c r="N99" s="13">
        <f>(1+$Q99)^(N97/365)-1</f>
        <v>5.2904254501247028E-3</v>
      </c>
      <c r="O99" s="13">
        <f>(1+$Q99)^(O97/365)-1</f>
        <v>7.9461246645642358E-3</v>
      </c>
      <c r="P99" s="22">
        <v>3.2099999999999997E-2</v>
      </c>
      <c r="Q99" s="33">
        <f>(1+P99/365)^365-1</f>
        <v>3.2619304739437416E-2</v>
      </c>
      <c r="S99" s="14" t="s">
        <v>12</v>
      </c>
      <c r="T99" s="33">
        <f>((1+$Z99)^(T97/365)-1)*365/T97</f>
        <v>2.8806818211650764E-2</v>
      </c>
      <c r="U99" s="33">
        <f t="shared" ref="U99:X99" si="108">((1+$Z99)^(U97/365)-1)*365/U97</f>
        <v>2.8814775512232469E-2</v>
      </c>
      <c r="V99" s="33">
        <f t="shared" si="108"/>
        <v>2.8832974634983022E-2</v>
      </c>
      <c r="W99" s="33">
        <f t="shared" si="108"/>
        <v>2.8867139310035983E-2</v>
      </c>
      <c r="X99" s="33">
        <f t="shared" si="108"/>
        <v>2.8901357961484207E-2</v>
      </c>
      <c r="Y99" s="22">
        <v>2.8799999999999999E-2</v>
      </c>
      <c r="Z99" s="33">
        <f>(1+$Y99/365)^365-1</f>
        <v>2.9217560787452745E-2</v>
      </c>
      <c r="AB99" s="14" t="s">
        <v>12</v>
      </c>
      <c r="AC99" s="33">
        <f>((1+$AI99)^(AC97/365)-1)*365/AC97</f>
        <v>3.1007899748336825E-2</v>
      </c>
      <c r="AD99" s="33">
        <f t="shared" ref="AD99:AG99" si="109">((1+$AI99)^(AD97/365)-1)*365/AD97</f>
        <v>3.1017119513989746E-2</v>
      </c>
      <c r="AE99" s="33">
        <f t="shared" si="109"/>
        <v>3.103820699217404E-2</v>
      </c>
      <c r="AF99" s="33">
        <f t="shared" si="109"/>
        <v>3.1077797552172309E-2</v>
      </c>
      <c r="AG99" s="33">
        <f t="shared" si="109"/>
        <v>3.1117455444773193E-2</v>
      </c>
      <c r="AH99" s="22">
        <v>3.1E-2</v>
      </c>
      <c r="AI99" s="33">
        <f>(1+AH99/365)^365-1</f>
        <v>3.1484146077251696E-2</v>
      </c>
      <c r="AK99" s="14"/>
      <c r="AL99" s="10"/>
      <c r="AM99" s="10"/>
      <c r="AN99" s="10"/>
      <c r="AO99" s="10"/>
      <c r="AP99" s="10"/>
      <c r="AQ99" s="10"/>
      <c r="AR99" s="10"/>
    </row>
    <row r="100" spans="1:44" x14ac:dyDescent="0.35">
      <c r="A100" s="14" t="s">
        <v>54</v>
      </c>
      <c r="B100" s="22">
        <v>3.5999999999999997E-2</v>
      </c>
      <c r="C100" s="22">
        <v>0.04</v>
      </c>
      <c r="D100" s="22">
        <v>4.2000000000000003E-2</v>
      </c>
      <c r="E100" s="22">
        <v>5.7299999999999997E-2</v>
      </c>
      <c r="F100" s="22">
        <v>5.79E-2</v>
      </c>
      <c r="G100" s="15">
        <v>3.56E-2</v>
      </c>
      <c r="H100" s="33">
        <f>(1+G100/365)^365-1</f>
        <v>3.623946816391288E-2</v>
      </c>
      <c r="J100" s="14" t="s">
        <v>54</v>
      </c>
      <c r="K100" s="22">
        <v>3.2000000000000001E-2</v>
      </c>
      <c r="L100" s="22">
        <v>3.95E-2</v>
      </c>
      <c r="M100" s="22">
        <v>3.2000000000000001E-2</v>
      </c>
      <c r="N100" s="22">
        <v>4.3999999999999997E-2</v>
      </c>
      <c r="O100" s="22">
        <v>5.33E-2</v>
      </c>
      <c r="P100" s="22">
        <v>3.4500000000000003E-2</v>
      </c>
      <c r="Q100" s="33">
        <f>(1+P100/365)^365-1</f>
        <v>3.5100340771234473E-2</v>
      </c>
      <c r="S100" s="14" t="s">
        <v>54</v>
      </c>
      <c r="T100" s="22">
        <f>'Daily Data'!AT33</f>
        <v>0.03</v>
      </c>
      <c r="U100" s="22">
        <f>'Daily Data'!AU33</f>
        <v>3.3000000000000002E-2</v>
      </c>
      <c r="V100" s="22">
        <f>'Daily Data'!AV33</f>
        <v>2.8000000000000001E-2</v>
      </c>
      <c r="W100" s="22">
        <f>'Daily Data'!AW33</f>
        <v>4.2900000000000001E-2</v>
      </c>
      <c r="X100" s="22">
        <f>'Daily Data'!AX33</f>
        <v>6.5600000000000006E-2</v>
      </c>
      <c r="Y100" s="22">
        <v>3.3300000000000003E-2</v>
      </c>
      <c r="Z100" s="33">
        <f t="shared" ref="Z100:Z104" si="110">(1+$Y100/365)^365-1</f>
        <v>3.3859080551566834E-2</v>
      </c>
      <c r="AB100" s="14" t="s">
        <v>54</v>
      </c>
      <c r="AC100" s="22">
        <v>3.1E-2</v>
      </c>
      <c r="AD100" s="22">
        <v>0.03</v>
      </c>
      <c r="AE100" s="22">
        <v>4.3999999999999997E-2</v>
      </c>
      <c r="AF100" s="22">
        <v>5.7000000000000002E-2</v>
      </c>
      <c r="AG100" s="22">
        <v>5.9700000000000003E-2</v>
      </c>
      <c r="AH100" s="22">
        <v>3.4200000000000001E-2</v>
      </c>
      <c r="AI100" s="33">
        <f>(1+AH100/365)^365-1</f>
        <v>3.4789886456186414E-2</v>
      </c>
      <c r="AK100" s="14" t="s">
        <v>12</v>
      </c>
      <c r="AL100" s="33">
        <f>((1+$AR100)^(AL98/365)-1)*365/AL98</f>
        <v>2.7206081631976988E-2</v>
      </c>
      <c r="AM100" s="33">
        <f t="shared" ref="AM100:AP100" si="111">((1+$AR100)^(AM98/365)-1)*365/AM98</f>
        <v>2.721317916094455E-2</v>
      </c>
      <c r="AN100" s="33">
        <f t="shared" si="111"/>
        <v>2.7229411356470796E-2</v>
      </c>
      <c r="AO100" s="33">
        <f t="shared" si="111"/>
        <v>2.7259881528093017E-2</v>
      </c>
      <c r="AP100" s="33">
        <f t="shared" si="111"/>
        <v>2.7290397161898836E-2</v>
      </c>
      <c r="AQ100" s="22">
        <v>2.7199999999999998E-2</v>
      </c>
      <c r="AR100" s="33">
        <f>(1+AQ100/365)^365-1</f>
        <v>2.7572255500570853E-2</v>
      </c>
    </row>
    <row r="101" spans="1:44" x14ac:dyDescent="0.35">
      <c r="A101" s="14"/>
      <c r="B101" s="33">
        <f>B102*365/B97</f>
        <v>2.5005137572765568E-2</v>
      </c>
      <c r="C101" s="33">
        <f t="shared" ref="C101:F101" si="112">C102*365/C97</f>
        <v>2.5011133186924366E-2</v>
      </c>
      <c r="D101" s="33">
        <f t="shared" si="112"/>
        <v>2.5024844646748073E-2</v>
      </c>
      <c r="E101" s="33">
        <f t="shared" si="112"/>
        <v>2.5050580654265259E-2</v>
      </c>
      <c r="F101" s="33">
        <f t="shared" si="112"/>
        <v>2.5076351951623117E-2</v>
      </c>
      <c r="G101" s="15"/>
      <c r="H101" s="34"/>
      <c r="J101" s="14"/>
      <c r="K101" s="33">
        <f>K102*365/K97</f>
        <v>2.5005137572765568E-2</v>
      </c>
      <c r="L101" s="33">
        <f t="shared" ref="L101:O101" si="113">L102*365/L97</f>
        <v>2.5011133186924366E-2</v>
      </c>
      <c r="M101" s="33">
        <f t="shared" si="113"/>
        <v>2.5024844646748073E-2</v>
      </c>
      <c r="N101" s="33">
        <f t="shared" si="113"/>
        <v>2.5050580654265259E-2</v>
      </c>
      <c r="O101" s="33">
        <f t="shared" si="113"/>
        <v>2.5076351951623117E-2</v>
      </c>
      <c r="P101" s="10"/>
      <c r="Q101" s="10"/>
      <c r="S101" s="14"/>
      <c r="T101" s="10"/>
      <c r="U101" s="10"/>
      <c r="V101" s="10"/>
      <c r="W101" s="10"/>
      <c r="X101" s="10"/>
      <c r="Y101" s="10"/>
      <c r="Z101" s="34"/>
      <c r="AB101" s="14"/>
      <c r="AC101" s="10"/>
      <c r="AD101" s="10"/>
      <c r="AE101" s="10"/>
      <c r="AF101" s="10"/>
      <c r="AG101" s="10"/>
      <c r="AH101" s="10"/>
      <c r="AI101" s="10"/>
      <c r="AK101" s="14" t="s">
        <v>54</v>
      </c>
      <c r="AL101" s="22">
        <f>'Daily Data'!AT54</f>
        <v>4.2000000000000003E-2</v>
      </c>
      <c r="AM101" s="22">
        <f>'Daily Data'!AU54</f>
        <v>3.2000000000000001E-2</v>
      </c>
      <c r="AN101" s="22">
        <f>'Daily Data'!AV54</f>
        <v>3.5000000000000003E-2</v>
      </c>
      <c r="AO101" s="22">
        <f>'Daily Data'!AW54</f>
        <v>4.3499999999999997E-2</v>
      </c>
      <c r="AP101" s="22">
        <f>'Daily Data'!AX54</f>
        <v>6.4600000000000005E-2</v>
      </c>
      <c r="AQ101" s="22">
        <v>3.2899999999999999E-2</v>
      </c>
      <c r="AR101" s="33">
        <f>(1+AQ101/365)^365-1</f>
        <v>3.3445657100777071E-2</v>
      </c>
    </row>
    <row r="102" spans="1:44" x14ac:dyDescent="0.35">
      <c r="A102" s="14" t="s">
        <v>15</v>
      </c>
      <c r="B102" s="33">
        <f>(1+$H102)^(B97/365)-1</f>
        <v>4.7955058358728486E-4</v>
      </c>
      <c r="C102" s="33">
        <f>(1+$H102)^(C97/365)-1</f>
        <v>9.5933113593682506E-4</v>
      </c>
      <c r="D102" s="33">
        <f>(1+$H102)^(D97/365)-1</f>
        <v>2.0568365463080607E-3</v>
      </c>
      <c r="E102" s="33">
        <f>(1+$H102)^(E97/365)-1</f>
        <v>4.1179036691942894E-3</v>
      </c>
      <c r="F102" s="33">
        <f>(1+$H102)^(F97/365)-1</f>
        <v>6.1832100702632342E-3</v>
      </c>
      <c r="G102" s="15">
        <v>2.5000000000000001E-2</v>
      </c>
      <c r="H102" s="33">
        <f>(1+G102/365)^365-1</f>
        <v>2.5314242726610869E-2</v>
      </c>
      <c r="J102" s="14" t="s">
        <v>15</v>
      </c>
      <c r="K102" s="33">
        <f>(1+$Q102)^(K97/365)-1</f>
        <v>4.7955058358728486E-4</v>
      </c>
      <c r="L102" s="33">
        <f>(1+$Q102)^(L97/365)-1</f>
        <v>9.5933113593682506E-4</v>
      </c>
      <c r="M102" s="33">
        <f>(1+$Q102)^(M97/365)-1</f>
        <v>2.0568365463080607E-3</v>
      </c>
      <c r="N102" s="33">
        <f>(1+$Q102)^(N97/365)-1</f>
        <v>4.1179036691942894E-3</v>
      </c>
      <c r="O102" s="33">
        <f>(1+$Q102)^(O97/365)-1</f>
        <v>6.1832100702632342E-3</v>
      </c>
      <c r="P102" s="22">
        <v>2.5000000000000001E-2</v>
      </c>
      <c r="Q102" s="33">
        <f>(1+P102/365)^365-1</f>
        <v>2.5314242726610869E-2</v>
      </c>
      <c r="S102" s="14" t="s">
        <v>15</v>
      </c>
      <c r="T102" s="33">
        <f>((1+$Z102)^(T97/365)-1)*365/T97</f>
        <v>2.5005137572765568E-2</v>
      </c>
      <c r="U102" s="33">
        <f t="shared" ref="U102:X102" si="114">((1+$Z102)^(U97/365)-1)*365/U97</f>
        <v>2.5011133186924366E-2</v>
      </c>
      <c r="V102" s="33">
        <f t="shared" si="114"/>
        <v>2.5024844646748073E-2</v>
      </c>
      <c r="W102" s="33">
        <f t="shared" si="114"/>
        <v>2.5050580654265259E-2</v>
      </c>
      <c r="X102" s="33">
        <f t="shared" si="114"/>
        <v>2.5076351951623117E-2</v>
      </c>
      <c r="Y102" s="22">
        <v>2.5000000000000001E-2</v>
      </c>
      <c r="Z102" s="33">
        <f t="shared" si="110"/>
        <v>2.5314242726610869E-2</v>
      </c>
      <c r="AB102" s="14" t="s">
        <v>15</v>
      </c>
      <c r="AC102" s="33">
        <f>((1+$AI102)^(AC97/365)-1)*365/AC97</f>
        <v>2.5005137572765568E-2</v>
      </c>
      <c r="AD102" s="33">
        <f t="shared" ref="AD102:AG102" si="115">((1+$AI102)^(AD97/365)-1)*365/AD97</f>
        <v>2.5011133186924366E-2</v>
      </c>
      <c r="AE102" s="33">
        <f t="shared" si="115"/>
        <v>2.5024844646748073E-2</v>
      </c>
      <c r="AF102" s="33">
        <f t="shared" si="115"/>
        <v>2.5050580654265259E-2</v>
      </c>
      <c r="AG102" s="33">
        <f t="shared" si="115"/>
        <v>2.5076351951623117E-2</v>
      </c>
      <c r="AH102" s="22">
        <v>2.5000000000000001E-2</v>
      </c>
      <c r="AI102" s="33">
        <f>(1+AH102/365)^365-1</f>
        <v>2.5314242726610869E-2</v>
      </c>
      <c r="AK102" s="14"/>
      <c r="AL102" s="10"/>
      <c r="AM102" s="10"/>
      <c r="AN102" s="10"/>
      <c r="AO102" s="10"/>
      <c r="AP102" s="10"/>
      <c r="AQ102" s="10"/>
      <c r="AR102" s="10"/>
    </row>
    <row r="103" spans="1:44" x14ac:dyDescent="0.35">
      <c r="A103" s="14"/>
      <c r="B103" s="34"/>
      <c r="C103" s="33">
        <f>C104*365/C97</f>
        <v>3.2218470791195206E-2</v>
      </c>
      <c r="D103" s="34"/>
      <c r="E103" s="33">
        <f>E104*365/E97</f>
        <v>3.2283942502945993E-2</v>
      </c>
      <c r="F103" s="33">
        <f>F104*365/F97</f>
        <v>3.2326737006068758E-2</v>
      </c>
      <c r="G103" s="15"/>
      <c r="H103" s="34"/>
      <c r="J103" s="14"/>
      <c r="K103" s="10"/>
      <c r="L103" s="33">
        <f>L104*365/L97</f>
        <v>3.1117230159457634E-2</v>
      </c>
      <c r="M103" s="10"/>
      <c r="N103" s="33">
        <f>N104*365/N97</f>
        <v>3.1178300696434385E-2</v>
      </c>
      <c r="O103" s="33">
        <f>O104*365/O97</f>
        <v>3.1218215395197819E-2</v>
      </c>
      <c r="P103" s="10"/>
      <c r="Q103" s="10"/>
      <c r="S103" s="14"/>
      <c r="T103" s="10"/>
      <c r="U103" s="10"/>
      <c r="V103" s="10"/>
      <c r="W103" s="10"/>
      <c r="X103" s="10"/>
      <c r="Y103" s="10"/>
      <c r="Z103" s="34"/>
      <c r="AB103" s="14"/>
      <c r="AC103" s="10"/>
      <c r="AD103" s="10"/>
      <c r="AE103" s="10"/>
      <c r="AF103" s="10"/>
      <c r="AG103" s="10"/>
      <c r="AH103" s="10"/>
      <c r="AI103" s="10"/>
      <c r="AK103" s="14" t="s">
        <v>15</v>
      </c>
      <c r="AL103" s="33">
        <f>((1+$AR103)^(AL98/365)-1)*365/AL98</f>
        <v>2.5005137572765568E-2</v>
      </c>
      <c r="AM103" s="33">
        <f t="shared" ref="AM103:AP103" si="116">((1+$AR103)^(AM98/365)-1)*365/AM98</f>
        <v>2.5011133186924366E-2</v>
      </c>
      <c r="AN103" s="33">
        <f t="shared" si="116"/>
        <v>2.5024844646748073E-2</v>
      </c>
      <c r="AO103" s="33">
        <f t="shared" si="116"/>
        <v>2.5050580654265259E-2</v>
      </c>
      <c r="AP103" s="33">
        <f t="shared" si="116"/>
        <v>2.5076351951623117E-2</v>
      </c>
      <c r="AQ103" s="22">
        <v>2.5000000000000001E-2</v>
      </c>
      <c r="AR103" s="33">
        <f>(1+AQ103/365)^365-1</f>
        <v>2.5314242726610869E-2</v>
      </c>
    </row>
    <row r="104" spans="1:44" x14ac:dyDescent="0.35">
      <c r="A104" s="14" t="s">
        <v>17</v>
      </c>
      <c r="B104" s="22">
        <v>3.8600000000000002E-2</v>
      </c>
      <c r="C104" s="33">
        <f>(1+H104)^(C97/365)-1</f>
        <v>1.2357769618540626E-3</v>
      </c>
      <c r="D104" s="10" t="s">
        <v>27</v>
      </c>
      <c r="E104" s="33">
        <f>(1+H104)^(E97/365)-1</f>
        <v>5.306949452539067E-3</v>
      </c>
      <c r="F104" s="8">
        <f>(1+H104)^(F97/365)-1</f>
        <v>7.9709762480717483E-3</v>
      </c>
      <c r="G104" s="15">
        <v>3.2199999999999999E-2</v>
      </c>
      <c r="H104" s="33">
        <f>(1+G104/365)^365-1</f>
        <v>3.2722562737591776E-2</v>
      </c>
      <c r="J104" s="14" t="s">
        <v>17</v>
      </c>
      <c r="K104" s="22">
        <v>3.8600000000000002E-2</v>
      </c>
      <c r="L104" s="33">
        <f>(1+Q104)^(L97/365)-1</f>
        <v>1.1935375951572791E-3</v>
      </c>
      <c r="M104" s="22">
        <v>5.4800000000000001E-2</v>
      </c>
      <c r="N104" s="33">
        <f>(1+$Q104)^(N97/365)-1</f>
        <v>5.1252001144823645E-3</v>
      </c>
      <c r="O104" s="33">
        <f>(1+$Q104)^(O97/365)-1</f>
        <v>7.697642152240558E-3</v>
      </c>
      <c r="P104" s="22">
        <v>3.1099999999999999E-2</v>
      </c>
      <c r="Q104" s="33">
        <f>(1+P104/365)^365-1</f>
        <v>3.1587290874597329E-2</v>
      </c>
      <c r="S104" s="14" t="s">
        <v>17</v>
      </c>
      <c r="T104" s="22">
        <v>3.7600000000000001E-2</v>
      </c>
      <c r="U104" s="33">
        <f>((1+Z104)^(V97/365)-1)*365/V97</f>
        <v>2.9935542634702439E-2</v>
      </c>
      <c r="V104" s="22">
        <v>5.4800000000000001E-2</v>
      </c>
      <c r="W104" s="33">
        <f>((1+$Z104)^(W97/365)-1)*365/W97</f>
        <v>2.9972370170845902E-2</v>
      </c>
      <c r="X104" s="33">
        <f>((1+$Z104)^(X97/365)-1)*365/X97</f>
        <v>3.0009258115333635E-2</v>
      </c>
      <c r="Y104" s="22">
        <v>2.9899999999999999E-2</v>
      </c>
      <c r="Z104" s="33">
        <f t="shared" si="110"/>
        <v>3.0350231880070799E-2</v>
      </c>
      <c r="AB104" s="14" t="s">
        <v>17</v>
      </c>
      <c r="AC104" s="22">
        <v>3.7600000000000001E-2</v>
      </c>
      <c r="AD104" s="33">
        <f>((1+AI104)^(AD97/365)-1)*365/AD97</f>
        <v>3.0816899292500168E-2</v>
      </c>
      <c r="AE104" s="22">
        <v>5.4800000000000001E-2</v>
      </c>
      <c r="AF104" s="33">
        <f>((1+$AI104)^(AF97/365)-1)*365/AF97</f>
        <v>3.087679613673544E-2</v>
      </c>
      <c r="AG104" s="33">
        <f>((1+$AI104)^(AG97/365)-1)*365/AG97</f>
        <v>3.0915942913661267E-2</v>
      </c>
      <c r="AH104" s="22">
        <v>3.0800000000000001E-2</v>
      </c>
      <c r="AI104" s="33">
        <f>(1+AH104/365)^365-1</f>
        <v>3.127788733589032E-2</v>
      </c>
      <c r="AK104" s="14"/>
      <c r="AL104" s="10"/>
      <c r="AM104" s="10"/>
      <c r="AN104" s="10"/>
      <c r="AO104" s="10"/>
      <c r="AP104" s="10"/>
      <c r="AQ104" s="10"/>
      <c r="AR104" s="10"/>
    </row>
    <row r="105" spans="1:44" x14ac:dyDescent="0.35">
      <c r="AK105" s="14" t="s">
        <v>17</v>
      </c>
      <c r="AL105" s="22">
        <v>3.5700000000000003E-2</v>
      </c>
      <c r="AM105" s="33">
        <f>((1+AR105)^(AM98/365)-1)*365/AM98</f>
        <v>2.7713668217315055E-2</v>
      </c>
      <c r="AN105" s="22">
        <v>5.4800000000000001E-2</v>
      </c>
      <c r="AO105" s="33">
        <f>((1+$AR105)^(AO98/365)-1)*365/AO98</f>
        <v>2.7762104935491045E-2</v>
      </c>
      <c r="AP105" s="33">
        <f>((1+$AR105)^(AP98/365)-1)*365/AP98</f>
        <v>2.7793754904522662E-2</v>
      </c>
      <c r="AQ105" s="22">
        <v>2.7699999999999999E-2</v>
      </c>
      <c r="AR105" s="33">
        <f>(1+AQ105/365)^365-1</f>
        <v>2.8086131440423268E-2</v>
      </c>
    </row>
    <row r="106" spans="1:44" x14ac:dyDescent="0.35">
      <c r="G106" s="31">
        <f>(1+H104)^(1/365)-1</f>
        <v>8.8219178082216132E-5</v>
      </c>
    </row>
    <row r="107" spans="1:44" x14ac:dyDescent="0.35">
      <c r="G107" s="31">
        <f>G106*365</f>
        <v>3.2200000000008888E-2</v>
      </c>
    </row>
    <row r="109" spans="1:44" x14ac:dyDescent="0.35">
      <c r="G109" s="31">
        <f>(1+G104/365)^365-1</f>
        <v>3.2722562737591776E-2</v>
      </c>
    </row>
    <row r="111" spans="1:44" x14ac:dyDescent="0.35">
      <c r="R111" s="18"/>
      <c r="S111" s="41"/>
      <c r="T111" s="42"/>
      <c r="U111" s="42"/>
      <c r="V111" s="42"/>
      <c r="W111" s="42"/>
      <c r="X111" s="42"/>
      <c r="Y111" s="42"/>
      <c r="Z111" s="42"/>
    </row>
    <row r="112" spans="1:44" x14ac:dyDescent="0.35">
      <c r="C112" s="28"/>
      <c r="R112" s="18"/>
      <c r="S112" s="41"/>
      <c r="T112" s="42"/>
      <c r="U112" s="42"/>
      <c r="V112" s="42"/>
      <c r="W112" s="42"/>
      <c r="X112" s="42"/>
      <c r="Y112" s="42"/>
      <c r="Z112" s="42"/>
    </row>
    <row r="113" spans="3:26" x14ac:dyDescent="0.35">
      <c r="C113" s="28"/>
      <c r="R113" s="18"/>
      <c r="S113" s="41"/>
      <c r="T113" s="42"/>
      <c r="U113" s="42"/>
      <c r="V113" s="42"/>
      <c r="W113" s="42"/>
      <c r="X113" s="42"/>
      <c r="Y113" s="42"/>
      <c r="Z113" s="42"/>
    </row>
    <row r="114" spans="3:26" x14ac:dyDescent="0.35">
      <c r="R114" s="18"/>
      <c r="S114" s="41"/>
      <c r="T114" s="42"/>
      <c r="U114" s="42"/>
      <c r="V114" s="42"/>
      <c r="W114" s="42"/>
      <c r="X114" s="42"/>
      <c r="Y114" s="42"/>
      <c r="Z114" s="42"/>
    </row>
    <row r="115" spans="3:26" x14ac:dyDescent="0.35">
      <c r="R115" s="18"/>
      <c r="S115" s="41"/>
      <c r="T115" s="42"/>
      <c r="U115" s="42"/>
      <c r="V115" s="42"/>
      <c r="W115" s="42"/>
      <c r="X115" s="42"/>
      <c r="Y115" s="42"/>
      <c r="Z115" s="42"/>
    </row>
    <row r="116" spans="3:26" x14ac:dyDescent="0.35">
      <c r="R116" s="18"/>
      <c r="S116" s="66"/>
      <c r="T116" s="66"/>
      <c r="U116" s="66"/>
      <c r="V116" s="66"/>
      <c r="W116" s="66"/>
      <c r="X116" s="66"/>
      <c r="Y116" s="42"/>
      <c r="Z116" s="42"/>
    </row>
    <row r="117" spans="3:26" x14ac:dyDescent="0.35">
      <c r="R117" s="18"/>
      <c r="S117" s="41"/>
      <c r="T117" s="42"/>
      <c r="U117" s="42"/>
      <c r="V117" s="42"/>
      <c r="W117" s="42"/>
      <c r="X117" s="42"/>
      <c r="Y117" s="42"/>
      <c r="Z117" s="42"/>
    </row>
    <row r="118" spans="3:26" x14ac:dyDescent="0.35">
      <c r="R118" s="18"/>
      <c r="S118" s="41"/>
      <c r="T118" s="42"/>
      <c r="U118" s="42"/>
      <c r="V118" s="42"/>
      <c r="W118" s="42"/>
      <c r="X118" s="42"/>
      <c r="Y118" s="42"/>
      <c r="Z118" s="42"/>
    </row>
    <row r="119" spans="3:26" x14ac:dyDescent="0.35">
      <c r="R119" s="18"/>
      <c r="S119" s="41"/>
      <c r="T119" s="42"/>
      <c r="U119" s="42"/>
      <c r="V119" s="42"/>
      <c r="W119" s="42"/>
      <c r="X119" s="42"/>
      <c r="Y119" s="42"/>
      <c r="Z119" s="42"/>
    </row>
    <row r="120" spans="3:26" x14ac:dyDescent="0.35">
      <c r="R120" s="18"/>
      <c r="S120" s="41"/>
      <c r="T120" s="42"/>
      <c r="U120" s="42"/>
      <c r="V120" s="42"/>
      <c r="W120" s="42"/>
      <c r="X120" s="42"/>
      <c r="Y120" s="42"/>
      <c r="Z120" s="42"/>
    </row>
    <row r="121" spans="3:26" x14ac:dyDescent="0.35">
      <c r="R121" s="18"/>
      <c r="S121" s="41"/>
      <c r="T121" s="42"/>
      <c r="U121" s="42"/>
      <c r="V121" s="42"/>
      <c r="W121" s="42"/>
      <c r="X121" s="42"/>
      <c r="Y121" s="42"/>
      <c r="Z121" s="42"/>
    </row>
    <row r="122" spans="3:26" x14ac:dyDescent="0.35">
      <c r="R122" s="18"/>
      <c r="S122" s="41"/>
      <c r="T122" s="42"/>
      <c r="U122" s="42"/>
      <c r="V122" s="42"/>
      <c r="W122" s="42"/>
      <c r="X122" s="42"/>
      <c r="Y122" s="42"/>
      <c r="Z122" s="4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1888E-8AAA-4811-A2BF-669C15178E5A}">
  <dimension ref="A1:DL216"/>
  <sheetViews>
    <sheetView topLeftCell="CK1" zoomScaleNormal="100" workbookViewId="0">
      <selection activeCell="J39" sqref="J39"/>
    </sheetView>
  </sheetViews>
  <sheetFormatPr defaultRowHeight="14.5" x14ac:dyDescent="0.35"/>
  <cols>
    <col min="1" max="1" width="10.7265625" bestFit="1" customWidth="1"/>
    <col min="10" max="10" width="10.7265625" bestFit="1" customWidth="1"/>
    <col min="19" max="19" width="9.54296875" bestFit="1" customWidth="1"/>
    <col min="28" max="28" width="10.7265625" bestFit="1" customWidth="1"/>
    <col min="29" max="29" width="11.7265625" bestFit="1" customWidth="1"/>
    <col min="37" max="37" width="10.7265625" bestFit="1" customWidth="1"/>
    <col min="44" max="44" width="9.26953125" bestFit="1" customWidth="1"/>
    <col min="46" max="46" width="10.7265625" bestFit="1" customWidth="1"/>
    <col min="55" max="55" width="10.7265625" bestFit="1" customWidth="1"/>
    <col min="64" max="64" width="10.7265625" bestFit="1" customWidth="1"/>
    <col min="73" max="73" width="9.81640625" bestFit="1" customWidth="1"/>
    <col min="82" max="82" width="8.81640625" bestFit="1" customWidth="1"/>
    <col min="89" max="89" width="9.26953125" bestFit="1" customWidth="1"/>
    <col min="91" max="91" width="8.81640625" bestFit="1" customWidth="1"/>
    <col min="100" max="100" width="9.81640625" bestFit="1" customWidth="1"/>
    <col min="109" max="109" width="9.81640625" bestFit="1" customWidth="1"/>
  </cols>
  <sheetData>
    <row r="1" spans="1:116" x14ac:dyDescent="0.35">
      <c r="A1" s="24">
        <v>46077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11</v>
      </c>
      <c r="H1" s="16" t="s">
        <v>53</v>
      </c>
      <c r="J1" s="24">
        <v>46081</v>
      </c>
      <c r="K1" s="16" t="s">
        <v>5</v>
      </c>
      <c r="L1" s="16" t="s">
        <v>6</v>
      </c>
      <c r="M1" s="16" t="s">
        <v>7</v>
      </c>
      <c r="N1" s="16" t="s">
        <v>8</v>
      </c>
      <c r="O1" s="16" t="s">
        <v>9</v>
      </c>
      <c r="P1" s="16" t="s">
        <v>11</v>
      </c>
      <c r="Q1" s="16" t="s">
        <v>53</v>
      </c>
      <c r="S1" s="24">
        <v>46085</v>
      </c>
      <c r="T1" s="16" t="s">
        <v>5</v>
      </c>
      <c r="U1" s="16" t="s">
        <v>6</v>
      </c>
      <c r="V1" s="16" t="s">
        <v>7</v>
      </c>
      <c r="W1" s="16" t="s">
        <v>8</v>
      </c>
      <c r="X1" s="16" t="s">
        <v>9</v>
      </c>
      <c r="Y1" s="16" t="s">
        <v>11</v>
      </c>
      <c r="Z1" s="16" t="s">
        <v>53</v>
      </c>
      <c r="AB1" s="24">
        <v>46089</v>
      </c>
      <c r="AC1" s="16" t="s">
        <v>5</v>
      </c>
      <c r="AD1" s="16" t="s">
        <v>6</v>
      </c>
      <c r="AE1" s="16" t="s">
        <v>7</v>
      </c>
      <c r="AF1" s="16" t="s">
        <v>8</v>
      </c>
      <c r="AG1" s="16" t="s">
        <v>9</v>
      </c>
      <c r="AH1" s="16" t="s">
        <v>11</v>
      </c>
      <c r="AI1" s="16" t="s">
        <v>53</v>
      </c>
      <c r="AK1" s="24">
        <v>46093</v>
      </c>
      <c r="AL1" s="16" t="s">
        <v>5</v>
      </c>
      <c r="AM1" s="16" t="s">
        <v>6</v>
      </c>
      <c r="AN1" s="16" t="s">
        <v>7</v>
      </c>
      <c r="AO1" s="16" t="s">
        <v>8</v>
      </c>
      <c r="AP1" s="16" t="s">
        <v>9</v>
      </c>
      <c r="AQ1" s="16" t="s">
        <v>11</v>
      </c>
      <c r="AR1" s="16" t="s">
        <v>53</v>
      </c>
      <c r="AT1" s="24">
        <v>46097</v>
      </c>
      <c r="AU1" s="16" t="s">
        <v>5</v>
      </c>
      <c r="AV1" s="16" t="s">
        <v>6</v>
      </c>
      <c r="AW1" s="16" t="s">
        <v>7</v>
      </c>
      <c r="AX1" s="16" t="s">
        <v>8</v>
      </c>
      <c r="AY1" s="16" t="s">
        <v>9</v>
      </c>
      <c r="AZ1" s="16" t="s">
        <v>11</v>
      </c>
      <c r="BA1" s="16" t="s">
        <v>53</v>
      </c>
      <c r="BC1" s="39">
        <v>46101</v>
      </c>
      <c r="BD1" s="40" t="s">
        <v>5</v>
      </c>
      <c r="BE1" s="40" t="s">
        <v>6</v>
      </c>
      <c r="BF1" s="40" t="s">
        <v>7</v>
      </c>
      <c r="BG1" s="40" t="s">
        <v>8</v>
      </c>
      <c r="BH1" s="40" t="s">
        <v>9</v>
      </c>
      <c r="BI1" s="40" t="s">
        <v>11</v>
      </c>
      <c r="BJ1" s="70" t="s">
        <v>53</v>
      </c>
      <c r="BL1" s="24">
        <v>46106</v>
      </c>
      <c r="BM1" s="16" t="s">
        <v>5</v>
      </c>
      <c r="BN1" s="16" t="s">
        <v>6</v>
      </c>
      <c r="BO1" s="16" t="s">
        <v>7</v>
      </c>
      <c r="BP1" s="16" t="s">
        <v>8</v>
      </c>
      <c r="BQ1" s="16" t="s">
        <v>9</v>
      </c>
      <c r="BR1" s="16" t="s">
        <v>11</v>
      </c>
      <c r="BS1" s="16" t="s">
        <v>53</v>
      </c>
      <c r="BU1" s="24">
        <v>46110</v>
      </c>
      <c r="BV1" s="16" t="s">
        <v>5</v>
      </c>
      <c r="BW1" s="16" t="s">
        <v>6</v>
      </c>
      <c r="BX1" s="16" t="s">
        <v>7</v>
      </c>
      <c r="BY1" s="16" t="s">
        <v>8</v>
      </c>
      <c r="BZ1" s="16" t="s">
        <v>9</v>
      </c>
      <c r="CA1" s="16" t="s">
        <v>11</v>
      </c>
      <c r="CB1" s="16" t="s">
        <v>53</v>
      </c>
      <c r="CD1" s="24">
        <v>46114</v>
      </c>
      <c r="CE1" s="16" t="s">
        <v>5</v>
      </c>
      <c r="CF1" s="16" t="s">
        <v>6</v>
      </c>
      <c r="CG1" s="16" t="s">
        <v>7</v>
      </c>
      <c r="CH1" s="16" t="s">
        <v>8</v>
      </c>
      <c r="CI1" s="16" t="s">
        <v>9</v>
      </c>
      <c r="CJ1" s="16" t="s">
        <v>11</v>
      </c>
      <c r="CK1" s="16" t="s">
        <v>53</v>
      </c>
      <c r="CM1" s="24">
        <v>46118</v>
      </c>
      <c r="CN1" s="16" t="s">
        <v>5</v>
      </c>
      <c r="CO1" s="16" t="s">
        <v>6</v>
      </c>
      <c r="CP1" s="16" t="s">
        <v>7</v>
      </c>
      <c r="CQ1" s="16" t="s">
        <v>8</v>
      </c>
      <c r="CR1" s="16" t="s">
        <v>9</v>
      </c>
      <c r="CS1" s="16" t="s">
        <v>11</v>
      </c>
      <c r="CT1" s="16" t="s">
        <v>53</v>
      </c>
      <c r="CV1" s="24">
        <v>46122</v>
      </c>
      <c r="CW1" s="16" t="s">
        <v>5</v>
      </c>
      <c r="CX1" s="16" t="s">
        <v>6</v>
      </c>
      <c r="CY1" s="16" t="s">
        <v>7</v>
      </c>
      <c r="CZ1" s="16" t="s">
        <v>8</v>
      </c>
      <c r="DA1" s="16" t="s">
        <v>9</v>
      </c>
      <c r="DB1" s="16" t="s">
        <v>11</v>
      </c>
      <c r="DC1" s="16" t="s">
        <v>53</v>
      </c>
      <c r="DE1" s="24">
        <v>46126</v>
      </c>
      <c r="DF1" s="16" t="s">
        <v>5</v>
      </c>
      <c r="DG1" s="16" t="s">
        <v>6</v>
      </c>
      <c r="DH1" s="16" t="s">
        <v>7</v>
      </c>
      <c r="DI1" s="16" t="s">
        <v>8</v>
      </c>
      <c r="DJ1" s="16" t="s">
        <v>9</v>
      </c>
      <c r="DK1" s="16" t="s">
        <v>11</v>
      </c>
      <c r="DL1" s="16" t="s">
        <v>53</v>
      </c>
    </row>
    <row r="2" spans="1:116" x14ac:dyDescent="0.35">
      <c r="A2" s="45" t="s">
        <v>12</v>
      </c>
      <c r="B2" s="29">
        <f>'Günlük taslak'!B3</f>
        <v>3.0507646955369054E-2</v>
      </c>
      <c r="C2" s="29">
        <f>'Günlük taslak'!C3</f>
        <v>3.0516571634355998E-2</v>
      </c>
      <c r="D2" s="29">
        <f>'Günlük taslak'!D3</f>
        <v>3.0536983974912592E-2</v>
      </c>
      <c r="E2" s="29">
        <f>'Günlük taslak'!E3</f>
        <v>3.0575306196430729E-2</v>
      </c>
      <c r="F2" s="29">
        <f>'Günlük taslak'!F3</f>
        <v>3.0613692540966575E-2</v>
      </c>
      <c r="G2" s="38">
        <v>3.0499999999999999E-2</v>
      </c>
      <c r="H2" s="29">
        <f>'Günlük taslak'!H4</f>
        <v>3.0968576342366605E-2</v>
      </c>
      <c r="J2" s="14" t="s">
        <v>12</v>
      </c>
      <c r="K2" s="33">
        <f>'Günlük taslak'!B43</f>
        <v>3.1308053397499487E-2</v>
      </c>
      <c r="L2" s="33">
        <f>'Günlük taslak'!C43</f>
        <v>3.1317452520042227E-2</v>
      </c>
      <c r="M2" s="33">
        <f>'Günlük taslak'!D43</f>
        <v>3.13389503593711E-2</v>
      </c>
      <c r="N2" s="33">
        <f>'Günlük taslak'!E43</f>
        <v>3.137931185839702E-2</v>
      </c>
      <c r="O2" s="33">
        <f>'Günlük taslak'!F43</f>
        <v>3.1419742666299495E-2</v>
      </c>
      <c r="P2" s="15">
        <v>3.1300000000000001E-2</v>
      </c>
      <c r="Q2" s="33">
        <f>'Günlük taslak'!H44</f>
        <v>3.1793611327958216E-2</v>
      </c>
      <c r="S2" s="14" t="s">
        <v>12</v>
      </c>
      <c r="T2" s="33">
        <f>'Günlük taslak'!B87</f>
        <v>3.0407596890108839E-2</v>
      </c>
      <c r="U2" s="33">
        <f>'Günlük taslak'!C87</f>
        <v>3.0416463127971544E-2</v>
      </c>
      <c r="V2" s="33">
        <f>'Günlük taslak'!D87</f>
        <v>3.0436741760606328E-2</v>
      </c>
      <c r="W2" s="33">
        <f>'Günlük taslak'!E87</f>
        <v>3.0474812798236512E-2</v>
      </c>
      <c r="X2" s="33">
        <f>'Günlük taslak'!F87</f>
        <v>3.0512947329474491E-2</v>
      </c>
      <c r="Y2" s="22">
        <v>3.04E-2</v>
      </c>
      <c r="Z2" s="33">
        <f>'Günlük taslak'!H88</f>
        <v>3.0865493238620978E-2</v>
      </c>
      <c r="AB2" s="14" t="s">
        <v>12</v>
      </c>
      <c r="AC2" s="33">
        <f>'Günlük taslak'!K23</f>
        <v>3.070774757920661E-2</v>
      </c>
      <c r="AD2" s="33">
        <f>'Günlük taslak'!L23</f>
        <v>3.0716789716640571E-2</v>
      </c>
      <c r="AE2" s="33">
        <f>'Günlük taslak'!M23</f>
        <v>3.0737470792634409E-2</v>
      </c>
      <c r="AF2" s="33">
        <f>'Günlük taslak'!N23</f>
        <v>3.0776297865676816E-2</v>
      </c>
      <c r="AG2" s="33">
        <f>'Günlük taslak'!O23</f>
        <v>3.0815190333023493E-2</v>
      </c>
      <c r="AH2" s="22">
        <v>3.0700000000000002E-2</v>
      </c>
      <c r="AI2" s="33">
        <f>'Günlük taslak'!Q24</f>
        <v>3.1174773390001631E-2</v>
      </c>
      <c r="AK2" s="14" t="s">
        <v>12</v>
      </c>
      <c r="AL2" s="33">
        <f>'Günlük taslak'!K65</f>
        <v>3.1308053397499487E-2</v>
      </c>
      <c r="AM2" s="33">
        <f>'Günlük taslak'!L65</f>
        <v>3.131745252004222E-2</v>
      </c>
      <c r="AN2" s="33">
        <f>'Günlük taslak'!M65</f>
        <v>3.13389503593711E-2</v>
      </c>
      <c r="AO2" s="33">
        <f>'Günlük taslak'!N65</f>
        <v>3.137931185839702E-2</v>
      </c>
      <c r="AP2" s="33">
        <f>'Günlük taslak'!O65</f>
        <v>3.1419742666299495E-2</v>
      </c>
      <c r="AQ2" s="22">
        <v>3.1300000000000001E-2</v>
      </c>
      <c r="AR2" s="33">
        <f>'Günlük taslak'!Q66</f>
        <v>3.1793611327958216E-2</v>
      </c>
      <c r="AT2" s="14" t="s">
        <v>12</v>
      </c>
      <c r="AU2" s="33">
        <f>'Günlük taslak'!T3</f>
        <v>3.320906088040159E-2</v>
      </c>
      <c r="AV2" s="33">
        <f>'Günlük taslak'!U3</f>
        <v>3.3219636075024761E-2</v>
      </c>
      <c r="AW2" s="33">
        <f>'Günlük taslak'!V3</f>
        <v>3.3243824812786905E-2</v>
      </c>
      <c r="AX2" s="33">
        <f>'Günlük taslak'!W3</f>
        <v>3.3289242013672393E-2</v>
      </c>
      <c r="AY2" s="33">
        <f>'Günlük taslak'!X3</f>
        <v>3.3334741945595443E-2</v>
      </c>
      <c r="AZ2" s="10" t="s">
        <v>36</v>
      </c>
      <c r="BA2" s="33">
        <f>'Günlük taslak'!Z4</f>
        <v>3.3755709228882935E-2</v>
      </c>
      <c r="BC2" s="21" t="s">
        <v>12</v>
      </c>
      <c r="BD2" s="33">
        <f>'Günlük taslak'!T44</f>
        <v>2.8706770942093587E-2</v>
      </c>
      <c r="BE2" s="33">
        <f>'Günlük taslak'!U44</f>
        <v>2.8714673066593095E-2</v>
      </c>
      <c r="BF2" s="33">
        <f>'Günlük taslak'!V44</f>
        <v>2.8732745958280088E-2</v>
      </c>
      <c r="BG2" s="33">
        <f>'Günlük taslak'!W44</f>
        <v>2.8766673520893533E-2</v>
      </c>
      <c r="BH2" s="33">
        <f>'Günlük taslak'!X44</f>
        <v>2.8800654498963827E-2</v>
      </c>
      <c r="BI2" s="20">
        <f>'Günlük taslak'!Y44</f>
        <v>2.87E-2</v>
      </c>
      <c r="BJ2" s="33">
        <f>'Günlük taslak'!Z44</f>
        <v>2.9114652282718589E-2</v>
      </c>
      <c r="BL2" s="14" t="s">
        <v>12</v>
      </c>
      <c r="BM2" s="33">
        <f>'Günlük taslak'!T99</f>
        <v>2.8806818211650764E-2</v>
      </c>
      <c r="BN2" s="33">
        <f>'Günlük taslak'!U99</f>
        <v>2.8814775512232469E-2</v>
      </c>
      <c r="BO2" s="33">
        <f>'Günlük taslak'!V99</f>
        <v>2.8832974634983022E-2</v>
      </c>
      <c r="BP2" s="33">
        <f>'Günlük taslak'!W99</f>
        <v>2.8867139310035983E-2</v>
      </c>
      <c r="BQ2" s="33">
        <f>'Günlük taslak'!X99</f>
        <v>2.8901357961484207E-2</v>
      </c>
      <c r="BR2" s="22">
        <f>'Günlük taslak'!Y99</f>
        <v>2.8799999999999999E-2</v>
      </c>
      <c r="BS2" s="33">
        <f>'Günlük taslak'!Z99</f>
        <v>2.9217560787452745E-2</v>
      </c>
      <c r="BU2" s="14" t="s">
        <v>12</v>
      </c>
      <c r="BV2" s="33">
        <f>'Günlük taslak'!AC34</f>
        <v>2.9907349030706052E-2</v>
      </c>
      <c r="BW2" s="33">
        <f>'Günlük taslak'!AD34</f>
        <v>2.9915925943969159E-2</v>
      </c>
      <c r="BX2" s="33">
        <f>'Günlük taslak'!AE34</f>
        <v>2.9935542634702439E-2</v>
      </c>
      <c r="BY2" s="33">
        <f>'Günlük taslak'!AF34</f>
        <v>2.9972370170845902E-2</v>
      </c>
      <c r="BZ2" s="33">
        <f>'Günlük taslak'!AG34</f>
        <v>3.0009258115333635E-2</v>
      </c>
      <c r="CA2" s="22">
        <f>'Günlük taslak'!AH34</f>
        <v>2.9899999999999999E-2</v>
      </c>
      <c r="CB2" s="33">
        <f>'Günlük taslak'!AI34</f>
        <v>3.0350231880070799E-2</v>
      </c>
      <c r="CD2" s="14" t="s">
        <v>12</v>
      </c>
      <c r="CE2" s="33">
        <f>'Günlük taslak'!AC77</f>
        <v>3.0807798137726067E-2</v>
      </c>
      <c r="CF2" s="33">
        <f>'Günlük taslak'!AD77</f>
        <v>3.0816899292500168E-2</v>
      </c>
      <c r="CG2" s="33">
        <f>'Günlük taslak'!AE77</f>
        <v>3.0837715396014837E-2</v>
      </c>
      <c r="CH2" s="33">
        <f>'Günlük taslak'!AF77</f>
        <v>3.087679613673544E-2</v>
      </c>
      <c r="CI2" s="33">
        <f>'Günlük taslak'!AG77</f>
        <v>3.0915942913661267E-2</v>
      </c>
      <c r="CJ2" s="22">
        <f>'Günlük taslak'!AH77</f>
        <v>3.0800000000000001E-2</v>
      </c>
      <c r="CK2" s="33">
        <f>'Günlük taslak'!AI77</f>
        <v>3.127788733589032E-2</v>
      </c>
      <c r="CM2" s="14" t="s">
        <v>12</v>
      </c>
      <c r="CN2" s="33">
        <f>'Günlük taslak'!AL14</f>
        <v>3.1007899748336825E-2</v>
      </c>
      <c r="CO2" s="33">
        <f>'Günlük taslak'!AM14</f>
        <v>3.1017119513989746E-2</v>
      </c>
      <c r="CP2" s="33">
        <f>'Günlük taslak'!AN14</f>
        <v>3.103820699217404E-2</v>
      </c>
      <c r="CQ2" s="33">
        <f>'Günlük taslak'!AO14</f>
        <v>3.1077797552172309E-2</v>
      </c>
      <c r="CR2" s="33">
        <f>'Günlük taslak'!AP14</f>
        <v>3.1117455444773193E-2</v>
      </c>
      <c r="CS2" s="22">
        <f>'Günlük taslak'!AQ14</f>
        <v>3.1E-2</v>
      </c>
      <c r="CT2" s="33">
        <f>'Günlük taslak'!AR14</f>
        <v>3.1484146077251696E-2</v>
      </c>
      <c r="CV2" s="14" t="s">
        <v>12</v>
      </c>
      <c r="CW2" s="33">
        <f>'Günlük taslak'!AL55</f>
        <v>2.6805904064948365E-2</v>
      </c>
      <c r="CX2" s="33">
        <f>'Günlük taslak'!AM55</f>
        <v>2.6812794332687431E-2</v>
      </c>
      <c r="CY2" s="33">
        <f>'Günlük taslak'!AN55</f>
        <v>2.6828552385075605E-2</v>
      </c>
      <c r="CZ2" s="33">
        <f>'Günlük taslak'!AO55</f>
        <v>2.6858132024380182E-2</v>
      </c>
      <c r="DA2" s="33">
        <f>'Günlük taslak'!AP55</f>
        <v>2.68877551474602E-2</v>
      </c>
      <c r="DB2" s="22">
        <f>'Günlük taslak'!AQ55</f>
        <v>2.6800000000000001E-2</v>
      </c>
      <c r="DC2" s="33">
        <f>'Günlük taslak'!AR44</f>
        <v>2.7983335754216743E-2</v>
      </c>
      <c r="DE2" s="14" t="s">
        <v>12</v>
      </c>
      <c r="DF2" s="33">
        <f>'Günlük taslak'!AL91</f>
        <v>2.8506676896215315E-2</v>
      </c>
      <c r="DG2" s="33">
        <f>'Günlük taslak'!AM91</f>
        <v>2.8514469244696868E-2</v>
      </c>
      <c r="DH2" s="33">
        <f>'Günlük taslak'!AN91</f>
        <v>2.8532290993570169E-2</v>
      </c>
      <c r="DI2" s="33">
        <f>'Günlük taslak'!AO91</f>
        <v>2.8565746813953425E-2</v>
      </c>
      <c r="DJ2" s="33">
        <f>'Günlük taslak'!AP91</f>
        <v>2.8599254939608972E-2</v>
      </c>
      <c r="DK2" s="22">
        <f>'Günlük taslak'!AQ91</f>
        <v>2.8500000000000001E-2</v>
      </c>
      <c r="DL2" s="33">
        <f>'Günlük taslak'!AR91</f>
        <v>2.8908866056128746E-2</v>
      </c>
    </row>
    <row r="3" spans="1:116" x14ac:dyDescent="0.35">
      <c r="A3" s="45" t="s">
        <v>54</v>
      </c>
      <c r="B3" s="38">
        <v>3.2000000000000001E-2</v>
      </c>
      <c r="C3" s="38">
        <v>3.2000000000000001E-2</v>
      </c>
      <c r="D3" s="38">
        <v>4.4999999999999998E-2</v>
      </c>
      <c r="E3" s="38">
        <v>5.0999999999999997E-2</v>
      </c>
      <c r="F3" s="38">
        <v>5.8799999999999998E-2</v>
      </c>
      <c r="G3" s="38">
        <v>3.49E-2</v>
      </c>
      <c r="H3" s="29">
        <f>'Günlük taslak'!H5</f>
        <v>3.5514424352408591E-2</v>
      </c>
      <c r="J3" s="14" t="s">
        <v>54</v>
      </c>
      <c r="K3" s="15">
        <v>3.1099999999999999E-2</v>
      </c>
      <c r="L3" s="15">
        <v>3.3500000000000002E-2</v>
      </c>
      <c r="M3" s="15">
        <v>3.2000000000000001E-2</v>
      </c>
      <c r="N3" s="15">
        <v>0.05</v>
      </c>
      <c r="O3" s="15">
        <v>5.4699999999999999E-2</v>
      </c>
      <c r="P3" s="15">
        <v>3.5099999999999999E-2</v>
      </c>
      <c r="Q3" s="33">
        <f>'Günlük taslak'!H46</f>
        <v>3.5721528087785392E-2</v>
      </c>
      <c r="S3" s="14" t="s">
        <v>54</v>
      </c>
      <c r="T3" s="10" t="s">
        <v>38</v>
      </c>
      <c r="U3" s="10" t="s">
        <v>2</v>
      </c>
      <c r="V3" s="10" t="s">
        <v>39</v>
      </c>
      <c r="W3" s="10" t="s">
        <v>40</v>
      </c>
      <c r="X3" s="10" t="s">
        <v>41</v>
      </c>
      <c r="Y3" s="10" t="s">
        <v>0</v>
      </c>
      <c r="Z3" s="33">
        <f>'Günlük taslak'!H90</f>
        <v>3.5203846182888965E-2</v>
      </c>
      <c r="AB3" s="14" t="s">
        <v>54</v>
      </c>
      <c r="AC3" s="22">
        <v>3.7499999999999999E-2</v>
      </c>
      <c r="AD3" s="22">
        <v>4.0899999999999999E-2</v>
      </c>
      <c r="AE3" s="22">
        <v>4.2000000000000003E-2</v>
      </c>
      <c r="AF3" s="22">
        <v>5.7299999999999997E-2</v>
      </c>
      <c r="AG3" s="22">
        <v>5.8000000000000003E-2</v>
      </c>
      <c r="AH3" s="22">
        <v>3.5400000000000001E-2</v>
      </c>
      <c r="AI3" s="33">
        <f>'Günlük taslak'!Q26</f>
        <v>3.6032261144603783E-2</v>
      </c>
      <c r="AK3" s="14" t="s">
        <v>54</v>
      </c>
      <c r="AL3" s="22">
        <v>3.2000000000000001E-2</v>
      </c>
      <c r="AM3" s="22">
        <v>4.0899999999999999E-2</v>
      </c>
      <c r="AN3" s="22">
        <v>3.1E-2</v>
      </c>
      <c r="AO3" s="22">
        <v>0.05</v>
      </c>
      <c r="AP3" s="22">
        <v>5.33E-2</v>
      </c>
      <c r="AQ3" s="22">
        <v>3.5299999999999998E-2</v>
      </c>
      <c r="AR3" s="33">
        <f>'Günlük taslak'!Q67</f>
        <v>3.5928673130481092E-2</v>
      </c>
      <c r="AT3" s="14" t="s">
        <v>54</v>
      </c>
      <c r="AU3" s="10" t="s">
        <v>18</v>
      </c>
      <c r="AV3" s="10" t="s">
        <v>51</v>
      </c>
      <c r="AW3" s="10" t="s">
        <v>2</v>
      </c>
      <c r="AX3" s="10" t="s">
        <v>52</v>
      </c>
      <c r="AY3" s="10" t="s">
        <v>19</v>
      </c>
      <c r="AZ3" s="10" t="s">
        <v>44</v>
      </c>
      <c r="BA3" s="33">
        <f>'Günlük taslak'!Z5</f>
        <v>3.5100340771234473E-2</v>
      </c>
      <c r="BC3" s="21" t="s">
        <v>54</v>
      </c>
      <c r="BD3" s="20">
        <f>'Günlük taslak'!T46</f>
        <v>3.4200000000000001E-2</v>
      </c>
      <c r="BE3" s="20">
        <f>'Günlük taslak'!U46</f>
        <v>0.04</v>
      </c>
      <c r="BF3" s="20">
        <f>'Günlük taslak'!V46</f>
        <v>3.4000000000000002E-2</v>
      </c>
      <c r="BG3" s="20">
        <f>'Günlük taslak'!W46</f>
        <v>4.3999999999999997E-2</v>
      </c>
      <c r="BH3" s="20">
        <f>'Günlük taslak'!X46</f>
        <v>0.05</v>
      </c>
      <c r="BI3" s="20">
        <f>'Günlük taslak'!Y46</f>
        <v>3.4000000000000002E-2</v>
      </c>
      <c r="BJ3" s="33">
        <f>'Günlük taslak'!Z46</f>
        <v>3.4582968502674616E-2</v>
      </c>
      <c r="BL3" s="14" t="s">
        <v>54</v>
      </c>
      <c r="BM3" s="22">
        <f>'Günlük taslak'!T100</f>
        <v>0.03</v>
      </c>
      <c r="BN3" s="22">
        <f>'Günlük taslak'!U100</f>
        <v>3.3000000000000002E-2</v>
      </c>
      <c r="BO3" s="22">
        <f>'Günlük taslak'!V100</f>
        <v>2.8000000000000001E-2</v>
      </c>
      <c r="BP3" s="22">
        <f>'Günlük taslak'!W100</f>
        <v>4.2900000000000001E-2</v>
      </c>
      <c r="BQ3" s="22">
        <f>'Günlük taslak'!X100</f>
        <v>6.5600000000000006E-2</v>
      </c>
      <c r="BR3" s="22">
        <f>'Günlük taslak'!Y100</f>
        <v>3.3300000000000003E-2</v>
      </c>
      <c r="BS3" s="33">
        <f>'Günlük taslak'!Z100</f>
        <v>3.3859080551566834E-2</v>
      </c>
      <c r="BU3" s="14" t="s">
        <v>54</v>
      </c>
      <c r="BV3" s="22">
        <f>'Günlük taslak'!AC36</f>
        <v>0.03</v>
      </c>
      <c r="BW3" s="22">
        <f>'Günlük taslak'!AD36</f>
        <v>3.3000000000000002E-2</v>
      </c>
      <c r="BX3" s="22">
        <f>'Günlük taslak'!AE36</f>
        <v>3.2000000000000001E-2</v>
      </c>
      <c r="BY3" s="22">
        <f>'Günlük taslak'!AF36</f>
        <v>4.3999999999999997E-2</v>
      </c>
      <c r="BZ3" s="22">
        <f>'Günlük taslak'!AG36</f>
        <v>5.6000000000000001E-2</v>
      </c>
      <c r="CA3" s="22">
        <f>'Günlük taslak'!AH36</f>
        <v>3.3000000000000002E-2</v>
      </c>
      <c r="CB3" s="33">
        <f>'Günlük taslak'!AI36</f>
        <v>3.3548997504548206E-2</v>
      </c>
      <c r="CD3" s="14" t="s">
        <v>54</v>
      </c>
      <c r="CE3" s="22">
        <f>'Günlük taslak'!AC79</f>
        <v>0.04</v>
      </c>
      <c r="CF3" s="22">
        <f>'Günlük taslak'!AD79</f>
        <v>3.3000000000000002E-2</v>
      </c>
      <c r="CG3" s="22">
        <f>'Günlük taslak'!AE79</f>
        <v>4.1000000000000002E-2</v>
      </c>
      <c r="CH3" s="22">
        <f>'Günlük taslak'!AF79</f>
        <v>4.3799999999999999E-2</v>
      </c>
      <c r="CI3" s="22">
        <f>'Günlük taslak'!AG79</f>
        <v>5.9900000000000002E-2</v>
      </c>
      <c r="CJ3" s="22">
        <f>'Günlük taslak'!AH79</f>
        <v>3.3000000000000002E-2</v>
      </c>
      <c r="CK3" s="33">
        <f>'Günlük taslak'!AI79</f>
        <v>3.3548997504548206E-2</v>
      </c>
      <c r="CM3" s="14" t="s">
        <v>54</v>
      </c>
      <c r="CN3" s="22">
        <f>'Günlük taslak'!AL15</f>
        <v>3.1E-2</v>
      </c>
      <c r="CO3" s="22">
        <f>'Günlük taslak'!AM15</f>
        <v>0.03</v>
      </c>
      <c r="CP3" s="22">
        <f>'Günlük taslak'!AN15</f>
        <v>4.3999999999999997E-2</v>
      </c>
      <c r="CQ3" s="22">
        <f>'Günlük taslak'!AO15</f>
        <v>5.7000000000000002E-2</v>
      </c>
      <c r="CR3" s="22">
        <f>'Günlük taslak'!AP15</f>
        <v>5.9700000000000003E-2</v>
      </c>
      <c r="CS3" s="22">
        <f>'Günlük taslak'!AQ15</f>
        <v>3.4200000000000001E-2</v>
      </c>
      <c r="CT3" s="33">
        <f>'Günlük taslak'!AR15</f>
        <v>3.4789886456186414E-2</v>
      </c>
      <c r="CV3" s="14" t="s">
        <v>54</v>
      </c>
      <c r="CW3" s="22">
        <f>'Günlük taslak'!AL56</f>
        <v>0.03</v>
      </c>
      <c r="CX3" s="22">
        <f>'Günlük taslak'!AM56</f>
        <v>3.49E-2</v>
      </c>
      <c r="CY3" s="22">
        <f>'Günlük taslak'!AN56</f>
        <v>4.3999999999999997E-2</v>
      </c>
      <c r="CZ3" s="22">
        <f>'Günlük taslak'!AO56</f>
        <v>4.3900000000000002E-2</v>
      </c>
      <c r="DA3" s="22">
        <f>'Günlük taslak'!AP56</f>
        <v>6.3899999999999998E-2</v>
      </c>
      <c r="DB3" s="22">
        <f>'Günlük taslak'!AQ56</f>
        <v>3.2899999999999999E-2</v>
      </c>
      <c r="DC3" s="33">
        <f>'Günlük taslak'!AR45</f>
        <v>3.3445657100777071E-2</v>
      </c>
      <c r="DE3" s="14" t="s">
        <v>54</v>
      </c>
      <c r="DF3" s="22">
        <f>'Günlük taslak'!AL92</f>
        <v>0.03</v>
      </c>
      <c r="DG3" s="22">
        <f>'Günlük taslak'!AM92</f>
        <v>3.4000000000000002E-2</v>
      </c>
      <c r="DH3" s="22">
        <f>'Günlük taslak'!AN92</f>
        <v>3.5000000000000003E-2</v>
      </c>
      <c r="DI3" s="22">
        <f>'Günlük taslak'!AO92</f>
        <v>4.3900000000000002E-2</v>
      </c>
      <c r="DJ3" s="22">
        <f>'Günlük taslak'!AP92</f>
        <v>6.4699999999999994E-2</v>
      </c>
      <c r="DK3" s="22">
        <f>'Günlük taslak'!AQ92</f>
        <v>3.2899999999999999E-2</v>
      </c>
      <c r="DL3" s="33">
        <f>'Günlük taslak'!AR92</f>
        <v>3.3445657100777071E-2</v>
      </c>
    </row>
    <row r="4" spans="1:116" x14ac:dyDescent="0.35">
      <c r="A4" s="45" t="s">
        <v>15</v>
      </c>
      <c r="B4" s="29">
        <f>'Günlük taslak'!B7</f>
        <v>2.9708409626448037E-2</v>
      </c>
      <c r="C4" s="29">
        <f>'Günlük taslak'!C7</f>
        <v>2.9716872814412123E-2</v>
      </c>
      <c r="D4" s="29">
        <f>'Günlük taslak'!D7</f>
        <v>2.9736229317428992E-2</v>
      </c>
      <c r="E4" s="29">
        <f>'Günlük taslak'!E7</f>
        <v>2.9772568084580377E-2</v>
      </c>
      <c r="F4" s="29">
        <f>'Günlük taslak'!F7</f>
        <v>2.9808966061479893E-2</v>
      </c>
      <c r="G4" s="38">
        <v>2.9700000000000001E-2</v>
      </c>
      <c r="H4" s="29">
        <f>'Günlük taslak'!H8</f>
        <v>3.0145392093080536E-2</v>
      </c>
      <c r="J4" s="14" t="s">
        <v>15</v>
      </c>
      <c r="K4" s="33">
        <f>'Günlük taslak'!B48</f>
        <v>2.5005137572765568E-2</v>
      </c>
      <c r="L4" s="33">
        <f>'Günlük taslak'!C48</f>
        <v>2.501113318692437E-2</v>
      </c>
      <c r="M4" s="33">
        <f>'Günlük taslak'!D48</f>
        <v>2.5024844646748069E-2</v>
      </c>
      <c r="N4" s="33">
        <f>'Günlük taslak'!E48</f>
        <v>2.5050580654265259E-2</v>
      </c>
      <c r="O4" s="33">
        <f>'Günlük taslak'!F48</f>
        <v>2.5076351951623114E-2</v>
      </c>
      <c r="P4" s="15">
        <v>2.5000000000000001E-2</v>
      </c>
      <c r="Q4" s="33">
        <f>'Günlük taslak'!H49</f>
        <v>2.5314242726610869E-2</v>
      </c>
      <c r="S4" s="14" t="s">
        <v>15</v>
      </c>
      <c r="T4" s="33">
        <f>'Günlük taslak'!B92</f>
        <v>2.5005137572765568E-2</v>
      </c>
      <c r="U4" s="33">
        <f>'Günlük taslak'!C92</f>
        <v>2.5011133186924366E-2</v>
      </c>
      <c r="V4" s="33">
        <f>'Günlük taslak'!D92</f>
        <v>2.5024844646748073E-2</v>
      </c>
      <c r="W4" s="33">
        <f>'Günlük taslak'!E92</f>
        <v>2.5050580654265259E-2</v>
      </c>
      <c r="X4" s="33">
        <f>'Günlük taslak'!F92</f>
        <v>2.5076351951623117E-2</v>
      </c>
      <c r="Y4" s="10" t="s">
        <v>30</v>
      </c>
      <c r="Z4" s="33">
        <f>'Günlük taslak'!H93</f>
        <v>2.5314242726610869E-2</v>
      </c>
      <c r="AB4" s="14" t="s">
        <v>15</v>
      </c>
      <c r="AC4" s="33">
        <f>'Günlük taslak'!K27</f>
        <v>2.5005137572765568E-2</v>
      </c>
      <c r="AD4" s="33">
        <f>'Günlük taslak'!L27</f>
        <v>2.5011133186924366E-2</v>
      </c>
      <c r="AE4" s="33">
        <f>'Günlük taslak'!M27</f>
        <v>2.5024844646748073E-2</v>
      </c>
      <c r="AF4" s="33">
        <f>'Günlük taslak'!N27</f>
        <v>2.5050580654265259E-2</v>
      </c>
      <c r="AG4" s="33">
        <f>'Günlük taslak'!O27</f>
        <v>2.5076351951623117E-2</v>
      </c>
      <c r="AH4" s="22">
        <v>2.5000000000000001E-2</v>
      </c>
      <c r="AI4" s="33">
        <f>'Günlük taslak'!Q28</f>
        <v>2.5314242726610869E-2</v>
      </c>
      <c r="AK4" s="14" t="s">
        <v>15</v>
      </c>
      <c r="AL4" s="33">
        <f>'Günlük taslak'!K69</f>
        <v>2.5005137572765568E-2</v>
      </c>
      <c r="AM4" s="33">
        <f>'Günlük taslak'!L69</f>
        <v>2.5011133186924366E-2</v>
      </c>
      <c r="AN4" s="33">
        <f>'Günlük taslak'!M69</f>
        <v>2.5024844646748073E-2</v>
      </c>
      <c r="AO4" s="33">
        <f>'Günlük taslak'!N69</f>
        <v>2.5050580654265259E-2</v>
      </c>
      <c r="AP4" s="33">
        <f>'Günlük taslak'!O69</f>
        <v>2.5076351951623117E-2</v>
      </c>
      <c r="AQ4" s="22">
        <v>2.5000000000000001E-2</v>
      </c>
      <c r="AR4" s="33">
        <f>'Günlük taslak'!Q70</f>
        <v>2.5314242726610869E-2</v>
      </c>
      <c r="AT4" s="14" t="s">
        <v>15</v>
      </c>
      <c r="AU4" s="33">
        <f>'Günlük taslak'!T7</f>
        <v>2.5005137572765568E-2</v>
      </c>
      <c r="AV4" s="33">
        <f>'Günlük taslak'!U7</f>
        <v>2.5011133186924366E-2</v>
      </c>
      <c r="AW4" s="33">
        <f>'Günlük taslak'!V7</f>
        <v>2.5024844646748073E-2</v>
      </c>
      <c r="AX4" s="33">
        <f>'Günlük taslak'!W7</f>
        <v>2.5050580654265259E-2</v>
      </c>
      <c r="AY4" s="33">
        <f>'Günlük taslak'!X7</f>
        <v>2.5076351951623117E-2</v>
      </c>
      <c r="AZ4" s="10" t="s">
        <v>30</v>
      </c>
      <c r="BA4" s="33">
        <f>'Günlük taslak'!Z8</f>
        <v>2.5314242726610869E-2</v>
      </c>
      <c r="BC4" s="21" t="s">
        <v>15</v>
      </c>
      <c r="BD4" s="33">
        <f>'Günlük taslak'!T49</f>
        <v>2.5005137572765568E-2</v>
      </c>
      <c r="BE4" s="33">
        <f>'Günlük taslak'!U49</f>
        <v>2.5011133186924366E-2</v>
      </c>
      <c r="BF4" s="33">
        <f>'Günlük taslak'!V49</f>
        <v>2.5024844646748073E-2</v>
      </c>
      <c r="BG4" s="33">
        <f>'Günlük taslak'!W49</f>
        <v>2.5050580654265259E-2</v>
      </c>
      <c r="BH4" s="33">
        <f>'Günlük taslak'!X49</f>
        <v>2.5076351951623117E-2</v>
      </c>
      <c r="BI4" s="20">
        <f>'Günlük taslak'!Y49</f>
        <v>2.5000000000000001E-2</v>
      </c>
      <c r="BJ4" s="33">
        <f>'Günlük taslak'!Z49</f>
        <v>2.5314242726610869E-2</v>
      </c>
      <c r="BL4" s="14" t="s">
        <v>15</v>
      </c>
      <c r="BM4" s="33">
        <f>'Günlük taslak'!T102</f>
        <v>2.5005137572765568E-2</v>
      </c>
      <c r="BN4" s="33">
        <f>'Günlük taslak'!U102</f>
        <v>2.5011133186924366E-2</v>
      </c>
      <c r="BO4" s="33">
        <f>'Günlük taslak'!V102</f>
        <v>2.5024844646748073E-2</v>
      </c>
      <c r="BP4" s="33">
        <f>'Günlük taslak'!W102</f>
        <v>2.5050580654265259E-2</v>
      </c>
      <c r="BQ4" s="33">
        <f>'Günlük taslak'!X102</f>
        <v>2.5076351951623117E-2</v>
      </c>
      <c r="BR4" s="22">
        <f>'Günlük taslak'!Y102</f>
        <v>2.5000000000000001E-2</v>
      </c>
      <c r="BS4" s="33">
        <f>'Günlük taslak'!Z102</f>
        <v>2.5314242726610869E-2</v>
      </c>
      <c r="BU4" s="14" t="s">
        <v>15</v>
      </c>
      <c r="BV4" s="33">
        <f>'Günlük taslak'!AC38</f>
        <v>2.5005137572765568E-2</v>
      </c>
      <c r="BW4" s="33">
        <f>'Günlük taslak'!AD38</f>
        <v>2.5011133186924366E-2</v>
      </c>
      <c r="BX4" s="33">
        <f>'Günlük taslak'!AE38</f>
        <v>2.5024844646748073E-2</v>
      </c>
      <c r="BY4" s="33">
        <f>'Günlük taslak'!AF38</f>
        <v>2.5050580654265259E-2</v>
      </c>
      <c r="BZ4" s="33">
        <f>'Günlük taslak'!AG38</f>
        <v>2.5076351951623117E-2</v>
      </c>
      <c r="CA4" s="22">
        <f>'Günlük taslak'!AH38</f>
        <v>2.5000000000000001E-2</v>
      </c>
      <c r="CB4" s="33">
        <f>'Günlük taslak'!AI38</f>
        <v>2.5314242726610869E-2</v>
      </c>
      <c r="CD4" s="14" t="s">
        <v>15</v>
      </c>
      <c r="CE4" s="33">
        <f>'Günlük taslak'!AC82</f>
        <v>2.5005137572765568E-2</v>
      </c>
      <c r="CF4" s="33">
        <f>'Günlük taslak'!AD82</f>
        <v>2.5011133186924366E-2</v>
      </c>
      <c r="CG4" s="33">
        <f>'Günlük taslak'!AE82</f>
        <v>2.5024844646748073E-2</v>
      </c>
      <c r="CH4" s="33">
        <f>'Günlük taslak'!AF82</f>
        <v>2.5050580654265259E-2</v>
      </c>
      <c r="CI4" s="33">
        <f>'Günlük taslak'!AG82</f>
        <v>2.5076351951623117E-2</v>
      </c>
      <c r="CJ4" s="22">
        <f>'Günlük taslak'!AH82</f>
        <v>2.5000000000000001E-2</v>
      </c>
      <c r="CK4" s="33">
        <f>'Günlük taslak'!AI82</f>
        <v>2.5314242726610869E-2</v>
      </c>
      <c r="CM4" s="14" t="s">
        <v>15</v>
      </c>
      <c r="CN4" s="33">
        <f>'Günlük taslak'!AL17</f>
        <v>2.5005137572765568E-2</v>
      </c>
      <c r="CO4" s="33">
        <f>'Günlük taslak'!AM17</f>
        <v>2.5011133186924366E-2</v>
      </c>
      <c r="CP4" s="33">
        <f>'Günlük taslak'!AN17</f>
        <v>2.5024844646748073E-2</v>
      </c>
      <c r="CQ4" s="33">
        <f>'Günlük taslak'!AO17</f>
        <v>2.5050580654265259E-2</v>
      </c>
      <c r="CR4" s="33">
        <f>'Günlük taslak'!AP17</f>
        <v>2.5076351951623117E-2</v>
      </c>
      <c r="CS4" s="22">
        <f>'Günlük taslak'!AQ17</f>
        <v>2.5000000000000001E-2</v>
      </c>
      <c r="CT4" s="33">
        <f>'Günlük taslak'!AR6</f>
        <v>2.5314242726610869E-2</v>
      </c>
      <c r="CV4" s="14" t="s">
        <v>15</v>
      </c>
      <c r="CW4" s="33">
        <f>'Günlük taslak'!AL58</f>
        <v>2.5005137572765568E-2</v>
      </c>
      <c r="CX4" s="33">
        <f>'Günlük taslak'!AM58</f>
        <v>2.5011133186924366E-2</v>
      </c>
      <c r="CY4" s="33">
        <f>'Günlük taslak'!AN58</f>
        <v>2.5024844646748073E-2</v>
      </c>
      <c r="CZ4" s="33">
        <f>'Günlük taslak'!AO58</f>
        <v>2.5050580654265259E-2</v>
      </c>
      <c r="DA4" s="33">
        <f>'Günlük taslak'!AP58</f>
        <v>2.5076351951623117E-2</v>
      </c>
      <c r="DB4" s="22">
        <f>'Günlük taslak'!AQ47</f>
        <v>2.5000000000000001E-2</v>
      </c>
      <c r="DC4" s="33">
        <f>'Günlük taslak'!AR58</f>
        <v>2.5314242726610869E-2</v>
      </c>
      <c r="DE4" s="14" t="s">
        <v>15</v>
      </c>
      <c r="DF4" s="33">
        <f>'Günlük taslak'!AL94</f>
        <v>2.5005137572765568E-2</v>
      </c>
      <c r="DG4" s="33">
        <f>'Günlük taslak'!AM94</f>
        <v>2.5011133186924366E-2</v>
      </c>
      <c r="DH4" s="33">
        <f>'Günlük taslak'!AN94</f>
        <v>2.5024844646748073E-2</v>
      </c>
      <c r="DI4" s="33">
        <f>'Günlük taslak'!AO94</f>
        <v>2.5050580654265259E-2</v>
      </c>
      <c r="DJ4" s="33">
        <f>'Günlük taslak'!AP94</f>
        <v>2.5076351951623117E-2</v>
      </c>
      <c r="DK4" s="22">
        <f>'Günlük taslak'!AQ94</f>
        <v>2.5000000000000001E-2</v>
      </c>
      <c r="DL4" s="33">
        <f>'Günlük taslak'!AR94</f>
        <v>2.5314242726610869E-2</v>
      </c>
    </row>
    <row r="5" spans="1:116" x14ac:dyDescent="0.35">
      <c r="A5" s="45" t="s">
        <v>17</v>
      </c>
      <c r="B5" s="38">
        <v>0.04</v>
      </c>
      <c r="C5" s="29">
        <f>'Günlük taslak'!C9</f>
        <v>3.0716789716640571E-2</v>
      </c>
      <c r="D5" s="38">
        <v>5.4800000000000001E-2</v>
      </c>
      <c r="E5" s="29">
        <f>'Günlük taslak'!E9</f>
        <v>3.0776297865676816E-2</v>
      </c>
      <c r="F5" s="29">
        <f>'Günlük taslak'!F9</f>
        <v>3.081519033302349E-2</v>
      </c>
      <c r="G5" s="38">
        <v>3.0700000000000002E-2</v>
      </c>
      <c r="H5" s="29">
        <f>'Günlük taslak'!H10</f>
        <v>3.1174773390001631E-2</v>
      </c>
      <c r="J5" s="14" t="s">
        <v>17</v>
      </c>
      <c r="K5" s="15">
        <v>3.9800000000000002E-2</v>
      </c>
      <c r="L5" s="33">
        <f>'Günlük taslak'!C50</f>
        <v>3.0216247184851448E-2</v>
      </c>
      <c r="M5" s="15">
        <v>5.4800000000000001E-2</v>
      </c>
      <c r="N5" s="33">
        <f>'Günlük taslak'!E50</f>
        <v>3.0273830874697632E-2</v>
      </c>
      <c r="O5" s="33">
        <f>'Günlük taslak'!F50</f>
        <v>3.0311464275388368E-2</v>
      </c>
      <c r="P5" s="15">
        <v>3.0200000000000001E-2</v>
      </c>
      <c r="Q5" s="33">
        <f>'Günlük taslak'!H51</f>
        <v>3.0659357866290149E-2</v>
      </c>
      <c r="S5" s="14" t="s">
        <v>17</v>
      </c>
      <c r="T5" s="10" t="s">
        <v>37</v>
      </c>
      <c r="U5" s="33">
        <f>'Günlük taslak'!C94</f>
        <v>3.0416463127971544E-2</v>
      </c>
      <c r="V5" s="10" t="s">
        <v>27</v>
      </c>
      <c r="W5" s="33">
        <f>'Günlük taslak'!E94</f>
        <v>3.0474812798236512E-2</v>
      </c>
      <c r="X5" s="33">
        <f>'Günlük taslak'!F94</f>
        <v>3.0512947329474491E-2</v>
      </c>
      <c r="Y5" s="10" t="s">
        <v>23</v>
      </c>
      <c r="Z5" s="33">
        <f>'Günlük taslak'!H95</f>
        <v>3.0865493238620978E-2</v>
      </c>
      <c r="AB5" s="14" t="s">
        <v>17</v>
      </c>
      <c r="AC5" s="22">
        <v>3.8600000000000002E-2</v>
      </c>
      <c r="AD5" s="33">
        <f>'Günlük taslak'!L19</f>
        <v>3.2318585715067308E-2</v>
      </c>
      <c r="AE5" s="22">
        <v>5.4800000000000001E-2</v>
      </c>
      <c r="AF5" s="29">
        <f>'Günlük taslak'!N9</f>
        <v>3.2686042808954284E-2</v>
      </c>
      <c r="AG5" s="29">
        <f>'Günlük taslak'!O9</f>
        <v>3.2729909490182445E-2</v>
      </c>
      <c r="AH5" s="22">
        <v>3.2300000000000002E-2</v>
      </c>
      <c r="AI5" s="33">
        <f>'Günlük taslak'!Q30</f>
        <v>3.2825831032744723E-2</v>
      </c>
      <c r="AK5" s="14" t="s">
        <v>17</v>
      </c>
      <c r="AL5" s="22">
        <v>3.8600000000000002E-2</v>
      </c>
      <c r="AM5" s="33">
        <f>'Günlük taslak'!L71</f>
        <v>3.1617788734936939E-2</v>
      </c>
      <c r="AN5" s="22">
        <v>5.4800000000000001E-2</v>
      </c>
      <c r="AO5" s="33">
        <f>'Günlük taslak'!N61</f>
        <v>3.1580329518414073E-2</v>
      </c>
      <c r="AP5" s="33">
        <f>'Günlük taslak'!O61</f>
        <v>3.1621279764769708E-2</v>
      </c>
      <c r="AQ5" s="22">
        <v>3.1600000000000003E-2</v>
      </c>
      <c r="AR5" s="33">
        <f>'Günlük taslak'!Q72</f>
        <v>3.2103169169868329E-2</v>
      </c>
      <c r="AT5" s="14" t="s">
        <v>17</v>
      </c>
      <c r="AU5" s="10" t="s">
        <v>37</v>
      </c>
      <c r="AV5" s="33">
        <f>'Günlük taslak'!U9</f>
        <v>3.1117230159457634E-2</v>
      </c>
      <c r="AW5" s="10" t="s">
        <v>27</v>
      </c>
      <c r="AX5" s="33">
        <f>'Günlük taslak'!W9</f>
        <v>3.1178300696434385E-2</v>
      </c>
      <c r="AY5" s="33">
        <f>'Günlük taslak'!X9</f>
        <v>3.1218215395197819E-2</v>
      </c>
      <c r="AZ5" s="10" t="s">
        <v>28</v>
      </c>
      <c r="BA5" s="33">
        <f>'Günlük taslak'!Z10</f>
        <v>3.1587290874597329E-2</v>
      </c>
      <c r="BC5" s="21" t="s">
        <v>17</v>
      </c>
      <c r="BD5" s="20">
        <f>'Günlük taslak'!T51</f>
        <v>3.7600000000000001E-2</v>
      </c>
      <c r="BE5" s="33">
        <f>'Günlük taslak'!U51</f>
        <v>3.1818014660799525E-2</v>
      </c>
      <c r="BF5" s="20">
        <f>'Günlük taslak'!V51</f>
        <v>5.4800000000000001E-2</v>
      </c>
      <c r="BG5" s="33">
        <f>'Günlük taslak'!W51</f>
        <v>3.1881868192445817E-2</v>
      </c>
      <c r="BH5" s="20">
        <f>'Günlük taslak'!X51</f>
        <v>3.1923603839523036E-2</v>
      </c>
      <c r="BI5" s="20">
        <f>'Günlük taslak'!Y51</f>
        <v>3.1800000000000002E-2</v>
      </c>
      <c r="BJ5" s="33">
        <f>'Günlük taslak'!Z51</f>
        <v>3.230959251755694E-2</v>
      </c>
      <c r="BL5" s="14" t="s">
        <v>17</v>
      </c>
      <c r="BM5" s="22">
        <f>'Günlük taslak'!T104</f>
        <v>3.7600000000000001E-2</v>
      </c>
      <c r="BN5" s="33">
        <f>'Günlük taslak'!U104</f>
        <v>2.9935542634702439E-2</v>
      </c>
      <c r="BO5" s="22">
        <f>'Günlük taslak'!V104</f>
        <v>5.4800000000000001E-2</v>
      </c>
      <c r="BP5" s="33">
        <f>'Günlük taslak'!W104</f>
        <v>2.9972370170845902E-2</v>
      </c>
      <c r="BQ5" s="33">
        <f>'Günlük taslak'!X104</f>
        <v>3.0009258115333635E-2</v>
      </c>
      <c r="BR5" s="22">
        <f>'Günlük taslak'!Y104</f>
        <v>2.9899999999999999E-2</v>
      </c>
      <c r="BS5" s="33">
        <f>'Günlük taslak'!Z104</f>
        <v>3.0350231880070799E-2</v>
      </c>
      <c r="BU5" s="14" t="s">
        <v>17</v>
      </c>
      <c r="BV5" s="22">
        <f>'Günlük taslak'!AC40</f>
        <v>3.7600000000000001E-2</v>
      </c>
      <c r="BW5" s="33">
        <f>'Günlük taslak'!AD40</f>
        <v>2.97157135659997E-2</v>
      </c>
      <c r="BX5" s="22">
        <f>'Günlük taslak'!AE40</f>
        <v>5.4800000000000001E-2</v>
      </c>
      <c r="BY5" s="33">
        <f>'Günlük taslak'!AF40</f>
        <v>2.9771404489047876E-2</v>
      </c>
      <c r="BZ5" s="33">
        <f>'Günlük taslak'!AG40</f>
        <v>2.9807799622090583E-2</v>
      </c>
      <c r="CA5" s="22">
        <f>'Günlük taslak'!AH40</f>
        <v>2.9700000000000001E-2</v>
      </c>
      <c r="CB5" s="29">
        <f>'Günlük taslak'!AI40</f>
        <v>3.0144199258958837E-2</v>
      </c>
      <c r="CD5" s="14" t="s">
        <v>17</v>
      </c>
      <c r="CE5" s="22">
        <f>'Günlük taslak'!AC84</f>
        <v>3.8100000000000002E-2</v>
      </c>
      <c r="CF5" s="33">
        <f>'Günlük taslak'!AD84</f>
        <v>3.1017119513989746E-2</v>
      </c>
      <c r="CG5" s="22">
        <f>'Günlük taslak'!AE84</f>
        <v>5.4800000000000001E-2</v>
      </c>
      <c r="CH5" s="33">
        <f>'Günlük taslak'!AF84</f>
        <v>3.1077797552172309E-2</v>
      </c>
      <c r="CI5" s="33">
        <f>'Günlük taslak'!AG84</f>
        <v>3.1117455444773193E-2</v>
      </c>
      <c r="CJ5" s="22">
        <f>'Günlük taslak'!AH84</f>
        <v>3.1E-2</v>
      </c>
      <c r="CK5" s="33">
        <f>'Günlük taslak'!AI84</f>
        <v>3.1484146077251696E-2</v>
      </c>
      <c r="CM5" s="14" t="s">
        <v>17</v>
      </c>
      <c r="CN5" s="22">
        <f>'Günlük taslak'!AL19</f>
        <v>3.7600000000000001E-2</v>
      </c>
      <c r="CO5" s="22">
        <f>'Günlük taslak'!AM19</f>
        <v>3.0816899292500168E-2</v>
      </c>
      <c r="CP5" s="22">
        <f>'Günlük taslak'!AN19</f>
        <v>5.4800000000000001E-2</v>
      </c>
      <c r="CQ5" s="22">
        <f>'Günlük taslak'!AO19</f>
        <v>3.087679613673544E-2</v>
      </c>
      <c r="CR5" s="22">
        <f>'Günlük taslak'!AP19</f>
        <v>3.0915942913661267E-2</v>
      </c>
      <c r="CS5" s="22">
        <f>'Günlük taslak'!AQ8</f>
        <v>3.0800000000000001E-2</v>
      </c>
      <c r="CT5" s="33">
        <f>'Günlük taslak'!AR19</f>
        <v>3.127788733589032E-2</v>
      </c>
      <c r="CV5" s="14" t="s">
        <v>17</v>
      </c>
      <c r="CW5" s="22">
        <f>'Günlük taslak'!AL60</f>
        <v>3.6999999999999998E-2</v>
      </c>
      <c r="CX5" s="33">
        <f>'Günlük taslak'!AM60</f>
        <v>2.791386633517404E-2</v>
      </c>
      <c r="CY5" s="22">
        <f>'Günlük taslak'!AN60</f>
        <v>5.4800000000000001E-2</v>
      </c>
      <c r="CZ5" s="33">
        <f>'Günlük taslak'!AO60</f>
        <v>2.7963005663145801E-2</v>
      </c>
      <c r="DA5" s="33">
        <f>'Günlük taslak'!AP60</f>
        <v>2.7995115183913229E-2</v>
      </c>
      <c r="DB5" s="22">
        <f>'Günlük taslak'!AQ49</f>
        <v>2.81E-2</v>
      </c>
      <c r="DC5" s="33">
        <f>'Günlük taslak'!AR60</f>
        <v>2.8291753567093458E-2</v>
      </c>
      <c r="DE5" s="14" t="s">
        <v>17</v>
      </c>
      <c r="DF5" s="22">
        <f>'Günlük taslak'!AL96</f>
        <v>3.5700000000000003E-2</v>
      </c>
      <c r="DG5" s="33">
        <f>'Günlük taslak'!AM96</f>
        <v>2.8514469244696868E-2</v>
      </c>
      <c r="DH5" s="22">
        <f>'Günlük taslak'!AN96</f>
        <v>5.4800000000000001E-2</v>
      </c>
      <c r="DI5" s="33">
        <f>'Günlük taslak'!AO96</f>
        <v>2.8565746813953425E-2</v>
      </c>
      <c r="DJ5" s="33">
        <f>'Günlük taslak'!AP96</f>
        <v>2.8599254939608972E-2</v>
      </c>
      <c r="DK5" s="22">
        <f>'Günlük taslak'!AQ96</f>
        <v>2.8500000000000001E-2</v>
      </c>
      <c r="DL5" s="33">
        <f>'Günlük taslak'!AR96</f>
        <v>2.8908866056128746E-2</v>
      </c>
    </row>
    <row r="6" spans="1:116" x14ac:dyDescent="0.35">
      <c r="N6" s="46"/>
      <c r="AB6" s="25"/>
      <c r="AC6" s="23"/>
      <c r="AD6" s="23"/>
      <c r="AE6" s="23"/>
      <c r="AF6" s="23"/>
      <c r="AG6" s="23"/>
      <c r="AH6" s="23"/>
      <c r="AI6" s="23"/>
      <c r="AK6" s="25"/>
      <c r="AL6" s="23"/>
      <c r="AM6" s="23"/>
      <c r="AN6" s="23"/>
      <c r="AO6" s="23"/>
      <c r="AP6" s="23"/>
      <c r="AQ6" s="23"/>
      <c r="AR6" s="23"/>
      <c r="AT6" s="25"/>
      <c r="AU6" s="23"/>
      <c r="AV6" s="23"/>
      <c r="AW6" s="23"/>
      <c r="AX6" s="23"/>
      <c r="AY6" s="23"/>
      <c r="AZ6" s="23"/>
      <c r="BA6" s="23"/>
      <c r="CD6" s="25"/>
      <c r="CE6" s="23"/>
      <c r="CF6" s="23"/>
      <c r="CG6" s="23"/>
      <c r="CH6" s="23"/>
      <c r="CI6" s="23"/>
      <c r="CJ6" s="23"/>
      <c r="CK6" s="23"/>
    </row>
    <row r="7" spans="1:116" x14ac:dyDescent="0.35">
      <c r="A7" s="24">
        <v>46078</v>
      </c>
      <c r="B7" s="16" t="s">
        <v>5</v>
      </c>
      <c r="C7" s="16" t="s">
        <v>6</v>
      </c>
      <c r="D7" s="16" t="s">
        <v>7</v>
      </c>
      <c r="E7" s="16" t="s">
        <v>8</v>
      </c>
      <c r="F7" s="16" t="s">
        <v>9</v>
      </c>
      <c r="G7" s="16" t="s">
        <v>11</v>
      </c>
      <c r="H7" s="16" t="s">
        <v>53</v>
      </c>
      <c r="J7" s="24">
        <v>46082</v>
      </c>
      <c r="K7" s="16" t="s">
        <v>5</v>
      </c>
      <c r="L7" s="16" t="s">
        <v>6</v>
      </c>
      <c r="M7" s="16" t="s">
        <v>7</v>
      </c>
      <c r="N7" s="16" t="s">
        <v>8</v>
      </c>
      <c r="O7" s="16" t="s">
        <v>9</v>
      </c>
      <c r="P7" s="16" t="s">
        <v>11</v>
      </c>
      <c r="Q7" s="16" t="s">
        <v>53</v>
      </c>
      <c r="S7" s="24">
        <v>46086</v>
      </c>
      <c r="T7" s="16" t="s">
        <v>5</v>
      </c>
      <c r="U7" s="16" t="s">
        <v>6</v>
      </c>
      <c r="V7" s="16" t="s">
        <v>7</v>
      </c>
      <c r="W7" s="16" t="s">
        <v>8</v>
      </c>
      <c r="X7" s="16" t="s">
        <v>9</v>
      </c>
      <c r="Y7" s="16" t="s">
        <v>11</v>
      </c>
      <c r="Z7" s="16" t="s">
        <v>53</v>
      </c>
      <c r="AB7" s="24">
        <v>46090</v>
      </c>
      <c r="AC7" s="16" t="s">
        <v>5</v>
      </c>
      <c r="AD7" s="16" t="s">
        <v>6</v>
      </c>
      <c r="AE7" s="16" t="s">
        <v>7</v>
      </c>
      <c r="AF7" s="16" t="s">
        <v>8</v>
      </c>
      <c r="AG7" s="16" t="s">
        <v>9</v>
      </c>
      <c r="AH7" s="16" t="s">
        <v>11</v>
      </c>
      <c r="AI7" s="16" t="s">
        <v>53</v>
      </c>
      <c r="AK7" s="24">
        <v>46094</v>
      </c>
      <c r="AL7" s="16" t="s">
        <v>5</v>
      </c>
      <c r="AM7" s="16" t="s">
        <v>6</v>
      </c>
      <c r="AN7" s="16" t="s">
        <v>7</v>
      </c>
      <c r="AO7" s="16" t="s">
        <v>8</v>
      </c>
      <c r="AP7" s="16" t="s">
        <v>9</v>
      </c>
      <c r="AQ7" s="16" t="s">
        <v>11</v>
      </c>
      <c r="AR7" s="16" t="s">
        <v>53</v>
      </c>
      <c r="AT7" s="39">
        <v>46098</v>
      </c>
      <c r="AU7" s="40" t="s">
        <v>5</v>
      </c>
      <c r="AV7" s="40" t="s">
        <v>6</v>
      </c>
      <c r="AW7" s="40" t="s">
        <v>7</v>
      </c>
      <c r="AX7" s="40" t="s">
        <v>8</v>
      </c>
      <c r="AY7" s="40" t="s">
        <v>9</v>
      </c>
      <c r="AZ7" s="40" t="s">
        <v>11</v>
      </c>
      <c r="BA7" s="40" t="s">
        <v>53</v>
      </c>
      <c r="BC7" s="39">
        <v>46102</v>
      </c>
      <c r="BD7" s="40" t="s">
        <v>5</v>
      </c>
      <c r="BE7" s="40" t="s">
        <v>6</v>
      </c>
      <c r="BF7" s="40" t="s">
        <v>7</v>
      </c>
      <c r="BG7" s="40" t="s">
        <v>8</v>
      </c>
      <c r="BH7" s="40" t="s">
        <v>9</v>
      </c>
      <c r="BI7" s="40" t="s">
        <v>11</v>
      </c>
      <c r="BJ7" s="40" t="s">
        <v>53</v>
      </c>
      <c r="BL7" s="24">
        <v>46107</v>
      </c>
      <c r="BM7" s="16" t="s">
        <v>5</v>
      </c>
      <c r="BN7" s="16" t="s">
        <v>6</v>
      </c>
      <c r="BO7" s="16" t="s">
        <v>7</v>
      </c>
      <c r="BP7" s="16" t="s">
        <v>8</v>
      </c>
      <c r="BQ7" s="16" t="s">
        <v>9</v>
      </c>
      <c r="BR7" s="16" t="s">
        <v>11</v>
      </c>
      <c r="BS7" s="16" t="s">
        <v>53</v>
      </c>
      <c r="BU7" s="24">
        <v>46111</v>
      </c>
      <c r="BV7" s="16" t="s">
        <v>5</v>
      </c>
      <c r="BW7" s="16" t="s">
        <v>6</v>
      </c>
      <c r="BX7" s="16" t="s">
        <v>7</v>
      </c>
      <c r="BY7" s="16" t="s">
        <v>8</v>
      </c>
      <c r="BZ7" s="16" t="s">
        <v>9</v>
      </c>
      <c r="CA7" s="16" t="s">
        <v>11</v>
      </c>
      <c r="CB7" s="70" t="s">
        <v>53</v>
      </c>
      <c r="CD7" s="24">
        <v>46115</v>
      </c>
      <c r="CE7" s="16" t="s">
        <v>5</v>
      </c>
      <c r="CF7" s="16" t="s">
        <v>6</v>
      </c>
      <c r="CG7" s="16" t="s">
        <v>7</v>
      </c>
      <c r="CH7" s="16" t="s">
        <v>8</v>
      </c>
      <c r="CI7" s="16" t="s">
        <v>9</v>
      </c>
      <c r="CJ7" s="16" t="s">
        <v>11</v>
      </c>
      <c r="CK7" s="16" t="s">
        <v>53</v>
      </c>
      <c r="CM7" s="24">
        <v>46119</v>
      </c>
      <c r="CN7" s="16" t="s">
        <v>5</v>
      </c>
      <c r="CO7" s="16" t="s">
        <v>6</v>
      </c>
      <c r="CP7" s="16" t="s">
        <v>7</v>
      </c>
      <c r="CQ7" s="16" t="s">
        <v>8</v>
      </c>
      <c r="CR7" s="16" t="s">
        <v>9</v>
      </c>
      <c r="CS7" s="16" t="s">
        <v>11</v>
      </c>
      <c r="CT7" s="16" t="s">
        <v>53</v>
      </c>
      <c r="CV7" s="24">
        <v>46123</v>
      </c>
      <c r="CW7" s="16" t="s">
        <v>5</v>
      </c>
      <c r="CX7" s="16" t="s">
        <v>6</v>
      </c>
      <c r="CY7" s="16" t="s">
        <v>7</v>
      </c>
      <c r="CZ7" s="16" t="s">
        <v>8</v>
      </c>
      <c r="DA7" s="16" t="s">
        <v>9</v>
      </c>
      <c r="DB7" s="16" t="s">
        <v>11</v>
      </c>
      <c r="DC7" s="16" t="s">
        <v>53</v>
      </c>
      <c r="DE7" s="24">
        <v>46127</v>
      </c>
      <c r="DF7" s="16" t="s">
        <v>5</v>
      </c>
      <c r="DG7" s="16" t="s">
        <v>6</v>
      </c>
      <c r="DH7" s="16" t="s">
        <v>7</v>
      </c>
      <c r="DI7" s="16" t="s">
        <v>8</v>
      </c>
      <c r="DJ7" s="16" t="s">
        <v>9</v>
      </c>
      <c r="DK7" s="16" t="s">
        <v>11</v>
      </c>
      <c r="DL7" s="16" t="s">
        <v>53</v>
      </c>
    </row>
    <row r="8" spans="1:116" x14ac:dyDescent="0.35">
      <c r="A8" s="14" t="s">
        <v>12</v>
      </c>
      <c r="B8" s="33">
        <f>'Günlük taslak'!B13</f>
        <v>3.0407596890108843E-2</v>
      </c>
      <c r="C8" s="33">
        <f>'Günlük taslak'!C13</f>
        <v>3.0416463127971544E-2</v>
      </c>
      <c r="D8" s="33">
        <f>'Günlük taslak'!D13</f>
        <v>3.0436741760606324E-2</v>
      </c>
      <c r="E8" s="33">
        <f>'Günlük taslak'!E13</f>
        <v>3.0474812798236512E-2</v>
      </c>
      <c r="F8" s="33">
        <f>'Günlük taslak'!F13</f>
        <v>3.0512947329474488E-2</v>
      </c>
      <c r="G8" s="15">
        <v>3.04E-2</v>
      </c>
      <c r="H8" s="33">
        <f>'Günlük taslak'!H14</f>
        <v>3.0865493238620978E-2</v>
      </c>
      <c r="J8" s="14" t="s">
        <v>12</v>
      </c>
      <c r="K8" s="33">
        <f>'Günlük taslak'!B55</f>
        <v>3.1107950800242885E-2</v>
      </c>
      <c r="L8" s="33">
        <f>'Günlük taslak'!C55</f>
        <v>3.1117230159457634E-2</v>
      </c>
      <c r="M8" s="33">
        <f>'Günlük taslak'!D55</f>
        <v>3.1138453984796123E-2</v>
      </c>
      <c r="N8" s="33">
        <f>'Günlük taslak'!E55</f>
        <v>3.1178300696434381E-2</v>
      </c>
      <c r="O8" s="33">
        <f>'Günlük taslak'!F55</f>
        <v>3.1218215395197816E-2</v>
      </c>
      <c r="P8" s="15">
        <v>3.1099999999999999E-2</v>
      </c>
      <c r="Q8" s="33">
        <f>'Günlük taslak'!H56</f>
        <v>3.1587290874597329E-2</v>
      </c>
      <c r="S8" s="14" t="s">
        <v>12</v>
      </c>
      <c r="T8" s="33">
        <f>'Günlük taslak'!B98</f>
        <v>3.1708260565512791E-2</v>
      </c>
      <c r="U8" s="33">
        <f>'Günlük taslak'!C98</f>
        <v>3.1717901519644563E-2</v>
      </c>
      <c r="V8" s="33">
        <f>'Günlük taslak'!D98</f>
        <v>3.1739952665787552E-2</v>
      </c>
      <c r="W8" s="33">
        <f>'Günlük taslak'!E98</f>
        <v>3.1781353676550363E-2</v>
      </c>
      <c r="X8" s="33">
        <f>'Günlük taslak'!F98</f>
        <v>3.1822826690937146E-2</v>
      </c>
      <c r="Y8" s="22">
        <v>3.1699999999999999E-2</v>
      </c>
      <c r="Z8" s="33">
        <f>'Günlük taslak'!H99</f>
        <v>3.2206375697757972E-2</v>
      </c>
      <c r="AB8" s="14" t="s">
        <v>12</v>
      </c>
      <c r="AC8" s="33">
        <f>'Günlük taslak'!K33</f>
        <v>3.1007899748336825E-2</v>
      </c>
      <c r="AD8" s="33">
        <f>'Günlük taslak'!L33</f>
        <v>3.1017119513989746E-2</v>
      </c>
      <c r="AE8" s="33">
        <f>'Günlük taslak'!M33</f>
        <v>3.103820699217404E-2</v>
      </c>
      <c r="AF8" s="33">
        <f>'Günlük taslak'!N33</f>
        <v>3.1077797552172309E-2</v>
      </c>
      <c r="AG8" s="33">
        <f>'Günlük taslak'!O33</f>
        <v>3.1117455444773193E-2</v>
      </c>
      <c r="AH8" s="22">
        <v>3.1E-2</v>
      </c>
      <c r="AI8" s="33">
        <f>'Günlük taslak'!Q34</f>
        <v>3.1484146077251696E-2</v>
      </c>
      <c r="AK8" s="14" t="s">
        <v>12</v>
      </c>
      <c r="AL8" s="33">
        <f>'Günlük taslak'!K76</f>
        <v>3.06076971850027E-2</v>
      </c>
      <c r="AM8" s="33">
        <f>'Günlük taslak'!L76</f>
        <v>3.0616680497176203E-2</v>
      </c>
      <c r="AN8" s="33">
        <f>'Günlük taslak'!M76</f>
        <v>3.063722698551748E-2</v>
      </c>
      <c r="AO8" s="33">
        <f>'Günlük taslak'!N76</f>
        <v>3.0675801218832937E-2</v>
      </c>
      <c r="AP8" s="33">
        <f>'Günlük taslak'!O76</f>
        <v>3.071444020872649E-2</v>
      </c>
      <c r="AQ8" s="22">
        <v>3.0599999999999999E-2</v>
      </c>
      <c r="AR8" s="33">
        <f>'Günlük taslak'!Q77</f>
        <v>3.1071669725747597E-2</v>
      </c>
      <c r="AT8" s="21" t="s">
        <v>12</v>
      </c>
      <c r="AU8" s="33">
        <f>'Günlük taslak'!T13</f>
        <v>3.3509225383722141E-2</v>
      </c>
      <c r="AV8" s="33">
        <f>'Günlük taslak'!U13</f>
        <v>3.3519992612899605E-2</v>
      </c>
      <c r="AW8" s="33">
        <f>'Günlük taslak'!V13</f>
        <v>3.3544620748271248E-2</v>
      </c>
      <c r="AX8" s="33">
        <f>'Günlük taslak'!W13</f>
        <v>3.3590863552975504E-2</v>
      </c>
      <c r="AY8" s="33">
        <f>'Günlük taslak'!X13</f>
        <v>3.3637191354794753E-2</v>
      </c>
      <c r="AZ8" s="20">
        <v>3.3500000000000002E-2</v>
      </c>
      <c r="BA8" s="33">
        <f>'Günlük taslak'!Z14</f>
        <v>3.4065854123153105E-2</v>
      </c>
      <c r="BC8" s="21" t="s">
        <v>12</v>
      </c>
      <c r="BD8" s="33">
        <f>'Günlük taslak'!T55</f>
        <v>2.9006913244151722E-2</v>
      </c>
      <c r="BE8" s="33">
        <f>'Günlük taslak'!U55</f>
        <v>2.9014981473073194E-2</v>
      </c>
      <c r="BF8" s="33">
        <f>'Günlük taslak'!V55</f>
        <v>2.9033434377282046E-2</v>
      </c>
      <c r="BG8" s="33">
        <f>'Günlük taslak'!W55</f>
        <v>2.906807575995744E-2</v>
      </c>
      <c r="BH8" s="33">
        <f>'Günlük taslak'!X55</f>
        <v>2.9102772252675557E-2</v>
      </c>
      <c r="BI8" s="20">
        <f>'Günlük taslak'!Y55</f>
        <v>2.9000000000000001E-2</v>
      </c>
      <c r="BJ8" s="33">
        <f>'Günlük taslak'!Z55</f>
        <v>2.9423408585072197E-2</v>
      </c>
      <c r="BL8" s="14" t="s">
        <v>12</v>
      </c>
      <c r="BM8" s="33">
        <f>'Günlük taslak'!AC4</f>
        <v>2.9807299952161154E-2</v>
      </c>
      <c r="BN8" s="33">
        <f>'Günlük taslak'!AD4</f>
        <v>2.9815819576702873E-2</v>
      </c>
      <c r="BO8" s="33">
        <f>'Günlük taslak'!AE4</f>
        <v>2.9835305198563405E-2</v>
      </c>
      <c r="BP8" s="33">
        <f>'Günlük taslak'!AF4</f>
        <v>2.9871886517863155E-2</v>
      </c>
      <c r="BQ8" s="33">
        <f>'Günlük taslak'!AG4</f>
        <v>2.9908527640715526E-2</v>
      </c>
      <c r="BR8" s="22">
        <f>'Günlük taslak'!AH4</f>
        <v>2.98E-2</v>
      </c>
      <c r="BS8" s="33">
        <f>'Günlük taslak'!AI4</f>
        <v>3.0247210433201888E-2</v>
      </c>
      <c r="BU8" s="14" t="s">
        <v>12</v>
      </c>
      <c r="BV8" s="33">
        <f>'Günlük taslak'!AC44</f>
        <v>2.9807299952161154E-2</v>
      </c>
      <c r="BW8" s="33">
        <f>'Günlük taslak'!AD44</f>
        <v>2.9815819576702873E-2</v>
      </c>
      <c r="BX8" s="33">
        <f>'Günlük taslak'!AE44</f>
        <v>2.9835305198563405E-2</v>
      </c>
      <c r="BY8" s="33">
        <f>'Günlük taslak'!AF44</f>
        <v>2.9871886517863155E-2</v>
      </c>
      <c r="BZ8" s="33">
        <f>'Günlük taslak'!AG44</f>
        <v>2.9908527640715526E-2</v>
      </c>
      <c r="CA8" s="22">
        <f>'Günlük taslak'!AH44</f>
        <v>2.98E-2</v>
      </c>
      <c r="CB8" s="33">
        <f>'Günlük taslak'!AI44</f>
        <v>3.0247210433201888E-2</v>
      </c>
      <c r="CD8" s="14" t="s">
        <v>12</v>
      </c>
      <c r="CE8" s="33">
        <f>'Günlük taslak'!AC88</f>
        <v>3.0907848860827362E-2</v>
      </c>
      <c r="CF8" s="33">
        <f>'Günlük taslak'!AD88</f>
        <v>3.0917009225003924E-2</v>
      </c>
      <c r="CG8" s="33">
        <f>'Günlük taslak'!AE88</f>
        <v>3.0937960795912711E-2</v>
      </c>
      <c r="CH8" s="33">
        <f>'Günlük taslak'!AF88</f>
        <v>3.0977296032276263E-2</v>
      </c>
      <c r="CI8" s="33">
        <f>'Günlük taslak'!AG88</f>
        <v>3.1016697950943278E-2</v>
      </c>
      <c r="CJ8" s="22">
        <f>'Günlük taslak'!AH88</f>
        <v>3.09E-2</v>
      </c>
      <c r="CK8" s="33">
        <f>'Günlük taslak'!AI88</f>
        <v>3.1381011564685979E-2</v>
      </c>
      <c r="CM8" s="14" t="s">
        <v>12</v>
      </c>
      <c r="CN8" s="33">
        <f>'Günlük taslak'!AL24</f>
        <v>3.1208002016684468E-2</v>
      </c>
      <c r="CO8" s="33">
        <f>'Günlük taslak'!AM24</f>
        <v>3.121734116151758E-2</v>
      </c>
      <c r="CP8" s="33">
        <f>'Günlük taslak'!AN24</f>
        <v>3.1238701773908639E-2</v>
      </c>
      <c r="CQ8" s="33">
        <f>'Günlük taslak'!AO24</f>
        <v>3.1278805465217829E-2</v>
      </c>
      <c r="CR8" s="33">
        <f>'Günlük taslak'!AP24</f>
        <v>3.1318977802404467E-2</v>
      </c>
      <c r="CS8" s="22">
        <f>'Günlük taslak'!AQ24</f>
        <v>3.1199999999999999E-2</v>
      </c>
      <c r="CT8" s="33">
        <f>'Günlük taslak'!AR24</f>
        <v>3.1690445957877067E-2</v>
      </c>
      <c r="CV8" s="14" t="s">
        <v>12</v>
      </c>
      <c r="CW8" s="33">
        <f>'Günlük taslak'!AL64</f>
        <v>2.6405729129006201E-2</v>
      </c>
      <c r="CX8" s="33">
        <f>'Günlük taslak'!AM64</f>
        <v>2.6412415208068109E-2</v>
      </c>
      <c r="CY8" s="33">
        <f>'Günlük taslak'!AN64</f>
        <v>2.6427706152159319E-2</v>
      </c>
      <c r="CZ8" s="33">
        <f>'Günlük taslak'!AO64</f>
        <v>2.6456408494041721E-2</v>
      </c>
      <c r="DA8" s="33">
        <f>'Günlük taslak'!AP64</f>
        <v>2.648515239959881E-2</v>
      </c>
      <c r="DB8" s="22">
        <f>'Günlük taslak'!AQ64</f>
        <v>2.64E-2</v>
      </c>
      <c r="DC8" s="33">
        <f>'Günlük taslak'!AR64</f>
        <v>2.6750586738331306E-2</v>
      </c>
      <c r="DE8" s="14" t="s">
        <v>12</v>
      </c>
      <c r="DF8" s="33">
        <f>'Günlük taslak'!AL100</f>
        <v>2.7206081631976988E-2</v>
      </c>
      <c r="DG8" s="33">
        <f>'Günlük taslak'!AM100</f>
        <v>2.721317916094455E-2</v>
      </c>
      <c r="DH8" s="33">
        <f>'Günlük taslak'!AN100</f>
        <v>2.7229411356470796E-2</v>
      </c>
      <c r="DI8" s="33">
        <f>'Günlük taslak'!AO100</f>
        <v>2.7259881528093017E-2</v>
      </c>
      <c r="DJ8" s="33">
        <f>'Günlük taslak'!AP100</f>
        <v>2.7290397161898836E-2</v>
      </c>
      <c r="DK8" s="22">
        <f>'Günlük taslak'!AQ100</f>
        <v>2.7199999999999998E-2</v>
      </c>
      <c r="DL8" s="33">
        <f>'Günlük taslak'!AR100</f>
        <v>2.7572255500570853E-2</v>
      </c>
    </row>
    <row r="9" spans="1:116" x14ac:dyDescent="0.35">
      <c r="A9" s="14" t="s">
        <v>54</v>
      </c>
      <c r="B9" s="15">
        <v>0.03</v>
      </c>
      <c r="C9" s="15">
        <v>3.15E-2</v>
      </c>
      <c r="D9" s="15">
        <v>4.3900000000000002E-2</v>
      </c>
      <c r="E9" s="15">
        <v>4.99E-2</v>
      </c>
      <c r="F9" s="15">
        <v>5.8500000000000003E-2</v>
      </c>
      <c r="G9" s="15">
        <v>3.44E-2</v>
      </c>
      <c r="H9" s="33">
        <f>'Günlük taslak'!H16</f>
        <v>3.4996845680234534E-2</v>
      </c>
      <c r="J9" s="14" t="s">
        <v>54</v>
      </c>
      <c r="K9" s="15">
        <v>3.2000000000000001E-2</v>
      </c>
      <c r="L9" s="15">
        <v>3.3500000000000002E-2</v>
      </c>
      <c r="M9" s="15">
        <v>3.2000000000000001E-2</v>
      </c>
      <c r="N9" s="15">
        <v>0.05</v>
      </c>
      <c r="O9" s="15">
        <v>5.3699999999999998E-2</v>
      </c>
      <c r="P9" s="15">
        <v>3.5099999999999999E-2</v>
      </c>
      <c r="Q9" s="33">
        <f>'Günlük taslak'!H57</f>
        <v>3.5721528087785392E-2</v>
      </c>
      <c r="S9" s="14" t="s">
        <v>54</v>
      </c>
      <c r="T9" s="22">
        <v>3.5999999999999997E-2</v>
      </c>
      <c r="U9" s="22">
        <v>0.04</v>
      </c>
      <c r="V9" s="22">
        <v>4.2000000000000003E-2</v>
      </c>
      <c r="W9" s="22">
        <v>5.7299999999999997E-2</v>
      </c>
      <c r="X9" s="22">
        <v>5.79E-2</v>
      </c>
      <c r="Y9" s="22">
        <v>3.56E-2</v>
      </c>
      <c r="Z9" s="33">
        <f>'Günlük taslak'!H100</f>
        <v>3.623946816391288E-2</v>
      </c>
      <c r="AB9" s="14" t="s">
        <v>54</v>
      </c>
      <c r="AC9" s="22">
        <v>3.2000000000000001E-2</v>
      </c>
      <c r="AD9" s="22">
        <v>4.0899999999999999E-2</v>
      </c>
      <c r="AE9" s="22">
        <v>3.7999999999999999E-2</v>
      </c>
      <c r="AF9" s="22">
        <v>0.05</v>
      </c>
      <c r="AG9" s="22">
        <v>5.2400000000000002E-2</v>
      </c>
      <c r="AH9" s="22">
        <v>3.44E-2</v>
      </c>
      <c r="AI9" s="33">
        <f>'Günlük taslak'!Q36</f>
        <v>3.4996845680234534E-2</v>
      </c>
      <c r="AK9" s="14" t="s">
        <v>54</v>
      </c>
      <c r="AL9" s="22">
        <v>3.3000000000000002E-2</v>
      </c>
      <c r="AM9" s="22">
        <v>4.07E-2</v>
      </c>
      <c r="AN9" s="22">
        <v>3.7999999999999999E-2</v>
      </c>
      <c r="AO9" s="22">
        <v>4.6899999999999997E-2</v>
      </c>
      <c r="AP9" s="22">
        <v>4.7899999999999998E-2</v>
      </c>
      <c r="AQ9" s="22">
        <v>3.4500000000000003E-2</v>
      </c>
      <c r="AR9" s="33">
        <f>'Günlük taslak'!Q79</f>
        <v>3.5100340771234473E-2</v>
      </c>
      <c r="AT9" s="21" t="s">
        <v>54</v>
      </c>
      <c r="AU9" s="22">
        <v>0.03</v>
      </c>
      <c r="AV9" s="22">
        <v>3.9399999999999998E-2</v>
      </c>
      <c r="AW9" s="22">
        <v>4.2000000000000003E-2</v>
      </c>
      <c r="AX9" s="22">
        <v>4.3900000000000002E-2</v>
      </c>
      <c r="AY9" s="22">
        <v>5.0700000000000002E-2</v>
      </c>
      <c r="AZ9" s="22">
        <v>3.85E-2</v>
      </c>
      <c r="BA9" s="33">
        <f>'Günlük taslak'!Z16</f>
        <v>3.9248618331255036E-2</v>
      </c>
      <c r="BC9" s="21" t="s">
        <v>54</v>
      </c>
      <c r="BD9" s="20">
        <f>'Günlük taslak'!T57</f>
        <v>3.4200000000000001E-2</v>
      </c>
      <c r="BE9" s="20">
        <f>'Günlük taslak'!U57</f>
        <v>3.4000000000000002E-2</v>
      </c>
      <c r="BF9" s="20">
        <f>'Günlük taslak'!V57</f>
        <v>3.49E-2</v>
      </c>
      <c r="BG9" s="20">
        <f>'Günlük taslak'!W57</f>
        <v>4.2999999999999997E-2</v>
      </c>
      <c r="BH9" s="20">
        <f>'Günlük taslak'!X57</f>
        <v>0.05</v>
      </c>
      <c r="BI9" s="20">
        <f>'Günlük taslak'!Y57</f>
        <v>3.3300000000000003E-2</v>
      </c>
      <c r="BJ9" s="33">
        <f>'Günlük taslak'!Z57</f>
        <v>3.3859080551566834E-2</v>
      </c>
      <c r="BL9" s="14" t="s">
        <v>54</v>
      </c>
      <c r="BM9" s="22">
        <f>'Günlük taslak'!AC5</f>
        <v>0.03</v>
      </c>
      <c r="BN9" s="22">
        <f>'Günlük taslak'!AD5</f>
        <v>3.2000000000000001E-2</v>
      </c>
      <c r="BO9" s="22">
        <f>'Günlük taslak'!AE5</f>
        <v>4.2000000000000003E-2</v>
      </c>
      <c r="BP9" s="22">
        <f>'Günlük taslak'!AF5</f>
        <v>4.3799999999999999E-2</v>
      </c>
      <c r="BQ9" s="22">
        <f>'Günlük taslak'!AG5</f>
        <v>6.4899999999999999E-2</v>
      </c>
      <c r="BR9" s="22">
        <f>'Günlük taslak'!AH5</f>
        <v>3.32E-2</v>
      </c>
      <c r="BS9" s="33">
        <f>'Günlük taslak'!AI5</f>
        <v>3.3755709228882935E-2</v>
      </c>
      <c r="BU9" s="14" t="s">
        <v>54</v>
      </c>
      <c r="BV9" s="22">
        <f>'Günlük taslak'!AC36</f>
        <v>0.03</v>
      </c>
      <c r="BW9" s="22">
        <f>'Günlük taslak'!AD36</f>
        <v>3.3000000000000002E-2</v>
      </c>
      <c r="BX9" s="22">
        <f>'Günlük taslak'!AE36</f>
        <v>3.2000000000000001E-2</v>
      </c>
      <c r="BY9" s="22">
        <f>'Günlük taslak'!AF36</f>
        <v>4.3999999999999997E-2</v>
      </c>
      <c r="BZ9" s="22">
        <f>'Günlük taslak'!AG36</f>
        <v>5.6000000000000001E-2</v>
      </c>
      <c r="CA9" s="22">
        <f>'Günlük taslak'!AH46</f>
        <v>3.3399999999999999E-2</v>
      </c>
      <c r="CB9" s="33">
        <f>'Günlük taslak'!AI46</f>
        <v>3.3962462182619113E-2</v>
      </c>
      <c r="CD9" s="14" t="s">
        <v>54</v>
      </c>
      <c r="CE9" s="22">
        <f>'Günlük taslak'!AC90</f>
        <v>3.1E-2</v>
      </c>
      <c r="CF9" s="22">
        <f>'Günlük taslak'!AD90</f>
        <v>3.49E-2</v>
      </c>
      <c r="CG9" s="22">
        <f>'Günlük taslak'!AE90</f>
        <v>4.2000000000000003E-2</v>
      </c>
      <c r="CH9" s="22">
        <f>'Günlük taslak'!AF90</f>
        <v>4.3799999999999999E-2</v>
      </c>
      <c r="CI9" s="22">
        <f>'Günlük taslak'!AG90</f>
        <v>5.9700000000000003E-2</v>
      </c>
      <c r="CJ9" s="22">
        <f>'Günlük taslak'!AH90</f>
        <v>3.1E-2</v>
      </c>
      <c r="CK9" s="33">
        <f>'Günlük taslak'!AI90</f>
        <v>3.1484146077251696E-2</v>
      </c>
      <c r="CM9" s="14" t="s">
        <v>54</v>
      </c>
      <c r="CN9" s="22">
        <f>'Günlük taslak'!AL25</f>
        <v>3.39E-2</v>
      </c>
      <c r="CO9" s="22">
        <f>'Günlük taslak'!AM25</f>
        <v>3.4000000000000002E-2</v>
      </c>
      <c r="CP9" s="22">
        <f>'Günlük taslak'!AN25</f>
        <v>4.3900000000000002E-2</v>
      </c>
      <c r="CQ9" s="22">
        <f>'Günlük taslak'!AO25</f>
        <v>0.04</v>
      </c>
      <c r="CR9" s="22">
        <f>'Günlük taslak'!AP25</f>
        <v>0.05</v>
      </c>
      <c r="CS9" s="22">
        <f>'Günlük taslak'!AQ25</f>
        <v>3.5299999999999998E-2</v>
      </c>
      <c r="CT9" s="33">
        <f>'Günlük taslak'!AR25</f>
        <v>3.5928673130481092E-2</v>
      </c>
      <c r="CV9" s="14" t="s">
        <v>54</v>
      </c>
      <c r="CW9" s="22">
        <f>'Günlük taslak'!AL65</f>
        <v>2.9899999999999999E-2</v>
      </c>
      <c r="CX9" s="22">
        <f>'Günlük taslak'!AM65</f>
        <v>3.44E-2</v>
      </c>
      <c r="CY9" s="22">
        <f>'Günlük taslak'!AN65</f>
        <v>3.49E-2</v>
      </c>
      <c r="CZ9" s="22">
        <f>'Günlük taslak'!AO65</f>
        <v>4.3799999999999999E-2</v>
      </c>
      <c r="DA9" s="22">
        <f>'Günlük taslak'!AP65</f>
        <v>0.05</v>
      </c>
      <c r="DB9" s="22">
        <f>'Günlük taslak'!AQ65</f>
        <v>3.2800000000000003E-2</v>
      </c>
      <c r="DC9" s="33">
        <f>'Günlük taslak'!AR65</f>
        <v>3.334232700144435E-2</v>
      </c>
      <c r="DE9" s="14" t="s">
        <v>54</v>
      </c>
      <c r="DF9" s="22">
        <f>'Günlük taslak'!AL101</f>
        <v>4.2000000000000003E-2</v>
      </c>
      <c r="DG9" s="22">
        <f>'Günlük taslak'!AM101</f>
        <v>3.2000000000000001E-2</v>
      </c>
      <c r="DH9" s="22">
        <f>'Günlük taslak'!AN101</f>
        <v>3.5000000000000003E-2</v>
      </c>
      <c r="DI9" s="22">
        <f>'Günlük taslak'!AO101</f>
        <v>4.3499999999999997E-2</v>
      </c>
      <c r="DJ9" s="22">
        <f>'Günlük taslak'!AP101</f>
        <v>6.4600000000000005E-2</v>
      </c>
      <c r="DK9" s="22">
        <f>'Günlük taslak'!AQ101</f>
        <v>3.2899999999999999E-2</v>
      </c>
      <c r="DL9" s="33">
        <f>'Günlük taslak'!AR101</f>
        <v>3.3445657100777071E-2</v>
      </c>
    </row>
    <row r="10" spans="1:116" x14ac:dyDescent="0.35">
      <c r="A10" s="14" t="s">
        <v>15</v>
      </c>
      <c r="B10" s="33">
        <f>'Günlük taslak'!B17</f>
        <v>3.000739827372859E-2</v>
      </c>
      <c r="C10" s="33">
        <f>'Günlük taslak'!C17</f>
        <v>3.001603266778119E-2</v>
      </c>
      <c r="D10" s="33">
        <f>'Günlük taslak'!D17</f>
        <v>3.0035780867213036E-2</v>
      </c>
      <c r="E10" s="33">
        <f>'Günlük taslak'!E17</f>
        <v>3.0072855447992059E-2</v>
      </c>
      <c r="F10" s="33">
        <f>'Günlük taslak'!F17</f>
        <v>3.0109991045976444E-2</v>
      </c>
      <c r="G10" s="15">
        <v>0.03</v>
      </c>
      <c r="H10" s="33">
        <f>'Günlük taslak'!H18</f>
        <v>3.0453263600558333E-2</v>
      </c>
      <c r="J10" s="14" t="s">
        <v>15</v>
      </c>
      <c r="K10" s="33">
        <f>'Günlük taslak'!B59</f>
        <v>2.5005137572765568E-2</v>
      </c>
      <c r="L10" s="33">
        <f>'Günlük taslak'!C59</f>
        <v>2.501113318692437E-2</v>
      </c>
      <c r="M10" s="33">
        <f>'Günlük taslak'!D59</f>
        <v>2.5024844646748069E-2</v>
      </c>
      <c r="N10" s="33">
        <f>'Günlük taslak'!E59</f>
        <v>2.5050580654265259E-2</v>
      </c>
      <c r="O10" s="33">
        <f>'Günlük taslak'!F59</f>
        <v>2.5076351951623114E-2</v>
      </c>
      <c r="P10" s="15">
        <v>2.5000000000000001E-2</v>
      </c>
      <c r="Q10" s="33">
        <f>'Günlük taslak'!H60</f>
        <v>2.5314242726610869E-2</v>
      </c>
      <c r="S10" s="14" t="s">
        <v>15</v>
      </c>
      <c r="T10" s="33">
        <f>'Günlük taslak'!B101</f>
        <v>2.5005137572765568E-2</v>
      </c>
      <c r="U10" s="33">
        <f>'Günlük taslak'!C101</f>
        <v>2.5011133186924366E-2</v>
      </c>
      <c r="V10" s="33">
        <f>'Günlük taslak'!D101</f>
        <v>2.5024844646748073E-2</v>
      </c>
      <c r="W10" s="33">
        <f>'Günlük taslak'!E101</f>
        <v>2.5050580654265259E-2</v>
      </c>
      <c r="X10" s="33">
        <f>'Günlük taslak'!F101</f>
        <v>2.5076351951623117E-2</v>
      </c>
      <c r="Y10" s="10" t="s">
        <v>30</v>
      </c>
      <c r="Z10" s="33">
        <f>'Günlük taslak'!H102</f>
        <v>2.5314242726610869E-2</v>
      </c>
      <c r="AB10" s="14" t="s">
        <v>15</v>
      </c>
      <c r="AC10" s="33">
        <f>'Günlük taslak'!K37</f>
        <v>2.5005137572765568E-2</v>
      </c>
      <c r="AD10" s="33">
        <f>'Günlük taslak'!L37</f>
        <v>2.5011133186924366E-2</v>
      </c>
      <c r="AE10" s="33">
        <f>'Günlük taslak'!M37</f>
        <v>2.5024844646748073E-2</v>
      </c>
      <c r="AF10" s="33">
        <f>'Günlük taslak'!N37</f>
        <v>2.5050580654265259E-2</v>
      </c>
      <c r="AG10" s="33">
        <f>'Günlük taslak'!O37</f>
        <v>2.5076351951623117E-2</v>
      </c>
      <c r="AH10" s="22">
        <v>2.5000000000000001E-2</v>
      </c>
      <c r="AI10" s="33">
        <f>'Günlük taslak'!Q38</f>
        <v>2.5314242726610869E-2</v>
      </c>
      <c r="AK10" s="14" t="s">
        <v>15</v>
      </c>
      <c r="AL10" s="33">
        <f>'Günlük taslak'!K81</f>
        <v>2.5005137572765568E-2</v>
      </c>
      <c r="AM10" s="33">
        <f>'Günlük taslak'!L81</f>
        <v>2.5011133186924366E-2</v>
      </c>
      <c r="AN10" s="33">
        <f>'Günlük taslak'!M81</f>
        <v>2.5024844646748073E-2</v>
      </c>
      <c r="AO10" s="33">
        <f>'Günlük taslak'!N81</f>
        <v>2.5050580654265259E-2</v>
      </c>
      <c r="AP10" s="33">
        <f>'Günlük taslak'!O81</f>
        <v>2.5076351951623117E-2</v>
      </c>
      <c r="AQ10" s="22">
        <v>2.5000000000000001E-2</v>
      </c>
      <c r="AR10" s="33">
        <f>'Günlük taslak'!Q82</f>
        <v>2.5314242726610869E-2</v>
      </c>
      <c r="AT10" s="21" t="s">
        <v>15</v>
      </c>
      <c r="AU10" s="33">
        <f>'Günlük taslak'!T17</f>
        <v>2.5005137572765568E-2</v>
      </c>
      <c r="AV10" s="33">
        <f>'Günlük taslak'!U17</f>
        <v>2.5011133186924366E-2</v>
      </c>
      <c r="AW10" s="33">
        <f>'Günlük taslak'!V17</f>
        <v>2.5024844646748073E-2</v>
      </c>
      <c r="AX10" s="33">
        <f>'Günlük taslak'!W17</f>
        <v>2.5050580654265259E-2</v>
      </c>
      <c r="AY10" s="33">
        <f>'Günlük taslak'!X17</f>
        <v>2.5076351951623117E-2</v>
      </c>
      <c r="AZ10" s="22">
        <v>2.5000000000000001E-2</v>
      </c>
      <c r="BA10" s="33">
        <f>'Günlük taslak'!Z18</f>
        <v>2.5314242726610869E-2</v>
      </c>
      <c r="BC10" s="21" t="s">
        <v>15</v>
      </c>
      <c r="BD10" s="33">
        <f>'Günlük taslak'!T60</f>
        <v>2.5005137572765568E-2</v>
      </c>
      <c r="BE10" s="33">
        <f>'Günlük taslak'!U60</f>
        <v>2.5011133186924366E-2</v>
      </c>
      <c r="BF10" s="33">
        <f>'Günlük taslak'!V60</f>
        <v>2.5024844646748073E-2</v>
      </c>
      <c r="BG10" s="33">
        <f>'Günlük taslak'!W60</f>
        <v>2.5050580654265259E-2</v>
      </c>
      <c r="BH10" s="33">
        <f>'Günlük taslak'!X60</f>
        <v>2.5076351951623117E-2</v>
      </c>
      <c r="BI10" s="20">
        <f>'Günlük taslak'!Y60</f>
        <v>2.5000000000000001E-2</v>
      </c>
      <c r="BJ10" s="33">
        <f>'Günlük taslak'!Z60</f>
        <v>2.5314242726610869E-2</v>
      </c>
      <c r="BL10" s="14" t="s">
        <v>15</v>
      </c>
      <c r="BM10" s="33">
        <f>'Günlük taslak'!AC8</f>
        <v>2.5005137572765568E-2</v>
      </c>
      <c r="BN10" s="33">
        <f>'Günlük taslak'!AD8</f>
        <v>2.5011133186924366E-2</v>
      </c>
      <c r="BO10" s="33">
        <f>'Günlük taslak'!AE8</f>
        <v>2.5024844646748073E-2</v>
      </c>
      <c r="BP10" s="33">
        <f>'Günlük taslak'!AF8</f>
        <v>2.5050580654265259E-2</v>
      </c>
      <c r="BQ10" s="33">
        <f>'Günlük taslak'!AG8</f>
        <v>2.5076351951623117E-2</v>
      </c>
      <c r="BR10" s="22">
        <f>'Günlük taslak'!AH8</f>
        <v>2.5000000000000001E-2</v>
      </c>
      <c r="BS10" s="33">
        <f>'Günlük taslak'!AI8</f>
        <v>2.5314242726610869E-2</v>
      </c>
      <c r="BU10" s="14" t="s">
        <v>15</v>
      </c>
      <c r="BV10" s="33">
        <f>'Günlük taslak'!AC38</f>
        <v>2.5005137572765568E-2</v>
      </c>
      <c r="BW10" s="33">
        <f>'Günlük taslak'!AD38</f>
        <v>2.5011133186924366E-2</v>
      </c>
      <c r="BX10" s="33">
        <f>'Günlük taslak'!AE38</f>
        <v>2.5024844646748073E-2</v>
      </c>
      <c r="BY10" s="33">
        <f>'Günlük taslak'!AF38</f>
        <v>2.5050580654265259E-2</v>
      </c>
      <c r="BZ10" s="33">
        <f>'Günlük taslak'!AG38</f>
        <v>2.5076351951623117E-2</v>
      </c>
      <c r="CA10" s="22">
        <f>'Günlük taslak'!AH49</f>
        <v>2.5000000000000001E-2</v>
      </c>
      <c r="CB10" s="33">
        <f>'Günlük taslak'!AI49</f>
        <v>2.5314242726610869E-2</v>
      </c>
      <c r="CD10" s="14" t="s">
        <v>15</v>
      </c>
      <c r="CE10" s="33">
        <f>'Günlük taslak'!AC93</f>
        <v>2.5005137572765568E-2</v>
      </c>
      <c r="CF10" s="33">
        <f>'Günlük taslak'!AD93</f>
        <v>2.5011133186924366E-2</v>
      </c>
      <c r="CG10" s="33">
        <f>'Günlük taslak'!AE93</f>
        <v>2.5024844646748073E-2</v>
      </c>
      <c r="CH10" s="33">
        <f>'Günlük taslak'!AF93</f>
        <v>2.5050580654265259E-2</v>
      </c>
      <c r="CI10" s="33">
        <f>'Günlük taslak'!AG93</f>
        <v>2.5076351951623117E-2</v>
      </c>
      <c r="CJ10" s="22">
        <f>'Günlük taslak'!AH93</f>
        <v>2.5000000000000001E-2</v>
      </c>
      <c r="CK10" s="33">
        <f>'Günlük taslak'!AI93</f>
        <v>2.5314242726610869E-2</v>
      </c>
      <c r="CM10" s="14" t="s">
        <v>15</v>
      </c>
      <c r="CN10" s="33">
        <f>'Günlük taslak'!AL27</f>
        <v>2.5005137572765568E-2</v>
      </c>
      <c r="CO10" s="33">
        <f>'Günlük taslak'!AM27</f>
        <v>2.5011133186924366E-2</v>
      </c>
      <c r="CP10" s="33">
        <f>'Günlük taslak'!AN27</f>
        <v>2.5024844646748073E-2</v>
      </c>
      <c r="CQ10" s="33">
        <f>'Günlük taslak'!AO27</f>
        <v>2.5050580654265259E-2</v>
      </c>
      <c r="CR10" s="33">
        <f>'Günlük taslak'!AP27</f>
        <v>2.5076351951623117E-2</v>
      </c>
      <c r="CS10" s="22">
        <f>'Günlük taslak'!AQ17</f>
        <v>2.5000000000000001E-2</v>
      </c>
      <c r="CT10" s="33">
        <f>'Günlük taslak'!AR17</f>
        <v>2.5314242726610869E-2</v>
      </c>
      <c r="CV10" s="14" t="s">
        <v>15</v>
      </c>
      <c r="CW10" s="33">
        <f>'Günlük taslak'!AL67</f>
        <v>2.5005137572765568E-2</v>
      </c>
      <c r="CX10" s="33">
        <f>'Günlük taslak'!AM67</f>
        <v>2.5011133186924366E-2</v>
      </c>
      <c r="CY10" s="33">
        <f>'Günlük taslak'!AN67</f>
        <v>2.5024844646748073E-2</v>
      </c>
      <c r="CZ10" s="33">
        <f>'Günlük taslak'!AO67</f>
        <v>2.5050580654265259E-2</v>
      </c>
      <c r="DA10" s="33">
        <f>'Günlük taslak'!AP67</f>
        <v>2.5076351951623117E-2</v>
      </c>
      <c r="DB10" s="22">
        <f>'Günlük taslak'!AQ67</f>
        <v>2.5000000000000001E-2</v>
      </c>
      <c r="DC10" s="33">
        <f>'Günlük taslak'!AR67</f>
        <v>2.5314242726610869E-2</v>
      </c>
      <c r="DE10" s="14" t="s">
        <v>15</v>
      </c>
      <c r="DF10" s="33">
        <f>'Günlük taslak'!AL103</f>
        <v>2.5005137572765568E-2</v>
      </c>
      <c r="DG10" s="33">
        <f>'Günlük taslak'!AM103</f>
        <v>2.5011133186924366E-2</v>
      </c>
      <c r="DH10" s="33">
        <f>'Günlük taslak'!AN103</f>
        <v>2.5024844646748073E-2</v>
      </c>
      <c r="DI10" s="33">
        <f>'Günlük taslak'!AO103</f>
        <v>2.5050580654265259E-2</v>
      </c>
      <c r="DJ10" s="33">
        <f>'Günlük taslak'!AP103</f>
        <v>2.5076351951623117E-2</v>
      </c>
      <c r="DK10" s="22">
        <f>'Günlük taslak'!AQ103</f>
        <v>2.5000000000000001E-2</v>
      </c>
      <c r="DL10" s="33">
        <f>'Günlük taslak'!AR103</f>
        <v>2.5314242726610869E-2</v>
      </c>
    </row>
    <row r="11" spans="1:116" x14ac:dyDescent="0.35">
      <c r="A11" s="14" t="s">
        <v>17</v>
      </c>
      <c r="B11" s="15">
        <v>0.04</v>
      </c>
      <c r="C11" s="33">
        <f>'Günlük taslak'!C19</f>
        <v>3.0716789716640571E-2</v>
      </c>
      <c r="D11" s="15">
        <v>5.4800000000000001E-2</v>
      </c>
      <c r="E11" s="33">
        <f>'Günlük taslak'!E19</f>
        <v>3.0776297865676816E-2</v>
      </c>
      <c r="F11" s="33">
        <f>'Günlük taslak'!F19</f>
        <v>3.0815190333023493E-2</v>
      </c>
      <c r="G11" s="15">
        <v>3.0700000000000002E-2</v>
      </c>
      <c r="H11" s="33">
        <f>'Günlük taslak'!H20</f>
        <v>3.1174773390001631E-2</v>
      </c>
      <c r="J11" s="14" t="s">
        <v>17</v>
      </c>
      <c r="K11" s="15">
        <v>3.9600000000000003E-2</v>
      </c>
      <c r="L11" s="33">
        <f>'Günlük taslak'!C61</f>
        <v>2.9815819576702877E-2</v>
      </c>
      <c r="M11" s="15">
        <v>5.4800000000000001E-2</v>
      </c>
      <c r="N11" s="33">
        <f>'Günlük taslak'!E61</f>
        <v>2.9871886517863155E-2</v>
      </c>
      <c r="O11" s="33">
        <f>'Günlük taslak'!F61</f>
        <v>2.9908527640715523E-2</v>
      </c>
      <c r="P11" s="15">
        <v>2.98E-2</v>
      </c>
      <c r="Q11" s="33">
        <f>'Günlük taslak'!H62</f>
        <v>3.0247210433201888E-2</v>
      </c>
      <c r="S11" s="14" t="s">
        <v>17</v>
      </c>
      <c r="T11" s="10" t="s">
        <v>37</v>
      </c>
      <c r="U11" s="33">
        <f>'Günlük taslak'!C103</f>
        <v>3.2218470791195206E-2</v>
      </c>
      <c r="V11" s="10" t="s">
        <v>27</v>
      </c>
      <c r="W11" s="33">
        <f>'Günlük taslak'!E103</f>
        <v>3.2283942502945993E-2</v>
      </c>
      <c r="X11" s="33">
        <f>'Günlük taslak'!F103</f>
        <v>3.2326737006068758E-2</v>
      </c>
      <c r="Y11" s="10" t="s">
        <v>34</v>
      </c>
      <c r="Z11" s="33">
        <f>'Günlük taslak'!H104</f>
        <v>3.2722562737591776E-2</v>
      </c>
      <c r="AB11" s="14" t="s">
        <v>17</v>
      </c>
      <c r="AC11" s="22">
        <v>3.8600000000000002E-2</v>
      </c>
      <c r="AD11" s="33">
        <f>'Günlük taslak'!L39</f>
        <v>3.1417564235164716E-2</v>
      </c>
      <c r="AE11" s="22">
        <v>5.4800000000000001E-2</v>
      </c>
      <c r="AF11" s="33">
        <f>'Günlük taslak'!N39</f>
        <v>3.1479819876150263E-2</v>
      </c>
      <c r="AG11" s="33">
        <f>'Günlük taslak'!O39</f>
        <v>3.1520509987099911E-2</v>
      </c>
      <c r="AH11" s="22">
        <v>3.1399999999999997E-2</v>
      </c>
      <c r="AI11" s="33">
        <f>'Günlük taslak'!Q40</f>
        <v>3.1896786986022718E-2</v>
      </c>
      <c r="AK11" s="14" t="s">
        <v>17</v>
      </c>
      <c r="AL11" s="22">
        <v>3.8600000000000002E-2</v>
      </c>
      <c r="AM11" s="33">
        <f>'Günlük taslak'!L83</f>
        <v>3.1417564235164716E-2</v>
      </c>
      <c r="AN11" s="22">
        <v>5.4800000000000001E-2</v>
      </c>
      <c r="AO11" s="33">
        <f>'Günlük taslak'!N83</f>
        <v>3.1479819876150263E-2</v>
      </c>
      <c r="AP11" s="33">
        <f>'Günlük taslak'!O83</f>
        <v>3.1520509987099911E-2</v>
      </c>
      <c r="AQ11" s="22">
        <v>3.1399999999999997E-2</v>
      </c>
      <c r="AR11" s="33">
        <f>'Günlük taslak'!Q84</f>
        <v>3.1896786986022718E-2</v>
      </c>
      <c r="AT11" s="21" t="s">
        <v>17</v>
      </c>
      <c r="AU11" s="20">
        <f>'Günlük taslak'!T20</f>
        <v>3.8600000000000002E-2</v>
      </c>
      <c r="AV11" s="33">
        <f>'Günlük taslak'!U19</f>
        <v>3.1117230159457634E-2</v>
      </c>
      <c r="AW11" s="20">
        <f>'Günlük taslak'!V20</f>
        <v>5.4800000000000001E-2</v>
      </c>
      <c r="AX11" s="33">
        <f>'Günlük taslak'!W19</f>
        <v>3.1178300696434385E-2</v>
      </c>
      <c r="AY11" s="33">
        <f>'Günlük taslak'!X19</f>
        <v>3.1218215395197819E-2</v>
      </c>
      <c r="AZ11" s="22">
        <v>3.1099999999999999E-2</v>
      </c>
      <c r="BA11" s="33">
        <f>'Günlük taslak'!Z20</f>
        <v>3.1587290874597329E-2</v>
      </c>
      <c r="BC11" s="21" t="s">
        <v>17</v>
      </c>
      <c r="BD11" s="20">
        <f>'Günlük taslak'!T62</f>
        <v>3.7600000000000001E-2</v>
      </c>
      <c r="BE11" s="33">
        <f>'Günlük taslak'!U62</f>
        <v>2.861457097742421E-2</v>
      </c>
      <c r="BF11" s="20">
        <f>'Günlük taslak'!V62</f>
        <v>5.4800000000000001E-2</v>
      </c>
      <c r="BG11" s="33">
        <f>'Günlük taslak'!W62</f>
        <v>2.8666209355555194E-2</v>
      </c>
      <c r="BH11" s="33">
        <f>'Günlük taslak'!X62</f>
        <v>2.8699953491705399E-2</v>
      </c>
      <c r="BI11" s="20">
        <f>'Günlük taslak'!Y62</f>
        <v>2.86E-2</v>
      </c>
      <c r="BJ11" s="33">
        <f>'Günlük taslak'!Z62</f>
        <v>2.9011754039298232E-2</v>
      </c>
      <c r="BL11" s="14" t="s">
        <v>17</v>
      </c>
      <c r="BM11" s="22">
        <f>'Günlük taslak'!AC10</f>
        <v>3.7600000000000001E-2</v>
      </c>
      <c r="BN11" s="33">
        <f>'Günlük taslak'!AD10</f>
        <v>3.0216247184851448E-2</v>
      </c>
      <c r="BO11" s="22">
        <f>'Günlük taslak'!AE10</f>
        <v>5.4800000000000001E-2</v>
      </c>
      <c r="BP11" s="33">
        <f>'Günlük taslak'!AF10</f>
        <v>3.0273830874697632E-2</v>
      </c>
      <c r="BQ11" s="33">
        <f>'Günlük taslak'!AG10</f>
        <v>3.0311464275388368E-2</v>
      </c>
      <c r="BR11" s="22">
        <f>'Günlük taslak'!AH10</f>
        <v>3.0200000000000001E-2</v>
      </c>
      <c r="BS11" s="33">
        <f>'Günlük taslak'!AI10</f>
        <v>3.0659357866290149E-2</v>
      </c>
      <c r="BU11" s="14" t="s">
        <v>17</v>
      </c>
      <c r="BV11" s="22">
        <f>'Günlük taslak'!AC51</f>
        <v>3.7600000000000001E-2</v>
      </c>
      <c r="BW11" s="33">
        <f>'Günlük taslak'!AD51</f>
        <v>2.97157135659997E-2</v>
      </c>
      <c r="BX11" s="22">
        <f>'Günlük taslak'!AE51</f>
        <v>5.4800000000000001E-2</v>
      </c>
      <c r="BY11" s="33">
        <f>'Günlük taslak'!AF51</f>
        <v>2.9771404489047876E-2</v>
      </c>
      <c r="BZ11" s="33">
        <f>'Günlük taslak'!AG51</f>
        <v>2.9807799622090583E-2</v>
      </c>
      <c r="CA11" s="22">
        <f>'Günlük taslak'!AH51</f>
        <v>2.9700000000000001E-2</v>
      </c>
      <c r="CB11" s="33">
        <f>'Günlük taslak'!AI51</f>
        <v>3.0144199258958837E-2</v>
      </c>
      <c r="CD11" s="14" t="s">
        <v>17</v>
      </c>
      <c r="CE11" s="22">
        <f>'Günlük taslak'!AC95</f>
        <v>3.8100000000000002E-2</v>
      </c>
      <c r="CF11" s="33">
        <f>'Günlük taslak'!AD95</f>
        <v>3.1818014660799525E-2</v>
      </c>
      <c r="CG11" s="22">
        <f>'Günlük taslak'!AE95</f>
        <v>5.4800000000000001E-2</v>
      </c>
      <c r="CH11" s="33">
        <f>'Günlük taslak'!AF95</f>
        <v>3.1881868192445817E-2</v>
      </c>
      <c r="CI11" s="33">
        <f>'Günlük taslak'!AG95</f>
        <v>3.1923603839523036E-2</v>
      </c>
      <c r="CJ11" s="22">
        <f>'Günlük taslak'!AH95</f>
        <v>3.1800000000000002E-2</v>
      </c>
      <c r="CK11" s="33">
        <f>'Günlük taslak'!AI95</f>
        <v>3.230959251755694E-2</v>
      </c>
      <c r="CM11" s="14" t="s">
        <v>17</v>
      </c>
      <c r="CN11" s="22">
        <f>'Günlük taslak'!AL29</f>
        <v>3.8600000000000002E-2</v>
      </c>
      <c r="CO11" s="13">
        <f>'Günlük taslak'!AM29</f>
        <v>3.2218470791195206E-2</v>
      </c>
      <c r="CP11" s="22">
        <f>'Günlük taslak'!AN29</f>
        <v>5.4800000000000001E-2</v>
      </c>
      <c r="CQ11" s="13">
        <f>'Günlük taslak'!AO29</f>
        <v>3.2283942502945993E-2</v>
      </c>
      <c r="CR11" s="13">
        <f>'Günlük taslak'!AP29</f>
        <v>3.2326737006068758E-2</v>
      </c>
      <c r="CS11" s="22">
        <f>'Günlük taslak'!AQ29</f>
        <v>3.2199999999999999E-2</v>
      </c>
      <c r="CT11" s="13">
        <f>'Günlük taslak'!AR29</f>
        <v>3.2722562737591776E-2</v>
      </c>
      <c r="CV11" s="14" t="s">
        <v>17</v>
      </c>
      <c r="CW11" s="22">
        <f>'Günlük taslak'!AL69</f>
        <v>3.5700000000000003E-2</v>
      </c>
      <c r="CX11" s="33">
        <f>'Günlük taslak'!AM69</f>
        <v>2.8214166185754581E-2</v>
      </c>
      <c r="CY11" s="22">
        <f>'Günlük taslak'!AN69</f>
        <v>5.4800000000000001E-2</v>
      </c>
      <c r="CZ11" s="33">
        <f>'Günlük taslak'!AO69</f>
        <v>2.8264368931956569E-2</v>
      </c>
      <c r="DA11" s="33">
        <f>'Günlük taslak'!AP69</f>
        <v>2.8297174014351119E-2</v>
      </c>
      <c r="DB11" s="22">
        <f>'Günlük taslak'!AQ69</f>
        <v>2.8199999999999999E-2</v>
      </c>
      <c r="DC11" s="33">
        <f>'Günlük taslak'!AR69</f>
        <v>2.8600263658591585E-2</v>
      </c>
      <c r="DE11" s="14" t="s">
        <v>17</v>
      </c>
      <c r="DF11" s="22">
        <f>'Günlük taslak'!AL105</f>
        <v>3.5700000000000003E-2</v>
      </c>
      <c r="DG11" s="33">
        <f>'Günlük taslak'!AM105</f>
        <v>2.7713668217315055E-2</v>
      </c>
      <c r="DH11" s="22">
        <f>'Günlük taslak'!AN105</f>
        <v>5.4800000000000001E-2</v>
      </c>
      <c r="DI11" s="33">
        <f>'Günlük taslak'!AO105</f>
        <v>2.7762104935491045E-2</v>
      </c>
      <c r="DJ11" s="33">
        <f>'Günlük taslak'!AP105</f>
        <v>2.7793754904522662E-2</v>
      </c>
      <c r="DK11" s="22">
        <f>'Günlük taslak'!AQ105</f>
        <v>2.7699999999999999E-2</v>
      </c>
      <c r="DL11" s="33">
        <f>'Günlük taslak'!AR105</f>
        <v>2.8086131440423268E-2</v>
      </c>
    </row>
    <row r="12" spans="1:116" x14ac:dyDescent="0.35">
      <c r="AB12" s="25"/>
      <c r="AC12" s="23"/>
      <c r="AD12" s="23"/>
      <c r="AE12" s="23"/>
      <c r="AF12" s="23"/>
      <c r="AG12" s="23"/>
      <c r="AH12" s="23"/>
      <c r="AI12" s="23"/>
      <c r="AK12" s="25"/>
      <c r="AL12" s="23"/>
      <c r="AM12" s="23"/>
      <c r="AN12" s="23"/>
      <c r="AO12" s="23"/>
      <c r="AP12" s="23"/>
      <c r="AQ12" s="23"/>
      <c r="AR12" s="23"/>
      <c r="AT12" s="41"/>
      <c r="AU12" s="42"/>
      <c r="AV12" s="42"/>
      <c r="AW12" s="42"/>
      <c r="AX12" s="42"/>
      <c r="AY12" s="42"/>
      <c r="AZ12" s="42"/>
      <c r="BA12" s="42"/>
      <c r="BC12" s="41"/>
      <c r="BD12" s="42"/>
      <c r="BE12" s="42"/>
      <c r="BF12" s="42"/>
      <c r="BG12" s="42"/>
      <c r="BH12" s="42"/>
      <c r="BI12" s="42"/>
      <c r="BJ12" s="42"/>
      <c r="BU12" s="25"/>
      <c r="BV12" s="23"/>
      <c r="BW12" s="23"/>
      <c r="BX12" s="23"/>
      <c r="BY12" s="23"/>
      <c r="BZ12" s="23"/>
      <c r="CA12" s="23"/>
      <c r="CB12" s="23"/>
      <c r="CD12" s="25"/>
      <c r="CE12" s="23"/>
      <c r="CF12" s="23"/>
      <c r="CG12" s="23"/>
      <c r="CH12" s="23"/>
      <c r="CI12" s="23"/>
      <c r="CJ12" s="23"/>
      <c r="CK12" s="23"/>
    </row>
    <row r="13" spans="1:116" x14ac:dyDescent="0.35">
      <c r="A13" s="24">
        <v>46079</v>
      </c>
      <c r="B13" s="16" t="s">
        <v>5</v>
      </c>
      <c r="C13" s="16" t="s">
        <v>6</v>
      </c>
      <c r="D13" s="16" t="s">
        <v>7</v>
      </c>
      <c r="E13" s="16" t="s">
        <v>8</v>
      </c>
      <c r="F13" s="16" t="s">
        <v>9</v>
      </c>
      <c r="G13" s="16" t="s">
        <v>11</v>
      </c>
      <c r="H13" s="16" t="s">
        <v>53</v>
      </c>
      <c r="J13" s="24">
        <v>46083</v>
      </c>
      <c r="K13" s="16" t="s">
        <v>5</v>
      </c>
      <c r="L13" s="16" t="s">
        <v>6</v>
      </c>
      <c r="M13" s="16" t="s">
        <v>7</v>
      </c>
      <c r="N13" s="16" t="s">
        <v>8</v>
      </c>
      <c r="O13" s="16" t="s">
        <v>9</v>
      </c>
      <c r="P13" s="16" t="s">
        <v>11</v>
      </c>
      <c r="Q13" s="16" t="s">
        <v>53</v>
      </c>
      <c r="S13" s="24">
        <v>46087</v>
      </c>
      <c r="T13" s="16" t="s">
        <v>5</v>
      </c>
      <c r="U13" s="16" t="s">
        <v>6</v>
      </c>
      <c r="V13" s="16" t="s">
        <v>7</v>
      </c>
      <c r="W13" s="16" t="s">
        <v>8</v>
      </c>
      <c r="X13" s="16" t="s">
        <v>9</v>
      </c>
      <c r="Y13" s="16" t="s">
        <v>11</v>
      </c>
      <c r="Z13" s="16" t="s">
        <v>53</v>
      </c>
      <c r="AB13" s="24">
        <v>46091</v>
      </c>
      <c r="AC13" s="16" t="s">
        <v>5</v>
      </c>
      <c r="AD13" s="16" t="s">
        <v>6</v>
      </c>
      <c r="AE13" s="16" t="s">
        <v>7</v>
      </c>
      <c r="AF13" s="16" t="s">
        <v>8</v>
      </c>
      <c r="AG13" s="16" t="s">
        <v>9</v>
      </c>
      <c r="AH13" s="16" t="s">
        <v>11</v>
      </c>
      <c r="AI13" s="16" t="s">
        <v>53</v>
      </c>
      <c r="AK13" s="24">
        <v>46095</v>
      </c>
      <c r="AL13" s="16" t="s">
        <v>5</v>
      </c>
      <c r="AM13" s="16" t="s">
        <v>6</v>
      </c>
      <c r="AN13" s="16" t="s">
        <v>7</v>
      </c>
      <c r="AO13" s="16" t="s">
        <v>8</v>
      </c>
      <c r="AP13" s="16" t="s">
        <v>9</v>
      </c>
      <c r="AQ13" s="16" t="s">
        <v>11</v>
      </c>
      <c r="AR13" s="16" t="s">
        <v>53</v>
      </c>
      <c r="AT13" s="39">
        <v>46099</v>
      </c>
      <c r="AU13" s="40" t="s">
        <v>5</v>
      </c>
      <c r="AV13" s="40" t="s">
        <v>6</v>
      </c>
      <c r="AW13" s="40" t="s">
        <v>7</v>
      </c>
      <c r="AX13" s="40" t="s">
        <v>8</v>
      </c>
      <c r="AY13" s="40" t="s">
        <v>9</v>
      </c>
      <c r="AZ13" s="40" t="s">
        <v>11</v>
      </c>
      <c r="BA13" s="40" t="s">
        <v>53</v>
      </c>
      <c r="BC13" s="39">
        <v>46103</v>
      </c>
      <c r="BD13" s="40" t="s">
        <v>5</v>
      </c>
      <c r="BE13" s="40" t="s">
        <v>6</v>
      </c>
      <c r="BF13" s="40" t="s">
        <v>7</v>
      </c>
      <c r="BG13" s="40" t="s">
        <v>8</v>
      </c>
      <c r="BH13" s="40" t="s">
        <v>9</v>
      </c>
      <c r="BI13" s="40" t="s">
        <v>11</v>
      </c>
      <c r="BJ13" s="40" t="s">
        <v>53</v>
      </c>
      <c r="BL13" s="24">
        <v>46108</v>
      </c>
      <c r="BM13" s="16" t="s">
        <v>5</v>
      </c>
      <c r="BN13" s="16" t="s">
        <v>6</v>
      </c>
      <c r="BO13" s="16" t="s">
        <v>7</v>
      </c>
      <c r="BP13" s="16" t="s">
        <v>8</v>
      </c>
      <c r="BQ13" s="16" t="s">
        <v>9</v>
      </c>
      <c r="BR13" s="16" t="s">
        <v>11</v>
      </c>
      <c r="BS13" s="16" t="s">
        <v>53</v>
      </c>
      <c r="BU13" s="24">
        <v>46112</v>
      </c>
      <c r="BV13" s="16" t="s">
        <v>5</v>
      </c>
      <c r="BW13" s="16" t="s">
        <v>6</v>
      </c>
      <c r="BX13" s="16" t="s">
        <v>7</v>
      </c>
      <c r="BY13" s="16" t="s">
        <v>8</v>
      </c>
      <c r="BZ13" s="16" t="s">
        <v>9</v>
      </c>
      <c r="CA13" s="16" t="s">
        <v>11</v>
      </c>
      <c r="CB13" s="16" t="s">
        <v>53</v>
      </c>
      <c r="CD13" s="24">
        <v>46116</v>
      </c>
      <c r="CE13" s="16" t="s">
        <v>5</v>
      </c>
      <c r="CF13" s="16" t="s">
        <v>6</v>
      </c>
      <c r="CG13" s="16" t="s">
        <v>7</v>
      </c>
      <c r="CH13" s="16" t="s">
        <v>8</v>
      </c>
      <c r="CI13" s="16" t="s">
        <v>9</v>
      </c>
      <c r="CJ13" s="16" t="s">
        <v>11</v>
      </c>
      <c r="CK13" s="16" t="s">
        <v>53</v>
      </c>
      <c r="CM13" s="24">
        <v>46120</v>
      </c>
      <c r="CN13" s="16" t="s">
        <v>5</v>
      </c>
      <c r="CO13" s="16" t="s">
        <v>6</v>
      </c>
      <c r="CP13" s="16" t="s">
        <v>7</v>
      </c>
      <c r="CQ13" s="16" t="s">
        <v>8</v>
      </c>
      <c r="CR13" s="16" t="s">
        <v>9</v>
      </c>
      <c r="CS13" s="16" t="s">
        <v>11</v>
      </c>
      <c r="CT13" s="16" t="s">
        <v>53</v>
      </c>
      <c r="CV13" s="24">
        <v>46124</v>
      </c>
      <c r="CW13" s="16" t="s">
        <v>5</v>
      </c>
      <c r="CX13" s="16" t="s">
        <v>6</v>
      </c>
      <c r="CY13" s="16" t="s">
        <v>7</v>
      </c>
      <c r="CZ13" s="16" t="s">
        <v>8</v>
      </c>
      <c r="DA13" s="16" t="s">
        <v>9</v>
      </c>
      <c r="DB13" s="16" t="s">
        <v>11</v>
      </c>
      <c r="DC13" s="16" t="s">
        <v>53</v>
      </c>
      <c r="DE13" s="24">
        <v>46128</v>
      </c>
      <c r="DF13" s="16" t="s">
        <v>5</v>
      </c>
      <c r="DG13" s="16" t="s">
        <v>6</v>
      </c>
      <c r="DH13" s="16" t="s">
        <v>7</v>
      </c>
      <c r="DI13" s="16" t="s">
        <v>8</v>
      </c>
      <c r="DJ13" s="16" t="s">
        <v>9</v>
      </c>
      <c r="DK13" s="16" t="s">
        <v>11</v>
      </c>
      <c r="DL13" s="16" t="s">
        <v>53</v>
      </c>
    </row>
    <row r="14" spans="1:116" x14ac:dyDescent="0.35">
      <c r="A14" s="14" t="s">
        <v>12</v>
      </c>
      <c r="B14" s="33">
        <f>'Günlük taslak'!B23</f>
        <v>3.190836513622318E-2</v>
      </c>
      <c r="C14" s="33">
        <f>'Günlük taslak'!C23</f>
        <v>3.1918128158627587E-2</v>
      </c>
      <c r="D14" s="33">
        <f>'Günlük taslak'!D23</f>
        <v>3.1940458597677648E-2</v>
      </c>
      <c r="E14" s="33">
        <f>'Günlük taslak'!E23</f>
        <v>3.1982384333107128E-2</v>
      </c>
      <c r="F14" s="33">
        <f>'Günlük taslak'!F23</f>
        <v>3.2024383445370022E-2</v>
      </c>
      <c r="G14" s="15">
        <v>3.1899999999999998E-2</v>
      </c>
      <c r="H14" s="33">
        <f>'Günlük taslak'!H24</f>
        <v>3.2412819630518896E-2</v>
      </c>
      <c r="J14" s="14" t="s">
        <v>12</v>
      </c>
      <c r="K14" s="33">
        <f>'Günlük taslak'!B65</f>
        <v>3.1308053397499487E-2</v>
      </c>
      <c r="L14" s="33">
        <f>'Günlük taslak'!C65</f>
        <v>3.1317452520042227E-2</v>
      </c>
      <c r="M14" s="33">
        <f>'Günlük taslak'!D65</f>
        <v>3.13389503593711E-2</v>
      </c>
      <c r="N14" s="33">
        <f>'Günlük taslak'!E65</f>
        <v>3.137931185839702E-2</v>
      </c>
      <c r="O14" s="33">
        <f>'Günlük taslak'!F65</f>
        <v>3.1419742666299495E-2</v>
      </c>
      <c r="P14" s="15">
        <v>3.1300000000000001E-2</v>
      </c>
      <c r="Q14" s="33">
        <f>'Günlük taslak'!H66</f>
        <v>3.1793611327958216E-2</v>
      </c>
      <c r="S14" s="14" t="s">
        <v>12</v>
      </c>
      <c r="T14" s="33">
        <f>'Günlük taslak'!K3</f>
        <v>3.2308576251097731E-2</v>
      </c>
      <c r="U14" s="33">
        <f>'Günlük taslak'!L3</f>
        <v>3.2318585715067308E-2</v>
      </c>
      <c r="V14" s="33">
        <f>'Günlük taslak'!M3</f>
        <v>3.2341480019105272E-2</v>
      </c>
      <c r="W14" s="33">
        <f>'Günlük taslak'!N3</f>
        <v>3.2384465142249297E-2</v>
      </c>
      <c r="X14" s="33">
        <f>'Günlük taslak'!O3</f>
        <v>3.2427526440872788E-2</v>
      </c>
      <c r="Y14" s="22">
        <v>3.2300000000000002E-2</v>
      </c>
      <c r="Z14" s="33">
        <f>'Günlük taslak'!Q4</f>
        <v>3.2825831032744723E-2</v>
      </c>
      <c r="AB14" s="14" t="s">
        <v>12</v>
      </c>
      <c r="AC14" s="33">
        <f>'Günlük taslak'!K43</f>
        <v>3.0207497253032907E-2</v>
      </c>
      <c r="AD14" s="33">
        <f>'Günlük taslak'!L43</f>
        <v>3.0216247184851448E-2</v>
      </c>
      <c r="AE14" s="33">
        <f>'Günlük taslak'!M43</f>
        <v>3.0236259721194925E-2</v>
      </c>
      <c r="AF14" s="33">
        <f>'Günlük taslak'!N43</f>
        <v>3.0273830874697632E-2</v>
      </c>
      <c r="AG14" s="33">
        <f>'Günlük taslak'!O43</f>
        <v>3.0311464275388368E-2</v>
      </c>
      <c r="AH14" s="22">
        <v>3.0200000000000001E-2</v>
      </c>
      <c r="AI14" s="33">
        <f>'Günlük taslak'!Q44</f>
        <v>3.0659357866290149E-2</v>
      </c>
      <c r="AK14" s="14" t="s">
        <v>12</v>
      </c>
      <c r="AL14" s="33">
        <f>'Günlük taslak'!K87</f>
        <v>2.9907349030706052E-2</v>
      </c>
      <c r="AM14" s="33">
        <f>'Günlük taslak'!L87</f>
        <v>2.9915925943969159E-2</v>
      </c>
      <c r="AN14" s="33">
        <f>'Günlük taslak'!M87</f>
        <v>2.9935542634702439E-2</v>
      </c>
      <c r="AO14" s="33">
        <f>'Günlük taslak'!N87</f>
        <v>2.9972370170845902E-2</v>
      </c>
      <c r="AP14" s="33">
        <f>'Günlük taslak'!O87</f>
        <v>3.0009258115333635E-2</v>
      </c>
      <c r="AQ14" s="10" t="s">
        <v>48</v>
      </c>
      <c r="AR14" s="33">
        <f>'Günlük taslak'!Q88</f>
        <v>3.0350231880070799E-2</v>
      </c>
      <c r="AT14" s="21" t="s">
        <v>12</v>
      </c>
      <c r="AU14" s="33">
        <f>'Günlük taslak'!T23</f>
        <v>3.2308576251097731E-2</v>
      </c>
      <c r="AV14" s="33">
        <f>'Günlük taslak'!U23</f>
        <v>3.2318585715067308E-2</v>
      </c>
      <c r="AW14" s="33">
        <f>'Günlük taslak'!V23</f>
        <v>3.2341480019105272E-2</v>
      </c>
      <c r="AX14" s="33">
        <f>'Günlük taslak'!W23</f>
        <v>3.2384465142249297E-2</v>
      </c>
      <c r="AY14" s="33">
        <f>'Günlük taslak'!X23</f>
        <v>3.2427526440872788E-2</v>
      </c>
      <c r="AZ14" s="20">
        <f>'Günlük taslak'!Y24</f>
        <v>3.2300000000000002E-2</v>
      </c>
      <c r="BA14" s="33">
        <f>'Günlük taslak'!Z24</f>
        <v>3.2825831032744723E-2</v>
      </c>
      <c r="BC14" s="21" t="s">
        <v>12</v>
      </c>
      <c r="BD14" s="33">
        <f>'Günlük taslak'!T66</f>
        <v>2.8306583508236022E-2</v>
      </c>
      <c r="BE14" s="33">
        <f>'Günlük taslak'!U66</f>
        <v>2.8314266848908365E-2</v>
      </c>
      <c r="BF14" s="33">
        <f>'Günlük taslak'!V66</f>
        <v>2.8331839214008798E-2</v>
      </c>
      <c r="BG14" s="33">
        <f>'Günlük taslak'!W66</f>
        <v>2.8364826602223003E-2</v>
      </c>
      <c r="BH14" s="33">
        <f>'Günlük taslak'!X66</f>
        <v>2.8397865201035391E-2</v>
      </c>
      <c r="BI14" s="20">
        <f>'Günlük taslak'!Y66</f>
        <v>2.8299999999999999E-2</v>
      </c>
      <c r="BJ14" s="33">
        <f>'Günlük taslak'!Z66</f>
        <v>2.8703120866840903E-2</v>
      </c>
      <c r="BL14" s="14" t="s">
        <v>12</v>
      </c>
      <c r="BM14" s="33">
        <f>'Günlük taslak'!AC14</f>
        <v>2.9907349030706052E-2</v>
      </c>
      <c r="BN14" s="33">
        <f>'Günlük taslak'!AD14</f>
        <v>2.9915925943969159E-2</v>
      </c>
      <c r="BO14" s="33">
        <f>'Günlük taslak'!AE14</f>
        <v>2.9935542634702439E-2</v>
      </c>
      <c r="BP14" s="33">
        <f>'Günlük taslak'!AF14</f>
        <v>2.9972370170845902E-2</v>
      </c>
      <c r="BQ14" s="33">
        <f>'Günlük taslak'!AG14</f>
        <v>3.0009258115333635E-2</v>
      </c>
      <c r="BR14" s="22">
        <f>'Günlük taslak'!AH14</f>
        <v>2.9899999999999999E-2</v>
      </c>
      <c r="BS14" s="33">
        <f>'Günlük taslak'!AI14</f>
        <v>3.0350231880070799E-2</v>
      </c>
      <c r="BU14" s="14" t="s">
        <v>12</v>
      </c>
      <c r="BV14" s="33">
        <f>'Günlük taslak'!AC56</f>
        <v>3.0507646955369054E-2</v>
      </c>
      <c r="BW14" s="33">
        <f>'Günlük taslak'!AD56</f>
        <v>3.0516571634355998E-2</v>
      </c>
      <c r="BX14" s="33">
        <f>'Günlük taslak'!AE56</f>
        <v>3.0536983974912595E-2</v>
      </c>
      <c r="BY14" s="33">
        <f>'Günlük taslak'!AF56</f>
        <v>3.0575306196430729E-2</v>
      </c>
      <c r="BZ14" s="33">
        <f>'Günlük taslak'!AG56</f>
        <v>3.0613692540966575E-2</v>
      </c>
      <c r="CA14" s="22">
        <f>'Günlük taslak'!AH56</f>
        <v>3.0499999999999999E-2</v>
      </c>
      <c r="CB14" s="33">
        <f>'Günlük taslak'!AI56</f>
        <v>3.0968576342366605E-2</v>
      </c>
      <c r="CD14" s="14" t="s">
        <v>12</v>
      </c>
      <c r="CE14" s="33">
        <f>'Günlük taslak'!AC99</f>
        <v>3.1007899748336825E-2</v>
      </c>
      <c r="CF14" s="33">
        <f>'Günlük taslak'!AD99</f>
        <v>3.1017119513989746E-2</v>
      </c>
      <c r="CG14" s="33">
        <f>'Günlük taslak'!AE99</f>
        <v>3.103820699217404E-2</v>
      </c>
      <c r="CH14" s="33">
        <f>'Günlük taslak'!AF99</f>
        <v>3.1077797552172309E-2</v>
      </c>
      <c r="CI14" s="33">
        <f>'Günlük taslak'!AG99</f>
        <v>3.1117455444773193E-2</v>
      </c>
      <c r="CJ14" s="22">
        <f>'Günlük taslak'!AH99</f>
        <v>3.1E-2</v>
      </c>
      <c r="CK14" s="33">
        <f>'Günlük taslak'!AI99</f>
        <v>3.1484146077251696E-2</v>
      </c>
      <c r="CM14" s="14" t="s">
        <v>12</v>
      </c>
      <c r="CN14" s="33">
        <f>'Günlük taslak'!AL34</f>
        <v>3.3609280547048134E-2</v>
      </c>
      <c r="CO14" s="33">
        <f>'Günlük taslak'!AM34</f>
        <v>3.3620112171935869E-2</v>
      </c>
      <c r="CP14" s="33">
        <f>'Günlük taslak'!AN34</f>
        <v>3.3644887653183776E-2</v>
      </c>
      <c r="CQ14" s="33">
        <f>'Günlük taslak'!AO34</f>
        <v>3.3691407316138212E-2</v>
      </c>
      <c r="CR14" s="33">
        <f>'Günlük taslak'!AP34</f>
        <v>3.3738012740671279E-2</v>
      </c>
      <c r="CS14" s="22">
        <f>'Günlük taslak'!AQ34</f>
        <v>3.3599999999999998E-2</v>
      </c>
      <c r="CT14" s="33">
        <f>'Günlük taslak'!AR34</f>
        <v>3.4169256374043444E-2</v>
      </c>
      <c r="CV14" s="14" t="s">
        <v>12</v>
      </c>
      <c r="CW14" s="33">
        <f>'Günlük taslak'!AL73</f>
        <v>2.650577261626081E-2</v>
      </c>
      <c r="CX14" s="33">
        <f>'Günlük taslak'!AM73</f>
        <v>2.6512509454446293E-2</v>
      </c>
      <c r="CY14" s="33">
        <f>'Günlük taslak'!AN73</f>
        <v>2.6527916516109307E-2</v>
      </c>
      <c r="CZ14" s="33">
        <f>'Günlük taslak'!AO73</f>
        <v>2.6556836941645196E-2</v>
      </c>
      <c r="DA14" s="33">
        <f>'Günlük taslak'!AP73</f>
        <v>2.6585799405461893E-2</v>
      </c>
      <c r="DB14" s="22">
        <f>'Günlük taslak'!AQ73</f>
        <v>2.6499999999999999E-2</v>
      </c>
      <c r="DC14" s="33">
        <f>'Günlük taslak'!AR73</f>
        <v>2.6853259490220882E-2</v>
      </c>
      <c r="DE14" s="14" t="s">
        <v>12</v>
      </c>
      <c r="DF14" s="33">
        <f>'Günlük taslak'!AU64</f>
        <v>2.7406171402247135E-2</v>
      </c>
      <c r="DG14" s="33">
        <f>'Günlük taslak'!AV64</f>
        <v>2.7413373714052343E-2</v>
      </c>
      <c r="DH14" s="33">
        <f>'Günlük taslak'!AW64</f>
        <v>2.7429845619310389E-2</v>
      </c>
      <c r="DI14" s="33">
        <f>'Günlük taslak'!AX64</f>
        <v>2.7460766020571663E-2</v>
      </c>
      <c r="DJ14" s="33">
        <f>'Günlük taslak'!AY64</f>
        <v>2.7491732895357952E-2</v>
      </c>
      <c r="DK14" s="22">
        <f>'Günlük taslak'!AZ64</f>
        <v>2.7400000000000001E-2</v>
      </c>
      <c r="DL14" s="33">
        <f>'Günlük taslak'!BA64</f>
        <v>2.7777775131269555E-2</v>
      </c>
    </row>
    <row r="15" spans="1:116" x14ac:dyDescent="0.35">
      <c r="A15" s="14" t="s">
        <v>54</v>
      </c>
      <c r="B15" s="15">
        <v>3.3000000000000002E-2</v>
      </c>
      <c r="C15" s="15">
        <v>3.4000000000000002E-2</v>
      </c>
      <c r="D15" s="15">
        <v>4.2999999999999997E-2</v>
      </c>
      <c r="E15" s="15">
        <v>0.05</v>
      </c>
      <c r="F15" s="15">
        <v>5.8500000000000003E-2</v>
      </c>
      <c r="G15" s="15">
        <v>3.5000000000000003E-2</v>
      </c>
      <c r="H15" s="33">
        <f>'Günlük taslak'!H26</f>
        <v>3.5617971057199993E-2</v>
      </c>
      <c r="J15" s="14" t="s">
        <v>54</v>
      </c>
      <c r="K15" s="15">
        <v>3.3000000000000002E-2</v>
      </c>
      <c r="L15" s="15">
        <v>3.3000000000000002E-2</v>
      </c>
      <c r="M15" s="15">
        <v>4.2999999999999997E-2</v>
      </c>
      <c r="N15" s="15" t="s">
        <v>1</v>
      </c>
      <c r="O15" s="15">
        <v>5.4899999999999997E-2</v>
      </c>
      <c r="P15" s="15">
        <v>3.4700000000000002E-2</v>
      </c>
      <c r="Q15" s="33">
        <f>'Günlük taslak'!H67</f>
        <v>3.5307361916328883E-2</v>
      </c>
      <c r="S15" s="14" t="s">
        <v>54</v>
      </c>
      <c r="T15" s="22">
        <v>3.9E-2</v>
      </c>
      <c r="U15" s="22">
        <v>3.4500000000000003E-2</v>
      </c>
      <c r="V15" s="22">
        <v>0.04</v>
      </c>
      <c r="W15" s="22">
        <v>5.7200000000000001E-2</v>
      </c>
      <c r="X15" s="22">
        <v>5.79E-2</v>
      </c>
      <c r="Y15" s="22">
        <v>3.56E-2</v>
      </c>
      <c r="Z15" s="33">
        <f>'Günlük taslak'!Q5</f>
        <v>3.623946816391288E-2</v>
      </c>
      <c r="AB15" s="14" t="s">
        <v>54</v>
      </c>
      <c r="AC15" s="22">
        <v>3.2000000000000001E-2</v>
      </c>
      <c r="AD15" s="22">
        <v>3.5000000000000003E-2</v>
      </c>
      <c r="AE15" s="22">
        <v>3.7999999999999999E-2</v>
      </c>
      <c r="AF15" s="22">
        <v>0.05</v>
      </c>
      <c r="AG15" s="22">
        <v>5.8500000000000003E-2</v>
      </c>
      <c r="AH15" s="22">
        <v>3.4099999999999998E-2</v>
      </c>
      <c r="AI15" s="33">
        <f>'Günlük taslak'!Q46</f>
        <v>3.4686422321102972E-2</v>
      </c>
      <c r="AK15" s="14" t="s">
        <v>54</v>
      </c>
      <c r="AL15" s="10" t="s">
        <v>29</v>
      </c>
      <c r="AM15" s="10" t="s">
        <v>4</v>
      </c>
      <c r="AN15" s="10" t="s">
        <v>2</v>
      </c>
      <c r="AO15" s="10" t="s">
        <v>49</v>
      </c>
      <c r="AP15" s="10" t="s">
        <v>45</v>
      </c>
      <c r="AQ15" s="10" t="s">
        <v>22</v>
      </c>
      <c r="AR15" s="33">
        <f>'Günlük taslak'!Q90</f>
        <v>3.4582968502674616E-2</v>
      </c>
      <c r="AT15" s="21" t="s">
        <v>54</v>
      </c>
      <c r="AU15" s="20">
        <f>'Günlük taslak'!T26</f>
        <v>3.5000000000000003E-2</v>
      </c>
      <c r="AV15" s="20">
        <f>'Günlük taslak'!U26</f>
        <v>4.2000000000000003E-2</v>
      </c>
      <c r="AW15" s="20">
        <f>'Günlük taslak'!V26</f>
        <v>0.04</v>
      </c>
      <c r="AX15" s="20">
        <f>'Günlük taslak'!W26</f>
        <v>4.2000000000000003E-2</v>
      </c>
      <c r="AY15" s="20">
        <f>'Günlük taslak'!X26</f>
        <v>5.0500000000000003E-2</v>
      </c>
      <c r="AZ15" s="20">
        <f>'Günlük taslak'!Y26</f>
        <v>3.5700000000000003E-2</v>
      </c>
      <c r="BA15" s="33">
        <f>'Günlük taslak'!Z26</f>
        <v>3.6343087170924049E-2</v>
      </c>
      <c r="BC15" s="14" t="s">
        <v>54</v>
      </c>
      <c r="BD15" s="22">
        <f>'Günlük taslak'!T67</f>
        <v>3.1E-2</v>
      </c>
      <c r="BE15" s="22">
        <f>'Günlük taslak'!U67</f>
        <v>3.9399999999999998E-2</v>
      </c>
      <c r="BF15" s="22">
        <f>'Günlük taslak'!V67</f>
        <v>3.49E-2</v>
      </c>
      <c r="BG15" s="22">
        <f>'Günlük taslak'!W67</f>
        <v>4.3999999999999997E-2</v>
      </c>
      <c r="BH15" s="22">
        <f>'Günlük taslak'!X67</f>
        <v>0.05</v>
      </c>
      <c r="BI15" s="22">
        <f>'Günlük taslak'!Y67</f>
        <v>3.3300000000000003E-2</v>
      </c>
      <c r="BJ15" s="33">
        <f>'Günlük taslak'!Z67</f>
        <v>3.3859080551566834E-2</v>
      </c>
      <c r="BL15" s="14" t="s">
        <v>54</v>
      </c>
      <c r="BM15" s="22">
        <f>'Günlük taslak'!AC16</f>
        <v>0.03</v>
      </c>
      <c r="BN15" s="22">
        <f>'Günlük taslak'!AD16</f>
        <v>3.3000000000000002E-2</v>
      </c>
      <c r="BO15" s="22">
        <f>'Günlük taslak'!AE16</f>
        <v>3.49E-2</v>
      </c>
      <c r="BP15" s="22">
        <f>'Günlük taslak'!AF16</f>
        <v>4.3999999999999997E-2</v>
      </c>
      <c r="BQ15" s="22">
        <f>'Günlük taslak'!AG16</f>
        <v>5.6500000000000002E-2</v>
      </c>
      <c r="BR15" s="22">
        <f>'Günlük taslak'!AH16</f>
        <v>3.3799999999999997E-2</v>
      </c>
      <c r="BS15" s="33">
        <f>'Günlük taslak'!AI16</f>
        <v>3.4376091811363807E-2</v>
      </c>
      <c r="BU15" s="14" t="s">
        <v>54</v>
      </c>
      <c r="BV15" s="22">
        <f>'Günlük taslak'!AC57</f>
        <v>2.53E-2</v>
      </c>
      <c r="BW15" s="22">
        <f>'Günlük taslak'!AD57</f>
        <v>3.2000000000000001E-2</v>
      </c>
      <c r="BX15" s="22">
        <f>'Günlük taslak'!AE57</f>
        <v>0.04</v>
      </c>
      <c r="BY15" s="22">
        <f>'Günlük taslak'!AF57</f>
        <v>3.15E-2</v>
      </c>
      <c r="BZ15" s="22">
        <f>'Günlük taslak'!AG57</f>
        <v>6.4899999999999999E-2</v>
      </c>
      <c r="CA15" s="22">
        <f>'Günlük taslak'!AH57</f>
        <v>3.4099999999999998E-2</v>
      </c>
      <c r="CB15" s="33">
        <f>'Günlük taslak'!AI57</f>
        <v>3.4686422321102972E-2</v>
      </c>
      <c r="CD15" s="14" t="s">
        <v>54</v>
      </c>
      <c r="CE15" s="22">
        <f>'Günlük taslak'!AC100</f>
        <v>3.1E-2</v>
      </c>
      <c r="CF15" s="22">
        <f>'Günlük taslak'!AD100</f>
        <v>0.03</v>
      </c>
      <c r="CG15" s="22">
        <f>'Günlük taslak'!AE100</f>
        <v>4.3999999999999997E-2</v>
      </c>
      <c r="CH15" s="22">
        <f>'Günlük taslak'!AF100</f>
        <v>5.7000000000000002E-2</v>
      </c>
      <c r="CI15" s="22">
        <f>'Günlük taslak'!AG100</f>
        <v>5.9700000000000003E-2</v>
      </c>
      <c r="CJ15" s="22">
        <f>'Günlük taslak'!AH100</f>
        <v>3.4200000000000001E-2</v>
      </c>
      <c r="CK15" s="33">
        <f>'Günlük taslak'!AI100</f>
        <v>3.4789886456186414E-2</v>
      </c>
      <c r="CM15" s="14" t="s">
        <v>54</v>
      </c>
      <c r="CN15" s="22">
        <f>'Günlük taslak'!AL35</f>
        <v>3.39E-2</v>
      </c>
      <c r="CO15" s="22">
        <f>'Günlük taslak'!AM35</f>
        <v>3.49E-2</v>
      </c>
      <c r="CP15" s="22">
        <f>'Günlük taslak'!AN35</f>
        <v>4.3900000000000002E-2</v>
      </c>
      <c r="CQ15" s="22">
        <f>'Günlük taslak'!AO35</f>
        <v>4.3999999999999997E-2</v>
      </c>
      <c r="CR15" s="22">
        <f>'Günlük taslak'!AP35</f>
        <v>6.5000000000000002E-2</v>
      </c>
      <c r="CS15" s="22">
        <f>'Günlük taslak'!AQ35</f>
        <v>3.6799999999999999E-2</v>
      </c>
      <c r="CT15" s="33">
        <f>'Günlük taslak'!AR35</f>
        <v>3.7483578454069244E-2</v>
      </c>
      <c r="CV15" s="14" t="s">
        <v>54</v>
      </c>
      <c r="CW15" s="22">
        <f>'Günlük taslak'!AL74</f>
        <v>2.9899999999999999E-2</v>
      </c>
      <c r="CX15" s="22">
        <f>'Günlük taslak'!AM74</f>
        <v>3.44E-2</v>
      </c>
      <c r="CY15" s="22">
        <f>'Günlük taslak'!AN74</f>
        <v>3.49E-2</v>
      </c>
      <c r="CZ15" s="22">
        <f>'Günlük taslak'!AO74</f>
        <v>4.3900000000000002E-2</v>
      </c>
      <c r="DA15" s="22">
        <f>'Günlük taslak'!AP74</f>
        <v>0.05</v>
      </c>
      <c r="DB15" s="22">
        <f>'Günlük taslak'!AQ74</f>
        <v>3.2899999999999999E-2</v>
      </c>
      <c r="DC15" s="33">
        <f>'Günlük taslak'!AR74</f>
        <v>3.3445657100777071E-2</v>
      </c>
      <c r="DE15" s="14" t="s">
        <v>54</v>
      </c>
      <c r="DF15" s="22">
        <f>'Günlük taslak'!AU65</f>
        <v>0.03</v>
      </c>
      <c r="DG15" s="22">
        <f>'Günlük taslak'!AV65</f>
        <v>3.2000000000000001E-2</v>
      </c>
      <c r="DH15" s="22">
        <f>'Günlük taslak'!AW65</f>
        <v>4.2900000000000001E-2</v>
      </c>
      <c r="DI15" s="22">
        <f>'Günlük taslak'!AX65</f>
        <v>4.3499999999999997E-2</v>
      </c>
      <c r="DJ15" s="22">
        <f>'Günlük taslak'!AY65</f>
        <v>6.4899999999999999E-2</v>
      </c>
      <c r="DK15" s="22">
        <f>'Günlük taslak'!AZ65</f>
        <v>3.2899999999999999E-2</v>
      </c>
      <c r="DL15" s="33">
        <f>'Günlük taslak'!BA65</f>
        <v>3.3445657100777071E-2</v>
      </c>
    </row>
    <row r="16" spans="1:116" x14ac:dyDescent="0.35">
      <c r="A16" s="14" t="s">
        <v>15</v>
      </c>
      <c r="B16" s="33">
        <f>'Günlük taslak'!B27</f>
        <v>2.5005137572765568E-2</v>
      </c>
      <c r="C16" s="33">
        <f>'Günlük taslak'!C27</f>
        <v>2.5011133186924366E-2</v>
      </c>
      <c r="D16" s="33">
        <f>'Günlük taslak'!D27</f>
        <v>2.5024844646748073E-2</v>
      </c>
      <c r="E16" s="33">
        <f>'Günlük taslak'!E27</f>
        <v>2.5050580654265259E-2</v>
      </c>
      <c r="F16" s="33">
        <f>'Günlük taslak'!F27</f>
        <v>2.5076351951623117E-2</v>
      </c>
      <c r="G16" s="15">
        <v>2.5000000000000001E-2</v>
      </c>
      <c r="H16" s="33">
        <f>'Günlük taslak'!H28</f>
        <v>2.5314242726610869E-2</v>
      </c>
      <c r="J16" s="14" t="s">
        <v>15</v>
      </c>
      <c r="K16" s="33">
        <f>'Günlük taslak'!B69</f>
        <v>2.5005137572765568E-2</v>
      </c>
      <c r="L16" s="33">
        <f>'Günlük taslak'!C69</f>
        <v>2.501113318692437E-2</v>
      </c>
      <c r="M16" s="33">
        <f>'Günlük taslak'!D69</f>
        <v>2.5024844646748069E-2</v>
      </c>
      <c r="N16" s="33">
        <f>'Günlük taslak'!E69</f>
        <v>2.5050580654265259E-2</v>
      </c>
      <c r="O16" s="33">
        <f>'Günlük taslak'!F69</f>
        <v>2.5076351951623114E-2</v>
      </c>
      <c r="P16" s="22">
        <v>2.5000000000000001E-2</v>
      </c>
      <c r="Q16" s="33">
        <f>'Günlük taslak'!H70</f>
        <v>2.5314242726610869E-2</v>
      </c>
      <c r="S16" s="14" t="s">
        <v>15</v>
      </c>
      <c r="T16" s="33">
        <f>'Günlük taslak'!K7</f>
        <v>2.5005137572765568E-2</v>
      </c>
      <c r="U16" s="33">
        <f>'Günlük taslak'!L7</f>
        <v>2.5011133186924366E-2</v>
      </c>
      <c r="V16" s="33">
        <f>'Günlük taslak'!M7</f>
        <v>2.5024844646748073E-2</v>
      </c>
      <c r="W16" s="33">
        <f>'Günlük taslak'!N7</f>
        <v>2.5050580654265259E-2</v>
      </c>
      <c r="X16" s="33">
        <f>'Günlük taslak'!O7</f>
        <v>2.5076351951623117E-2</v>
      </c>
      <c r="Y16" s="22">
        <v>2.5000000000000001E-2</v>
      </c>
      <c r="Z16" s="33">
        <f>'Günlük taslak'!Q8</f>
        <v>2.5314242726610869E-2</v>
      </c>
      <c r="AB16" s="14" t="s">
        <v>15</v>
      </c>
      <c r="AC16" s="33">
        <f>'Günlük taslak'!K48</f>
        <v>2.5005137572765568E-2</v>
      </c>
      <c r="AD16" s="33">
        <f>'Günlük taslak'!L48</f>
        <v>2.5011133186924366E-2</v>
      </c>
      <c r="AE16" s="33">
        <f>'Günlük taslak'!M48</f>
        <v>2.5024844646748073E-2</v>
      </c>
      <c r="AF16" s="33">
        <f>'Günlük taslak'!N48</f>
        <v>2.5050580654265259E-2</v>
      </c>
      <c r="AG16" s="33">
        <f>'Günlük taslak'!O48</f>
        <v>2.5076351951623117E-2</v>
      </c>
      <c r="AH16" s="22">
        <v>2.5000000000000001E-2</v>
      </c>
      <c r="AI16" s="33">
        <f>'Günlük taslak'!Q49</f>
        <v>2.5314242726610869E-2</v>
      </c>
      <c r="AK16" s="14" t="s">
        <v>15</v>
      </c>
      <c r="AL16" s="33">
        <f>'Günlük taslak'!K92</f>
        <v>2.5005137572765568E-2</v>
      </c>
      <c r="AM16" s="33">
        <f>'Günlük taslak'!L92</f>
        <v>2.5011133186924366E-2</v>
      </c>
      <c r="AN16" s="33">
        <f>'Günlük taslak'!M92</f>
        <v>2.5024844646748073E-2</v>
      </c>
      <c r="AO16" s="33">
        <f>'Günlük taslak'!N92</f>
        <v>2.5050580654265259E-2</v>
      </c>
      <c r="AP16" s="33">
        <f>'Günlük taslak'!O92</f>
        <v>2.5076351951623117E-2</v>
      </c>
      <c r="AQ16" s="10" t="s">
        <v>30</v>
      </c>
      <c r="AR16" s="33">
        <f>'Günlük taslak'!Q93</f>
        <v>2.5314242726610869E-2</v>
      </c>
      <c r="AT16" s="21" t="s">
        <v>15</v>
      </c>
      <c r="AU16" s="33">
        <f>'Günlük taslak'!T27</f>
        <v>2.5005137572765568E-2</v>
      </c>
      <c r="AV16" s="33">
        <f>'Günlük taslak'!U27</f>
        <v>2.5011133186924366E-2</v>
      </c>
      <c r="AW16" s="33">
        <f>'Günlük taslak'!V27</f>
        <v>2.5024844646748073E-2</v>
      </c>
      <c r="AX16" s="33">
        <f>'Günlük taslak'!W27</f>
        <v>2.5050580654265259E-2</v>
      </c>
      <c r="AY16" s="33">
        <f>'Günlük taslak'!X27</f>
        <v>2.5076351951623117E-2</v>
      </c>
      <c r="AZ16" s="20">
        <f>'Günlük taslak'!Y28</f>
        <v>2.5000000000000001E-2</v>
      </c>
      <c r="BA16" s="33">
        <f>'Günlük taslak'!Z28</f>
        <v>2.5314242726610869E-2</v>
      </c>
      <c r="BC16" s="14" t="s">
        <v>15</v>
      </c>
      <c r="BD16" s="33">
        <f>'Günlük taslak'!T70</f>
        <v>2.5005137572765568E-2</v>
      </c>
      <c r="BE16" s="33">
        <f>'Günlük taslak'!U70</f>
        <v>2.5011133186924366E-2</v>
      </c>
      <c r="BF16" s="33">
        <f>'Günlük taslak'!V70</f>
        <v>2.5024844646748073E-2</v>
      </c>
      <c r="BG16" s="33">
        <f>'Günlük taslak'!W70</f>
        <v>2.5050580654265259E-2</v>
      </c>
      <c r="BH16" s="33">
        <f>'Günlük taslak'!X70</f>
        <v>2.5076351951623117E-2</v>
      </c>
      <c r="BI16" s="22">
        <f>'Günlük taslak'!Y70</f>
        <v>2.5000000000000001E-2</v>
      </c>
      <c r="BJ16" s="33">
        <f>'Günlük taslak'!Z70</f>
        <v>2.5314242726610869E-2</v>
      </c>
      <c r="BL16" s="14" t="s">
        <v>15</v>
      </c>
      <c r="BM16" s="33">
        <f>'Günlük taslak'!AC18</f>
        <v>2.5005137572765568E-2</v>
      </c>
      <c r="BN16" s="33">
        <f>'Günlük taslak'!AD18</f>
        <v>2.5011133186924366E-2</v>
      </c>
      <c r="BO16" s="33">
        <f>'Günlük taslak'!AE18</f>
        <v>2.5024844646748073E-2</v>
      </c>
      <c r="BP16" s="33">
        <f>'Günlük taslak'!AF18</f>
        <v>2.5050580654265259E-2</v>
      </c>
      <c r="BQ16" s="33">
        <f>'Günlük taslak'!AG18</f>
        <v>2.5076351951623117E-2</v>
      </c>
      <c r="BR16" s="22">
        <f>'Günlük taslak'!AH18</f>
        <v>2.5000000000000001E-2</v>
      </c>
      <c r="BS16" s="33">
        <f>'Günlük taslak'!AI18</f>
        <v>2.5314242726610869E-2</v>
      </c>
      <c r="BU16" s="14" t="s">
        <v>15</v>
      </c>
      <c r="BV16" s="33">
        <f>'Günlük taslak'!AC60</f>
        <v>2.5005137572765568E-2</v>
      </c>
      <c r="BW16" s="33">
        <f>'Günlük taslak'!AD60</f>
        <v>2.5011133186924366E-2</v>
      </c>
      <c r="BX16" s="33">
        <f>'Günlük taslak'!AE60</f>
        <v>2.5024844646748073E-2</v>
      </c>
      <c r="BY16" s="33">
        <f>'Günlük taslak'!AF60</f>
        <v>2.5050580654265259E-2</v>
      </c>
      <c r="BZ16" s="33">
        <f>'Günlük taslak'!AG60</f>
        <v>2.5076351951623117E-2</v>
      </c>
      <c r="CA16" s="22">
        <f>'Günlük taslak'!AH60</f>
        <v>2.5000000000000001E-2</v>
      </c>
      <c r="CB16" s="33">
        <f>'Günlük taslak'!AI60</f>
        <v>2.5314242726610869E-2</v>
      </c>
      <c r="CD16" s="14" t="s">
        <v>15</v>
      </c>
      <c r="CE16" s="33">
        <f>'Günlük taslak'!AC102</f>
        <v>2.5005137572765568E-2</v>
      </c>
      <c r="CF16" s="33">
        <f>'Günlük taslak'!AD102</f>
        <v>2.5011133186924366E-2</v>
      </c>
      <c r="CG16" s="33">
        <f>'Günlük taslak'!AE102</f>
        <v>2.5024844646748073E-2</v>
      </c>
      <c r="CH16" s="33">
        <f>'Günlük taslak'!AF102</f>
        <v>2.5050580654265259E-2</v>
      </c>
      <c r="CI16" s="33">
        <f>'Günlük taslak'!AG102</f>
        <v>2.5076351951623117E-2</v>
      </c>
      <c r="CJ16" s="22">
        <f>'Günlük taslak'!AH102</f>
        <v>2.5000000000000001E-2</v>
      </c>
      <c r="CK16" s="33">
        <f>'Günlük taslak'!AI102</f>
        <v>2.5314242726610869E-2</v>
      </c>
      <c r="CM16" s="14" t="s">
        <v>15</v>
      </c>
      <c r="CN16" s="33">
        <f>'Günlük taslak'!AL37</f>
        <v>2.5005137572765568E-2</v>
      </c>
      <c r="CO16" s="33">
        <f>'Günlük taslak'!AM37</f>
        <v>2.5011133186924366E-2</v>
      </c>
      <c r="CP16" s="33">
        <f>'Günlük taslak'!AN37</f>
        <v>2.5024844646748073E-2</v>
      </c>
      <c r="CQ16" s="33">
        <f>'Günlük taslak'!AO37</f>
        <v>2.5050580654265259E-2</v>
      </c>
      <c r="CR16" s="33">
        <f>'Günlük taslak'!AP37</f>
        <v>2.5076351951623117E-2</v>
      </c>
      <c r="CS16" s="22">
        <f>'Günlük taslak'!AQ37</f>
        <v>2.5000000000000001E-2</v>
      </c>
      <c r="CT16" s="33">
        <f>'Günlük taslak'!AR37</f>
        <v>2.5314242726610869E-2</v>
      </c>
      <c r="CV16" s="14" t="s">
        <v>15</v>
      </c>
      <c r="CW16" s="33">
        <f>'Günlük taslak'!AL76</f>
        <v>2.5005137572765568E-2</v>
      </c>
      <c r="CX16" s="33">
        <f>'Günlük taslak'!AM76</f>
        <v>2.5011133186924366E-2</v>
      </c>
      <c r="CY16" s="33">
        <f>'Günlük taslak'!AN76</f>
        <v>2.5024844646748073E-2</v>
      </c>
      <c r="CZ16" s="33">
        <f>'Günlük taslak'!AO76</f>
        <v>2.5050580654265259E-2</v>
      </c>
      <c r="DA16" s="33">
        <f>'Günlük taslak'!AP76</f>
        <v>2.5076351951623117E-2</v>
      </c>
      <c r="DB16" s="22">
        <f>'Günlük taslak'!AQ76</f>
        <v>2.5000000000000001E-2</v>
      </c>
      <c r="DC16" s="33">
        <f>'Günlük taslak'!AR76</f>
        <v>2.5314242726610869E-2</v>
      </c>
      <c r="DE16" s="14" t="s">
        <v>15</v>
      </c>
      <c r="DF16" s="33">
        <f>'Günlük taslak'!AU67</f>
        <v>2.5005137572765568E-2</v>
      </c>
      <c r="DG16" s="33">
        <f>'Günlük taslak'!AV67</f>
        <v>2.5011133186924366E-2</v>
      </c>
      <c r="DH16" s="33">
        <f>'Günlük taslak'!AW67</f>
        <v>2.5024844646748073E-2</v>
      </c>
      <c r="DI16" s="33">
        <f>'Günlük taslak'!AX67</f>
        <v>2.5050580654265259E-2</v>
      </c>
      <c r="DJ16" s="33">
        <f>'Günlük taslak'!AY67</f>
        <v>2.5076351951623117E-2</v>
      </c>
      <c r="DK16" s="22">
        <f>'Günlük taslak'!AZ67</f>
        <v>2.5000000000000001E-2</v>
      </c>
      <c r="DL16" s="33">
        <f>'Günlük taslak'!BA67</f>
        <v>2.5314242726610869E-2</v>
      </c>
    </row>
    <row r="17" spans="1:116" x14ac:dyDescent="0.35">
      <c r="A17" s="14" t="s">
        <v>17</v>
      </c>
      <c r="B17" s="15">
        <v>3.9800000000000002E-2</v>
      </c>
      <c r="C17" s="33">
        <f>'Günlük taslak'!C29</f>
        <v>3.0716789716640571E-2</v>
      </c>
      <c r="D17" s="15">
        <v>5.4800000000000001E-2</v>
      </c>
      <c r="E17" s="33">
        <f>'Günlük taslak'!E29</f>
        <v>3.0776297865676816E-2</v>
      </c>
      <c r="F17" s="33">
        <f>'Günlük taslak'!F29</f>
        <v>3.081519033302349E-2</v>
      </c>
      <c r="G17" s="15">
        <v>3.0700000000000002E-2</v>
      </c>
      <c r="H17" s="33">
        <f>'Günlük taslak'!H30</f>
        <v>3.1174773390001631E-2</v>
      </c>
      <c r="J17" s="14" t="s">
        <v>17</v>
      </c>
      <c r="K17" s="15">
        <v>3.8600000000000002E-2</v>
      </c>
      <c r="L17" s="33">
        <f>'Günlük taslak'!C71</f>
        <v>2.9415397672846257E-2</v>
      </c>
      <c r="M17" s="15">
        <v>5.4800000000000001E-2</v>
      </c>
      <c r="N17" s="33">
        <f>'Günlük taslak'!E71</f>
        <v>2.9469968146881482E-2</v>
      </c>
      <c r="O17" s="33">
        <f>'Günlük taslak'!F71</f>
        <v>2.9505630301122101E-2</v>
      </c>
      <c r="P17" s="15">
        <v>2.9399999999999999E-2</v>
      </c>
      <c r="Q17" s="33">
        <f>'Günlük taslak'!H72</f>
        <v>2.9835227361300731E-2</v>
      </c>
      <c r="S17" s="14" t="s">
        <v>17</v>
      </c>
      <c r="T17" s="22">
        <v>3.9E-2</v>
      </c>
      <c r="U17" s="33">
        <f>'Günlük taslak'!L9</f>
        <v>3.2618932626085458E-2</v>
      </c>
      <c r="V17" s="22">
        <v>5.4800000000000001E-2</v>
      </c>
      <c r="W17" s="33">
        <f>'Günlük taslak'!N9</f>
        <v>3.2686042808954284E-2</v>
      </c>
      <c r="X17" s="33">
        <f>'Günlük taslak'!O9</f>
        <v>3.2729909490182445E-2</v>
      </c>
      <c r="Y17" s="22">
        <v>3.2599999999999997E-2</v>
      </c>
      <c r="Z17" s="33">
        <f>'Günlük taslak'!Q10</f>
        <v>3.3135697711292433E-2</v>
      </c>
      <c r="AB17" s="14" t="s">
        <v>17</v>
      </c>
      <c r="AC17" s="22">
        <v>3.8600000000000002E-2</v>
      </c>
      <c r="AD17" s="33">
        <f>'Günlük taslak'!L50</f>
        <v>3.2018242012937716E-2</v>
      </c>
      <c r="AE17" s="22">
        <v>5.4800000000000001E-2</v>
      </c>
      <c r="AF17" s="33">
        <f>'Günlük taslak'!N50</f>
        <v>3.2082902098360046E-2</v>
      </c>
      <c r="AG17" s="33">
        <f>'Günlük taslak'!O50</f>
        <v>3.2940608077070041E-2</v>
      </c>
      <c r="AH17" s="22">
        <v>3.2000000000000001E-2</v>
      </c>
      <c r="AI17" s="33">
        <f>'Günlük taslak'!Q51</f>
        <v>3.2516057037460744E-2</v>
      </c>
      <c r="AK17" s="14" t="s">
        <v>17</v>
      </c>
      <c r="AL17" s="10" t="s">
        <v>37</v>
      </c>
      <c r="AM17" s="33">
        <f>'Günlük taslak'!L103</f>
        <v>3.1117230159457634E-2</v>
      </c>
      <c r="AN17" s="10" t="s">
        <v>27</v>
      </c>
      <c r="AO17" s="33">
        <f>'Günlük taslak'!N94</f>
        <v>3.2082902098360046E-2</v>
      </c>
      <c r="AP17" s="33">
        <f>'Günlük taslak'!O94</f>
        <v>3.2125165508335836E-2</v>
      </c>
      <c r="AQ17" s="10" t="s">
        <v>18</v>
      </c>
      <c r="AR17" s="33">
        <f>'Günlük taslak'!Q95</f>
        <v>3.2516057037460744E-2</v>
      </c>
      <c r="AT17" s="21" t="s">
        <v>17</v>
      </c>
      <c r="AU17" s="20">
        <f>'Günlük taslak'!T30</f>
        <v>3.7600000000000001E-2</v>
      </c>
      <c r="AV17" s="33">
        <f>'Günlük taslak'!U29</f>
        <v>3.121734116151758E-2</v>
      </c>
      <c r="AW17" s="20">
        <f>'Günlük taslak'!V30</f>
        <v>5.4800000000000001E-2</v>
      </c>
      <c r="AX17" s="33">
        <f>'Günlük taslak'!W29</f>
        <v>3.1278805465217829E-2</v>
      </c>
      <c r="AY17" s="33">
        <f>'Günlük taslak'!X29</f>
        <v>3.1318977802404467E-2</v>
      </c>
      <c r="AZ17" s="20">
        <f>'Günlük taslak'!Y30</f>
        <v>3.1199999999999999E-2</v>
      </c>
      <c r="BA17" s="33">
        <f>'Günlük taslak'!Z30</f>
        <v>3.1690445957877067E-2</v>
      </c>
      <c r="BC17" s="14" t="s">
        <v>17</v>
      </c>
      <c r="BD17" s="22">
        <f>'Günlük taslak'!T72</f>
        <v>3.7600000000000001E-2</v>
      </c>
      <c r="BE17" s="33">
        <f>'Günlük taslak'!U72</f>
        <v>2.861457097742421E-2</v>
      </c>
      <c r="BF17" s="22">
        <f>'Günlük taslak'!V72</f>
        <v>5.4800000000000001E-2</v>
      </c>
      <c r="BG17" s="33">
        <f>'Günlük taslak'!W72</f>
        <v>2.8632518077824447E-2</v>
      </c>
      <c r="BH17" s="33">
        <f>'Günlük taslak'!X72</f>
        <v>2.8699953491705399E-2</v>
      </c>
      <c r="BI17" s="22">
        <f>'Günlük taslak'!Y72</f>
        <v>2.86E-2</v>
      </c>
      <c r="BJ17" s="33">
        <f>'Günlük taslak'!Z72</f>
        <v>2.9011754039298232E-2</v>
      </c>
      <c r="BL17" s="14" t="s">
        <v>17</v>
      </c>
      <c r="BM17" s="22">
        <f>'Günlük taslak'!AC20</f>
        <v>3.7600000000000001E-2</v>
      </c>
      <c r="BN17" s="33">
        <f>'Günlük taslak'!AD20</f>
        <v>3.0216247184851448E-2</v>
      </c>
      <c r="BO17" s="22">
        <f>'Günlük taslak'!AE20</f>
        <v>5.4800000000000001E-2</v>
      </c>
      <c r="BP17" s="33">
        <f>'Günlük taslak'!AF20</f>
        <v>3.0273830874697632E-2</v>
      </c>
      <c r="BQ17" s="33">
        <f>'Günlük taslak'!AG20</f>
        <v>3.0311464275388368E-2</v>
      </c>
      <c r="BR17" s="22">
        <f>'Günlük taslak'!AH20</f>
        <v>3.0200000000000001E-2</v>
      </c>
      <c r="BS17" s="33">
        <f>'Günlük taslak'!AI20</f>
        <v>3.0659357866290149E-2</v>
      </c>
      <c r="BU17" s="14" t="s">
        <v>17</v>
      </c>
      <c r="BV17" s="22">
        <f>'Günlük taslak'!AC62</f>
        <v>3.7600000000000001E-2</v>
      </c>
      <c r="BW17" s="33">
        <f>'Günlük taslak'!AD62</f>
        <v>3.1117230159457634E-2</v>
      </c>
      <c r="BX17" s="22">
        <f>'Günlük taslak'!AE62</f>
        <v>5.4800000000000001E-2</v>
      </c>
      <c r="BY17" s="33">
        <f>'Günlük taslak'!AF62</f>
        <v>3.1178300696434385E-2</v>
      </c>
      <c r="BZ17" s="33">
        <f>'Günlük taslak'!AG62</f>
        <v>3.1218215395197819E-2</v>
      </c>
      <c r="CA17" s="22">
        <f>'Günlük taslak'!AH62</f>
        <v>3.1099999999999999E-2</v>
      </c>
      <c r="CB17" s="33">
        <f>'Günlük taslak'!AI62</f>
        <v>3.1587290874597329E-2</v>
      </c>
      <c r="CD17" s="14" t="s">
        <v>17</v>
      </c>
      <c r="CE17" s="22">
        <f>'Günlük taslak'!AC104</f>
        <v>3.7600000000000001E-2</v>
      </c>
      <c r="CF17" s="33">
        <f>'Günlük taslak'!AD104</f>
        <v>3.0816899292500168E-2</v>
      </c>
      <c r="CG17" s="22">
        <f>'Günlük taslak'!AE104</f>
        <v>5.4800000000000001E-2</v>
      </c>
      <c r="CH17" s="33">
        <f>'Günlük taslak'!AF104</f>
        <v>3.087679613673544E-2</v>
      </c>
      <c r="CI17" s="33">
        <f>'Günlük taslak'!AG104</f>
        <v>3.0915942913661267E-2</v>
      </c>
      <c r="CJ17" s="22">
        <f>'Günlük taslak'!AH104</f>
        <v>3.0800000000000001E-2</v>
      </c>
      <c r="CK17" s="33">
        <f>'Günlük taslak'!AI104</f>
        <v>3.127788733589032E-2</v>
      </c>
      <c r="CM17" s="14" t="s">
        <v>17</v>
      </c>
      <c r="CN17" s="22">
        <f>'Günlük taslak'!AL39</f>
        <v>4.02E-2</v>
      </c>
      <c r="CO17" s="22">
        <f>'Günlük taslak'!AM39</f>
        <v>3.3620112171935869E-2</v>
      </c>
      <c r="CP17" s="22">
        <f>'Günlük taslak'!AN39</f>
        <v>5.4800000000000001E-2</v>
      </c>
      <c r="CQ17" s="22">
        <f>'Günlük taslak'!AO39</f>
        <v>3.3691407316138212E-2</v>
      </c>
      <c r="CR17" s="22">
        <f>'Günlük taslak'!AP39</f>
        <v>3.3738012740671279E-2</v>
      </c>
      <c r="CS17" s="22">
        <f>'Günlük taslak'!AQ39</f>
        <v>3.3599999999999998E-2</v>
      </c>
      <c r="CT17" s="13">
        <f>'Günlük taslak'!AR39</f>
        <v>3.4169256374043444E-2</v>
      </c>
      <c r="CV17" s="14" t="s">
        <v>17</v>
      </c>
      <c r="CW17" s="22">
        <f>'Günlük taslak'!AL78</f>
        <v>3.5700000000000003E-2</v>
      </c>
      <c r="CX17" s="33">
        <f>'Günlük taslak'!AM78</f>
        <v>2.7012986033863436E-2</v>
      </c>
      <c r="CY17" s="22">
        <f>'Günlük taslak'!AN78</f>
        <v>5.4800000000000001E-2</v>
      </c>
      <c r="CZ17" s="33">
        <f>'Günlük taslak'!AO78</f>
        <v>2.7059003529465182E-2</v>
      </c>
      <c r="DA17" s="33">
        <f>'Günlük taslak'!AP78</f>
        <v>2.7089071246125033E-2</v>
      </c>
      <c r="DB17" s="22">
        <f>'Günlük taslak'!AQ78</f>
        <v>2.7E-2</v>
      </c>
      <c r="DC17" s="33">
        <f>'Günlük taslak'!AR78</f>
        <v>2.7366776854136576E-2</v>
      </c>
      <c r="DE17" s="14" t="s">
        <v>17</v>
      </c>
      <c r="DF17" s="22">
        <f>'Günlük taslak'!AU69</f>
        <v>3.5700000000000003E-2</v>
      </c>
      <c r="DG17" s="33">
        <f>'Günlük taslak'!AV69</f>
        <v>2.751347152523961E-2</v>
      </c>
      <c r="DH17" s="22">
        <f>'Günlük taslak'!AW69</f>
        <v>5.4800000000000001E-2</v>
      </c>
      <c r="DI17" s="33">
        <f>'Günlük taslak'!AX69</f>
        <v>2.7561210701938343E-2</v>
      </c>
      <c r="DJ17" s="33">
        <f>'Günlük taslak'!AY69</f>
        <v>2.7592404443735931E-2</v>
      </c>
      <c r="DK17" s="22">
        <f>'Günlük taslak'!AZ69</f>
        <v>2.75E-2</v>
      </c>
      <c r="DL17" s="33">
        <f>'Günlük taslak'!BA69</f>
        <v>2.7880550318131858E-2</v>
      </c>
    </row>
    <row r="18" spans="1:116" x14ac:dyDescent="0.35">
      <c r="J18" s="25"/>
      <c r="K18" s="23"/>
      <c r="L18" s="23"/>
      <c r="M18" s="23"/>
      <c r="N18" s="23"/>
      <c r="O18" s="23"/>
      <c r="P18" s="23"/>
      <c r="Q18" s="23"/>
      <c r="S18" s="25"/>
      <c r="T18" s="23"/>
      <c r="U18" s="23"/>
      <c r="V18" s="23"/>
      <c r="W18" s="23"/>
      <c r="X18" s="23"/>
      <c r="Y18" s="23"/>
      <c r="Z18" s="23"/>
      <c r="AB18" s="25"/>
      <c r="AC18" s="23"/>
      <c r="AD18" s="23"/>
      <c r="AE18" s="23"/>
      <c r="AF18" s="23"/>
      <c r="AG18" s="23"/>
      <c r="AH18" s="23"/>
      <c r="AI18" s="23"/>
      <c r="AK18" s="25"/>
      <c r="AL18" s="23"/>
      <c r="AM18" s="23"/>
      <c r="AN18" s="23"/>
      <c r="AO18" s="23"/>
      <c r="AP18" s="23"/>
      <c r="AQ18" s="23"/>
      <c r="AR18" s="23"/>
      <c r="AT18" s="41"/>
      <c r="AU18" s="42"/>
      <c r="AV18" s="42"/>
      <c r="AW18" s="42"/>
      <c r="AX18" s="42"/>
      <c r="AY18" s="42"/>
      <c r="AZ18" s="42"/>
      <c r="BA18" s="42"/>
      <c r="BC18" s="25"/>
      <c r="BD18" s="23"/>
      <c r="BE18" s="23"/>
      <c r="BF18" s="23"/>
      <c r="BG18" s="23"/>
      <c r="BH18" s="23"/>
      <c r="BI18" s="23"/>
      <c r="BJ18" s="23"/>
      <c r="BL18" s="25"/>
      <c r="BM18" s="23"/>
      <c r="BN18" s="23"/>
      <c r="BO18" s="23"/>
      <c r="BP18" s="23"/>
      <c r="BQ18" s="23"/>
      <c r="BR18" s="23"/>
      <c r="BS18" s="23"/>
      <c r="BU18" s="25"/>
      <c r="BV18" s="23"/>
      <c r="BW18" s="23"/>
      <c r="BX18" s="23"/>
      <c r="BY18" s="23"/>
      <c r="BZ18" s="23"/>
      <c r="CA18" s="23"/>
      <c r="CB18" s="23"/>
      <c r="CD18" s="25"/>
      <c r="CE18" s="23"/>
      <c r="CF18" s="23"/>
      <c r="CG18" s="23"/>
      <c r="CH18" s="23"/>
      <c r="CI18" s="23"/>
      <c r="CJ18" s="23"/>
      <c r="CK18" s="23"/>
    </row>
    <row r="19" spans="1:116" x14ac:dyDescent="0.35">
      <c r="A19" s="24">
        <v>46080</v>
      </c>
      <c r="B19" s="16" t="s">
        <v>5</v>
      </c>
      <c r="C19" s="16" t="s">
        <v>6</v>
      </c>
      <c r="D19" s="16" t="s">
        <v>7</v>
      </c>
      <c r="E19" s="16" t="s">
        <v>8</v>
      </c>
      <c r="F19" s="16" t="s">
        <v>9</v>
      </c>
      <c r="G19" s="16" t="s">
        <v>11</v>
      </c>
      <c r="H19" s="16" t="s">
        <v>53</v>
      </c>
      <c r="J19" s="24">
        <v>46084</v>
      </c>
      <c r="K19" s="16" t="s">
        <v>5</v>
      </c>
      <c r="L19" s="16" t="s">
        <v>6</v>
      </c>
      <c r="M19" s="16" t="s">
        <v>7</v>
      </c>
      <c r="N19" s="16" t="s">
        <v>8</v>
      </c>
      <c r="O19" s="16" t="s">
        <v>9</v>
      </c>
      <c r="P19" s="16" t="s">
        <v>11</v>
      </c>
      <c r="Q19" s="16" t="s">
        <v>53</v>
      </c>
      <c r="S19" s="24">
        <v>46088</v>
      </c>
      <c r="T19" s="16" t="s">
        <v>5</v>
      </c>
      <c r="U19" s="16" t="s">
        <v>6</v>
      </c>
      <c r="V19" s="16" t="s">
        <v>7</v>
      </c>
      <c r="W19" s="16" t="s">
        <v>8</v>
      </c>
      <c r="X19" s="16" t="s">
        <v>9</v>
      </c>
      <c r="Y19" s="16" t="s">
        <v>11</v>
      </c>
      <c r="Z19" s="16" t="s">
        <v>53</v>
      </c>
      <c r="AB19" s="24">
        <v>46092</v>
      </c>
      <c r="AC19" s="16" t="s">
        <v>5</v>
      </c>
      <c r="AD19" s="16" t="s">
        <v>6</v>
      </c>
      <c r="AE19" s="16" t="s">
        <v>7</v>
      </c>
      <c r="AF19" s="16" t="s">
        <v>8</v>
      </c>
      <c r="AG19" s="16" t="s">
        <v>9</v>
      </c>
      <c r="AH19" s="16" t="s">
        <v>11</v>
      </c>
      <c r="AI19" s="16" t="s">
        <v>53</v>
      </c>
      <c r="AK19" s="24">
        <v>46096</v>
      </c>
      <c r="AL19" s="16" t="s">
        <v>5</v>
      </c>
      <c r="AM19" s="16" t="s">
        <v>6</v>
      </c>
      <c r="AN19" s="16" t="s">
        <v>7</v>
      </c>
      <c r="AO19" s="16" t="s">
        <v>8</v>
      </c>
      <c r="AP19" s="16" t="s">
        <v>9</v>
      </c>
      <c r="AQ19" s="16" t="s">
        <v>11</v>
      </c>
      <c r="AR19" s="16" t="s">
        <v>53</v>
      </c>
      <c r="AT19" s="39">
        <v>46100</v>
      </c>
      <c r="AU19" s="40" t="s">
        <v>5</v>
      </c>
      <c r="AV19" s="40" t="s">
        <v>6</v>
      </c>
      <c r="AW19" s="40" t="s">
        <v>7</v>
      </c>
      <c r="AX19" s="40" t="s">
        <v>8</v>
      </c>
      <c r="AY19" s="40" t="s">
        <v>9</v>
      </c>
      <c r="AZ19" s="40" t="s">
        <v>11</v>
      </c>
      <c r="BA19" s="40" t="s">
        <v>53</v>
      </c>
      <c r="BC19" s="24">
        <v>46105</v>
      </c>
      <c r="BD19" s="16" t="s">
        <v>5</v>
      </c>
      <c r="BE19" s="16" t="s">
        <v>6</v>
      </c>
      <c r="BF19" s="16" t="s">
        <v>7</v>
      </c>
      <c r="BG19" s="16" t="s">
        <v>8</v>
      </c>
      <c r="BH19" s="16" t="s">
        <v>9</v>
      </c>
      <c r="BI19" s="16" t="s">
        <v>11</v>
      </c>
      <c r="BJ19" s="16" t="s">
        <v>53</v>
      </c>
      <c r="BL19" s="24">
        <v>46109</v>
      </c>
      <c r="BM19" s="16" t="s">
        <v>5</v>
      </c>
      <c r="BN19" s="16" t="s">
        <v>6</v>
      </c>
      <c r="BO19" s="16" t="s">
        <v>7</v>
      </c>
      <c r="BP19" s="16" t="s">
        <v>8</v>
      </c>
      <c r="BQ19" s="16" t="s">
        <v>9</v>
      </c>
      <c r="BR19" s="16" t="s">
        <v>11</v>
      </c>
      <c r="BS19" s="16" t="s">
        <v>53</v>
      </c>
      <c r="BU19" s="24">
        <v>46113</v>
      </c>
      <c r="BV19" s="16" t="s">
        <v>5</v>
      </c>
      <c r="BW19" s="16" t="s">
        <v>6</v>
      </c>
      <c r="BX19" s="16" t="s">
        <v>7</v>
      </c>
      <c r="BY19" s="16" t="s">
        <v>8</v>
      </c>
      <c r="BZ19" s="16" t="s">
        <v>9</v>
      </c>
      <c r="CA19" s="16" t="s">
        <v>11</v>
      </c>
      <c r="CB19" s="16" t="s">
        <v>53</v>
      </c>
      <c r="CD19" s="24">
        <v>46117</v>
      </c>
      <c r="CE19" s="16" t="s">
        <v>5</v>
      </c>
      <c r="CF19" s="16" t="s">
        <v>6</v>
      </c>
      <c r="CG19" s="16" t="s">
        <v>7</v>
      </c>
      <c r="CH19" s="16" t="s">
        <v>8</v>
      </c>
      <c r="CI19" s="16" t="s">
        <v>9</v>
      </c>
      <c r="CJ19" s="16" t="s">
        <v>11</v>
      </c>
      <c r="CK19" s="16" t="s">
        <v>53</v>
      </c>
      <c r="CM19" s="24">
        <v>46121</v>
      </c>
      <c r="CN19" s="16" t="s">
        <v>5</v>
      </c>
      <c r="CO19" s="16" t="s">
        <v>6</v>
      </c>
      <c r="CP19" s="16" t="s">
        <v>7</v>
      </c>
      <c r="CQ19" s="16" t="s">
        <v>8</v>
      </c>
      <c r="CR19" s="16" t="s">
        <v>9</v>
      </c>
      <c r="CS19" s="16" t="s">
        <v>11</v>
      </c>
      <c r="CT19" s="16" t="s">
        <v>53</v>
      </c>
      <c r="CV19" s="24">
        <v>46125</v>
      </c>
      <c r="CW19" s="16" t="s">
        <v>5</v>
      </c>
      <c r="CX19" s="16" t="s">
        <v>6</v>
      </c>
      <c r="CY19" s="16" t="s">
        <v>7</v>
      </c>
      <c r="CZ19" s="16" t="s">
        <v>8</v>
      </c>
      <c r="DA19" s="16" t="s">
        <v>9</v>
      </c>
      <c r="DB19" s="16" t="s">
        <v>11</v>
      </c>
      <c r="DC19" s="16" t="s">
        <v>53</v>
      </c>
    </row>
    <row r="20" spans="1:116" x14ac:dyDescent="0.35">
      <c r="A20" s="14" t="s">
        <v>12</v>
      </c>
      <c r="B20" s="33">
        <f>'Günlük taslak'!B33</f>
        <v>3.2208523225749471E-2</v>
      </c>
      <c r="C20" s="33">
        <f>'Günlük taslak'!C33</f>
        <v>3.2218470791195206E-2</v>
      </c>
      <c r="D20" s="33">
        <f>'Günlük taslak'!D33</f>
        <v>3.2241223469078907E-2</v>
      </c>
      <c r="E20" s="33">
        <f>'Günlük taslak'!E33</f>
        <v>3.2283942502945986E-2</v>
      </c>
      <c r="F20" s="33">
        <f>'Günlük taslak'!F33</f>
        <v>3.2326737006068758E-2</v>
      </c>
      <c r="G20" s="22">
        <v>3.2199999999999999E-2</v>
      </c>
      <c r="H20" s="33">
        <f>'Günlük taslak'!H34</f>
        <v>3.2722562737591776E-2</v>
      </c>
      <c r="J20" s="14" t="s">
        <v>12</v>
      </c>
      <c r="K20" s="33">
        <f>'Günlük taslak'!B76</f>
        <v>3.1208002016684468E-2</v>
      </c>
      <c r="L20" s="33">
        <f>'Günlük taslak'!C76</f>
        <v>3.121734116151758E-2</v>
      </c>
      <c r="M20" s="33">
        <f>'Günlük taslak'!D76</f>
        <v>3.1238701773908639E-2</v>
      </c>
      <c r="N20" s="33">
        <f>'Günlük taslak'!E76</f>
        <v>3.1278805465217829E-2</v>
      </c>
      <c r="O20" s="33">
        <f>'Günlük taslak'!F76</f>
        <v>3.1318977802404467E-2</v>
      </c>
      <c r="P20" s="15">
        <v>3.1199999999999999E-2</v>
      </c>
      <c r="Q20" s="33">
        <f>'Günlük taslak'!H77</f>
        <v>3.1690445957877067E-2</v>
      </c>
      <c r="S20" s="14" t="s">
        <v>12</v>
      </c>
      <c r="T20" s="33">
        <f>'Günlük taslak'!K13</f>
        <v>3.1808312768565487E-2</v>
      </c>
      <c r="U20" s="33">
        <f>'Günlük taslak'!L13</f>
        <v>3.1818014660799525E-2</v>
      </c>
      <c r="V20" s="33">
        <f>'Günlük taslak'!M13</f>
        <v>3.1840205233434705E-2</v>
      </c>
      <c r="W20" s="33">
        <f>'Günlük taslak'!N13</f>
        <v>3.1881868192445817E-2</v>
      </c>
      <c r="X20" s="33">
        <f>'Günlük taslak'!O13</f>
        <v>3.1923603839523036E-2</v>
      </c>
      <c r="Y20" s="22">
        <v>3.1800000000000002E-2</v>
      </c>
      <c r="Z20" s="33">
        <f>'Günlük taslak'!Q14</f>
        <v>3.230959251755694E-2</v>
      </c>
      <c r="AB20" s="14" t="s">
        <v>12</v>
      </c>
      <c r="AC20" s="33">
        <f>'Günlük taslak'!K55</f>
        <v>3.0807798137726067E-2</v>
      </c>
      <c r="AD20" s="33">
        <f>'Günlük taslak'!L55</f>
        <v>3.0816899292500168E-2</v>
      </c>
      <c r="AE20" s="33">
        <f>'Günlük taslak'!M55</f>
        <v>3.0837715396014837E-2</v>
      </c>
      <c r="AF20" s="33">
        <f>'Günlük taslak'!N55</f>
        <v>3.087679613673544E-2</v>
      </c>
      <c r="AG20" s="33">
        <f>'Günlük taslak'!O55</f>
        <v>3.0915942913661267E-2</v>
      </c>
      <c r="AH20" s="22">
        <v>3.0800000000000001E-2</v>
      </c>
      <c r="AI20" s="33">
        <f>'Günlük taslak'!Q56</f>
        <v>3.127788733589032E-2</v>
      </c>
      <c r="AK20" s="14" t="s">
        <v>12</v>
      </c>
      <c r="AL20" s="33">
        <f>'Günlük taslak'!K98</f>
        <v>3.2108470364739912E-2</v>
      </c>
      <c r="AM20" s="33">
        <f>'Günlük taslak'!L98</f>
        <v>3.2118356223753065E-2</v>
      </c>
      <c r="AN20" s="33">
        <f>'Günlük taslak'!M98</f>
        <v>3.2140967715421409E-2</v>
      </c>
      <c r="AO20" s="33">
        <f>'Günlük taslak'!N98</f>
        <v>3.2183421488258611E-2</v>
      </c>
      <c r="AP20" s="33">
        <f>'Günlük taslak'!O98</f>
        <v>3.2225950028510517E-2</v>
      </c>
      <c r="AQ20" s="10" t="s">
        <v>42</v>
      </c>
      <c r="AR20" s="33">
        <f>'Günlük taslak'!Q99</f>
        <v>3.2619304739437416E-2</v>
      </c>
      <c r="AT20" s="21" t="s">
        <v>12</v>
      </c>
      <c r="AU20" s="33">
        <f>'Günlük taslak'!T33</f>
        <v>3.0507646955369054E-2</v>
      </c>
      <c r="AV20" s="33">
        <f>'Günlük taslak'!U33</f>
        <v>3.0516571634355998E-2</v>
      </c>
      <c r="AW20" s="33">
        <f>'Günlük taslak'!V33</f>
        <v>3.0536983974912595E-2</v>
      </c>
      <c r="AX20" s="33">
        <f>'Günlük taslak'!W33</f>
        <v>3.0575306196430729E-2</v>
      </c>
      <c r="AY20" s="33">
        <f>'Günlük taslak'!X33</f>
        <v>3.0613692540966575E-2</v>
      </c>
      <c r="AZ20" s="20">
        <f>'Günlük taslak'!Y34</f>
        <v>3.0499999999999999E-2</v>
      </c>
      <c r="BA20" s="33">
        <f>'Günlük taslak'!Z34</f>
        <v>3.0968576342366605E-2</v>
      </c>
      <c r="BC20" s="14" t="s">
        <v>12</v>
      </c>
      <c r="BD20" s="33">
        <f>'Günlük taslak'!T88</f>
        <v>2.9207008934516918E-2</v>
      </c>
      <c r="BE20" s="33">
        <f>'Günlük taslak'!U88</f>
        <v>2.9215188859992698E-2</v>
      </c>
      <c r="BF20" s="33">
        <f>'Günlük taslak'!V88</f>
        <v>2.9233897304799861E-2</v>
      </c>
      <c r="BG20" s="33">
        <f>'Günlük taslak'!W88</f>
        <v>2.9269018705551892E-2</v>
      </c>
      <c r="BH20" s="33">
        <f>'Günlük taslak'!X88</f>
        <v>2.9304196365779224E-2</v>
      </c>
      <c r="BI20" s="22">
        <f>'Günlük taslak'!Y88</f>
        <v>2.92E-2</v>
      </c>
      <c r="BJ20" s="33">
        <f>'Günlük taslak'!Z88</f>
        <v>2.9629297440349367E-2</v>
      </c>
      <c r="BL20" s="14" t="s">
        <v>12</v>
      </c>
      <c r="BM20" s="33">
        <f>'Günlük taslak'!AC24</f>
        <v>2.9807299952161154E-2</v>
      </c>
      <c r="BN20" s="33">
        <f>'Günlük taslak'!AD24</f>
        <v>2.9815819576702873E-2</v>
      </c>
      <c r="BO20" s="33">
        <f>'Günlük taslak'!AE24</f>
        <v>2.9835305198563405E-2</v>
      </c>
      <c r="BP20" s="33">
        <f>'Günlük taslak'!AF24</f>
        <v>2.9871886517863155E-2</v>
      </c>
      <c r="BQ20" s="33">
        <f>'Günlük taslak'!AG24</f>
        <v>2.9908527640715526E-2</v>
      </c>
      <c r="BR20" s="22">
        <f>'Günlük taslak'!AH24</f>
        <v>2.98E-2</v>
      </c>
      <c r="BS20" s="33">
        <f>'Günlük taslak'!AI24</f>
        <v>3.0247210433201888E-2</v>
      </c>
      <c r="BU20" s="14" t="s">
        <v>12</v>
      </c>
      <c r="BV20" s="33">
        <f>'Günlük taslak'!AC66</f>
        <v>3.0507646955369054E-2</v>
      </c>
      <c r="BW20" s="33">
        <f>'Günlük taslak'!AD66</f>
        <v>3.0516571634355998E-2</v>
      </c>
      <c r="BX20" s="33">
        <f>'Günlük taslak'!AE66</f>
        <v>3.0536983974912595E-2</v>
      </c>
      <c r="BY20" s="33">
        <f>'Günlük taslak'!AF66</f>
        <v>3.0575306196430729E-2</v>
      </c>
      <c r="BZ20" s="33">
        <f>'Günlük taslak'!AG66</f>
        <v>3.0613692540966575E-2</v>
      </c>
      <c r="CA20" s="22">
        <f>'Günlük taslak'!AH66</f>
        <v>3.0499999999999999E-2</v>
      </c>
      <c r="CB20" s="33">
        <f>'Günlük taslak'!AI66</f>
        <v>3.0968576342366605E-2</v>
      </c>
      <c r="CD20" s="14" t="s">
        <v>12</v>
      </c>
      <c r="CE20" s="33">
        <f>'Günlük taslak'!AL3</f>
        <v>3.1007899748336825E-2</v>
      </c>
      <c r="CF20" s="33">
        <f>'Günlük taslak'!AM3</f>
        <v>3.1017119513989746E-2</v>
      </c>
      <c r="CG20" s="33">
        <f>'Günlük taslak'!AN3</f>
        <v>3.103820699217404E-2</v>
      </c>
      <c r="CH20" s="33">
        <f>'Günlük taslak'!AO3</f>
        <v>3.1077797552172309E-2</v>
      </c>
      <c r="CI20" s="33">
        <f>'Günlük taslak'!AP3</f>
        <v>3.1117455444773193E-2</v>
      </c>
      <c r="CJ20" s="22">
        <f>'Günlük taslak'!AQ3</f>
        <v>3.1E-2</v>
      </c>
      <c r="CK20" s="33">
        <f>'Günlük taslak'!AR3</f>
        <v>3.1484146077251696E-2</v>
      </c>
      <c r="CM20" s="14" t="s">
        <v>12</v>
      </c>
      <c r="CN20" s="33">
        <f>'Günlük taslak'!AL44</f>
        <v>2.7606261830231009E-2</v>
      </c>
      <c r="CO20" s="33">
        <f>'Günlük taslak'!AM44</f>
        <v>2.7613569693030509E-2</v>
      </c>
      <c r="CP20" s="33">
        <f>'Günlük taslak'!AN44</f>
        <v>2.7630283066844674E-2</v>
      </c>
      <c r="CQ20" s="33">
        <f>'Günlük taslak'!AO44</f>
        <v>2.7661657006941637E-2</v>
      </c>
      <c r="CR20" s="33">
        <f>'Günlük taslak'!AP44</f>
        <v>2.7693078446810349E-2</v>
      </c>
      <c r="CS20" s="22">
        <f>'Günlük taslak'!AQ44</f>
        <v>2.76E-2</v>
      </c>
      <c r="CT20" s="33">
        <f>'Günlük taslak'!AR44</f>
        <v>2.7983335754216743E-2</v>
      </c>
      <c r="CV20" s="14" t="s">
        <v>12</v>
      </c>
      <c r="CW20" s="33">
        <f>'Günlük taslak'!AL82</f>
        <v>2.650577261626081E-2</v>
      </c>
      <c r="CX20" s="33">
        <f>'Günlük taslak'!AM82</f>
        <v>2.6512509454446293E-2</v>
      </c>
      <c r="CY20" s="33">
        <f>'Günlük taslak'!AN82</f>
        <v>2.6527916516109307E-2</v>
      </c>
      <c r="CZ20" s="33">
        <f>'Günlük taslak'!AO82</f>
        <v>2.6556836941645196E-2</v>
      </c>
      <c r="DA20" s="33">
        <f>'Günlük taslak'!AP82</f>
        <v>2.6585799405461893E-2</v>
      </c>
      <c r="DB20" s="22">
        <f>'Günlük taslak'!AQ82</f>
        <v>2.6499999999999999E-2</v>
      </c>
      <c r="DC20" s="33">
        <f>'Günlük taslak'!AR82</f>
        <v>2.6853259490220882E-2</v>
      </c>
    </row>
    <row r="21" spans="1:116" x14ac:dyDescent="0.35">
      <c r="A21" s="14" t="s">
        <v>54</v>
      </c>
      <c r="B21" s="22">
        <v>0.03</v>
      </c>
      <c r="C21" s="22">
        <v>3.4000000000000002E-2</v>
      </c>
      <c r="D21" s="22">
        <v>4.3400000000000001E-2</v>
      </c>
      <c r="E21" s="22">
        <v>0.05</v>
      </c>
      <c r="F21" s="22">
        <v>5.7000000000000002E-2</v>
      </c>
      <c r="G21" s="22">
        <v>3.5400000000000001E-2</v>
      </c>
      <c r="H21" s="33">
        <f>'Günlük taslak'!H36</f>
        <v>3.6032261144603783E-2</v>
      </c>
      <c r="J21" s="14" t="s">
        <v>54</v>
      </c>
      <c r="K21" s="34">
        <v>4.5999999999999999E-2</v>
      </c>
      <c r="L21" s="34">
        <v>3.2000000000000001E-2</v>
      </c>
      <c r="M21" s="34">
        <v>4.2000000000000003E-2</v>
      </c>
      <c r="N21" s="34">
        <v>5.8999999999999997E-2</v>
      </c>
      <c r="O21" s="34">
        <v>5.8500000000000003E-2</v>
      </c>
      <c r="P21" s="34">
        <v>3.5099999999999999E-2</v>
      </c>
      <c r="Q21" s="33">
        <f>'Günlük taslak'!H79</f>
        <v>3.5721528087785392E-2</v>
      </c>
      <c r="S21" s="14" t="s">
        <v>54</v>
      </c>
      <c r="T21" s="22">
        <v>3.6299999999999999E-2</v>
      </c>
      <c r="U21" s="22">
        <v>0.04</v>
      </c>
      <c r="V21" s="22">
        <v>4.2000000000000003E-2</v>
      </c>
      <c r="W21" s="22">
        <v>5.7299999999999997E-2</v>
      </c>
      <c r="X21" s="22">
        <v>5.8000000000000003E-2</v>
      </c>
      <c r="Y21" s="22">
        <v>3.56E-2</v>
      </c>
      <c r="Z21" s="33">
        <f>'Günlük taslak'!Q16</f>
        <v>3.623946816391288E-2</v>
      </c>
      <c r="AB21" s="14" t="s">
        <v>54</v>
      </c>
      <c r="AC21" s="22">
        <v>3.2000000000000001E-2</v>
      </c>
      <c r="AD21" s="22">
        <v>4.0899999999999999E-2</v>
      </c>
      <c r="AE21" s="22">
        <v>3.5999999999999997E-2</v>
      </c>
      <c r="AF21" s="22">
        <v>4.9000000000000002E-2</v>
      </c>
      <c r="AG21" s="22">
        <v>5.33E-2</v>
      </c>
      <c r="AH21" s="22">
        <v>3.5400000000000001E-2</v>
      </c>
      <c r="AI21" s="33">
        <f>'Günlük taslak'!Q57</f>
        <v>3.6032261144603783E-2</v>
      </c>
      <c r="AK21" s="14" t="s">
        <v>54</v>
      </c>
      <c r="AL21" s="10" t="s">
        <v>18</v>
      </c>
      <c r="AM21" s="10" t="s">
        <v>50</v>
      </c>
      <c r="AN21" s="10" t="s">
        <v>18</v>
      </c>
      <c r="AO21" s="10" t="s">
        <v>49</v>
      </c>
      <c r="AP21" s="10" t="s">
        <v>45</v>
      </c>
      <c r="AQ21" s="10" t="s">
        <v>44</v>
      </c>
      <c r="AR21" s="33">
        <f>'Günlük taslak'!Q100</f>
        <v>3.5100340771234473E-2</v>
      </c>
      <c r="AT21" s="21" t="s">
        <v>54</v>
      </c>
      <c r="AU21" s="20">
        <f>'Günlük taslak'!T36</f>
        <v>3.4200000000000001E-2</v>
      </c>
      <c r="AV21" s="20">
        <f>'Günlük taslak'!U36</f>
        <v>4.2000000000000003E-2</v>
      </c>
      <c r="AW21" s="20">
        <f>'Günlük taslak'!V36</f>
        <v>3.5000000000000003E-2</v>
      </c>
      <c r="AX21" s="20">
        <f>'Günlük taslak'!W36</f>
        <v>4.3999999999999997E-2</v>
      </c>
      <c r="AY21" s="20">
        <f>'Günlük taslak'!X36</f>
        <v>5.0700000000000002E-2</v>
      </c>
      <c r="AZ21" s="20">
        <f>'Günlük taslak'!Y36</f>
        <v>3.4299999999999997E-2</v>
      </c>
      <c r="BA21" s="33">
        <f>'Günlük taslak'!Z36</f>
        <v>3.4893360908936799E-2</v>
      </c>
      <c r="BC21" s="14" t="s">
        <v>54</v>
      </c>
      <c r="BD21" s="22">
        <f>'Günlük taslak'!T90</f>
        <v>0.03</v>
      </c>
      <c r="BE21" s="22">
        <f>'Günlük taslak'!U90</f>
        <v>3.5000000000000003E-2</v>
      </c>
      <c r="BF21" s="22">
        <f>'Günlük taslak'!V90</f>
        <v>3.49E-2</v>
      </c>
      <c r="BG21" s="22">
        <f>'Günlük taslak'!W90</f>
        <v>4.2900000000000001E-2</v>
      </c>
      <c r="BH21" s="22">
        <f>'Günlük taslak'!X90</f>
        <v>0.06</v>
      </c>
      <c r="BI21" s="22">
        <f>'Günlük taslak'!Y90</f>
        <v>3.3300000000000003E-2</v>
      </c>
      <c r="BJ21" s="33">
        <f>'Günlük taslak'!Z90</f>
        <v>3.3859080551566834E-2</v>
      </c>
      <c r="BL21" s="14" t="s">
        <v>54</v>
      </c>
      <c r="BM21" s="22">
        <f>'Daily Data'!AT36</f>
        <v>0.03</v>
      </c>
      <c r="BN21" s="22">
        <f>'Daily Data'!AU36</f>
        <v>3.3000000000000002E-2</v>
      </c>
      <c r="BO21" s="22">
        <f>'Daily Data'!AV36</f>
        <v>2.5999999999999999E-2</v>
      </c>
      <c r="BP21" s="22">
        <f>'Daily Data'!AW36</f>
        <v>4.3999999999999997E-2</v>
      </c>
      <c r="BQ21" s="22">
        <f>'Daily Data'!AX36</f>
        <v>2.6100000000000002E-2</v>
      </c>
      <c r="BR21" s="22">
        <f>'Daily Data'!AZ36</f>
        <v>3.39E-2</v>
      </c>
      <c r="BS21" s="33">
        <f>'Günlük taslak'!AI26</f>
        <v>3.4479524999688094E-2</v>
      </c>
      <c r="BU21" s="14" t="s">
        <v>54</v>
      </c>
      <c r="BV21" s="22">
        <f>'Günlük taslak'!AC67</f>
        <v>4.2999999999999997E-2</v>
      </c>
      <c r="BW21" s="22">
        <f>'Günlük taslak'!AD67</f>
        <v>3.2599999999999997E-2</v>
      </c>
      <c r="BX21" s="22">
        <f>'Günlük taslak'!AE67</f>
        <v>0.04</v>
      </c>
      <c r="BY21" s="22">
        <f>'Günlük taslak'!AF67</f>
        <v>4.3799999999999999E-2</v>
      </c>
      <c r="BZ21" s="22">
        <f>'Günlük taslak'!AG67</f>
        <v>5.9900000000000002E-2</v>
      </c>
      <c r="CA21" s="22">
        <f>'Günlük taslak'!AH67</f>
        <v>3.39E-2</v>
      </c>
      <c r="CB21" s="33">
        <f>'Günlük taslak'!AI67</f>
        <v>3.4479524999688094E-2</v>
      </c>
      <c r="CD21" s="14" t="s">
        <v>54</v>
      </c>
      <c r="CE21" s="22">
        <f>'Günlük taslak'!AL4</f>
        <v>3.1E-2</v>
      </c>
      <c r="CF21" s="22">
        <f>'Günlük taslak'!AM4</f>
        <v>0.03</v>
      </c>
      <c r="CG21" s="22">
        <f>'Günlük taslak'!AN4</f>
        <v>4.3999999999999997E-2</v>
      </c>
      <c r="CH21" s="22">
        <f>'Günlük taslak'!AO4</f>
        <v>5.7000000000000002E-2</v>
      </c>
      <c r="CI21" s="22">
        <f>'Günlük taslak'!AP4</f>
        <v>5.9700000000000003E-2</v>
      </c>
      <c r="CJ21" s="22">
        <f>'Günlük taslak'!AQ4</f>
        <v>3.4200000000000001E-2</v>
      </c>
      <c r="CK21" s="33">
        <f>'Günlük taslak'!AR15</f>
        <v>3.4789886456186414E-2</v>
      </c>
      <c r="CM21" s="14" t="s">
        <v>54</v>
      </c>
      <c r="CN21" s="22">
        <f>'Günlük taslak'!AL45</f>
        <v>0.03</v>
      </c>
      <c r="CO21" s="22">
        <f>'Günlük taslak'!AM45</f>
        <v>0.03</v>
      </c>
      <c r="CP21" s="22">
        <f>'Günlük taslak'!AN45</f>
        <v>4.3900000000000002E-2</v>
      </c>
      <c r="CQ21" s="22">
        <f>'Günlük taslak'!AO45</f>
        <v>4.2500000000000003E-2</v>
      </c>
      <c r="CR21" s="22">
        <f>'Günlük taslak'!AP45</f>
        <v>5.2499999999999998E-2</v>
      </c>
      <c r="CS21" s="22">
        <f>'Günlük taslak'!AQ45</f>
        <v>3.2899999999999999E-2</v>
      </c>
      <c r="CT21" s="33">
        <f>'Günlük taslak'!AR45</f>
        <v>3.3445657100777071E-2</v>
      </c>
      <c r="CV21" s="14" t="s">
        <v>54</v>
      </c>
      <c r="CW21" s="22">
        <f>'Günlük taslak'!AL83</f>
        <v>2.9899999999999999E-2</v>
      </c>
      <c r="CX21" s="22">
        <f>'Günlük taslak'!AM83</f>
        <v>3.44E-2</v>
      </c>
      <c r="CY21" s="22">
        <f>'Günlük taslak'!AN83</f>
        <v>3.49E-2</v>
      </c>
      <c r="CZ21" s="22">
        <f>'Günlük taslak'!AO83</f>
        <v>4.3900000000000002E-2</v>
      </c>
      <c r="DA21" s="22">
        <f>'Günlük taslak'!AP83</f>
        <v>0.05</v>
      </c>
      <c r="DB21" s="22">
        <f>'Günlük taslak'!AQ83</f>
        <v>3.2899999999999999E-2</v>
      </c>
      <c r="DC21" s="33">
        <f>'Günlük taslak'!AR83</f>
        <v>3.3445657100777071E-2</v>
      </c>
    </row>
    <row r="22" spans="1:116" x14ac:dyDescent="0.35">
      <c r="A22" s="14" t="s">
        <v>15</v>
      </c>
      <c r="B22" s="33">
        <f>'Günlük taslak'!B48</f>
        <v>2.5005137572765568E-2</v>
      </c>
      <c r="C22" s="33">
        <f>'Günlük taslak'!C48</f>
        <v>2.501113318692437E-2</v>
      </c>
      <c r="D22" s="33">
        <f>'Günlük taslak'!D48</f>
        <v>2.5024844646748069E-2</v>
      </c>
      <c r="E22" s="33">
        <f>'Günlük taslak'!E48</f>
        <v>2.5050580654265259E-2</v>
      </c>
      <c r="F22" s="33">
        <f>'Günlük taslak'!F48</f>
        <v>2.5076351951623114E-2</v>
      </c>
      <c r="G22" s="22">
        <v>2.5000000000000001E-2</v>
      </c>
      <c r="H22" s="33">
        <f>'Günlük taslak'!H38</f>
        <v>2.5314242726610869E-2</v>
      </c>
      <c r="J22" s="14" t="s">
        <v>15</v>
      </c>
      <c r="K22" s="33">
        <f>'Günlük taslak'!B81</f>
        <v>2.5005137572765568E-2</v>
      </c>
      <c r="L22" s="33">
        <f>'Günlük taslak'!C81</f>
        <v>2.5011133186924366E-2</v>
      </c>
      <c r="M22" s="33">
        <f>'Günlük taslak'!D81</f>
        <v>2.5024844646748073E-2</v>
      </c>
      <c r="N22" s="33">
        <f>'Günlük taslak'!E81</f>
        <v>2.5050580654265259E-2</v>
      </c>
      <c r="O22" s="33">
        <f>'Günlük taslak'!F81</f>
        <v>2.5076351951623117E-2</v>
      </c>
      <c r="P22" s="15">
        <v>2.5000000000000001E-2</v>
      </c>
      <c r="Q22" s="33">
        <f>'Günlük taslak'!H82</f>
        <v>2.5314242726610869E-2</v>
      </c>
      <c r="S22" s="14" t="s">
        <v>15</v>
      </c>
      <c r="T22" s="33">
        <f>'Günlük taslak'!K17</f>
        <v>2.5005137572765568E-2</v>
      </c>
      <c r="U22" s="33">
        <f>'Günlük taslak'!L17</f>
        <v>2.5011133186924366E-2</v>
      </c>
      <c r="V22" s="33">
        <f>'Günlük taslak'!M17</f>
        <v>2.5024844646748073E-2</v>
      </c>
      <c r="W22" s="33">
        <f>'Günlük taslak'!N17</f>
        <v>2.5050580654265259E-2</v>
      </c>
      <c r="X22" s="33">
        <f>'Günlük taslak'!O17</f>
        <v>2.5076351951623117E-2</v>
      </c>
      <c r="Y22" s="22">
        <v>2.5000000000000001E-2</v>
      </c>
      <c r="Z22" s="33">
        <f>'Günlük taslak'!Q18</f>
        <v>2.5314242726610869E-2</v>
      </c>
      <c r="AB22" s="14" t="s">
        <v>15</v>
      </c>
      <c r="AC22" s="33">
        <f>'Günlük taslak'!K59</f>
        <v>2.5005137572765568E-2</v>
      </c>
      <c r="AD22" s="33">
        <f>'Günlük taslak'!L59</f>
        <v>2.5011133186924366E-2</v>
      </c>
      <c r="AE22" s="33">
        <f>'Günlük taslak'!M59</f>
        <v>2.5024844646748073E-2</v>
      </c>
      <c r="AF22" s="33">
        <f>'Günlük taslak'!N59</f>
        <v>2.5050580654265259E-2</v>
      </c>
      <c r="AG22" s="33">
        <f>'Günlük taslak'!O59</f>
        <v>2.5076351951623117E-2</v>
      </c>
      <c r="AH22" s="22">
        <v>2.5000000000000001E-2</v>
      </c>
      <c r="AI22" s="33">
        <f>'Günlük taslak'!Q60</f>
        <v>2.5314242726610869E-2</v>
      </c>
      <c r="AK22" s="14" t="s">
        <v>15</v>
      </c>
      <c r="AL22" s="33">
        <f>'Günlük taslak'!K101</f>
        <v>2.5005137572765568E-2</v>
      </c>
      <c r="AM22" s="33">
        <f>'Günlük taslak'!L101</f>
        <v>2.5011133186924366E-2</v>
      </c>
      <c r="AN22" s="33">
        <f>'Günlük taslak'!M101</f>
        <v>2.5024844646748073E-2</v>
      </c>
      <c r="AO22" s="33">
        <f>'Günlük taslak'!N101</f>
        <v>2.5050580654265259E-2</v>
      </c>
      <c r="AP22" s="33">
        <f>'Günlük taslak'!O101</f>
        <v>2.5076351951623117E-2</v>
      </c>
      <c r="AQ22" s="10" t="s">
        <v>30</v>
      </c>
      <c r="AR22" s="33">
        <f>'Günlük taslak'!Q102</f>
        <v>2.5314242726610869E-2</v>
      </c>
      <c r="AT22" s="21" t="s">
        <v>15</v>
      </c>
      <c r="AU22" s="33">
        <f>'Günlük taslak'!T38</f>
        <v>2.5005137572765568E-2</v>
      </c>
      <c r="AV22" s="33">
        <f>'Günlük taslak'!U38</f>
        <v>2.5011133186924366E-2</v>
      </c>
      <c r="AW22" s="33">
        <f>'Günlük taslak'!V38</f>
        <v>2.5024844646748073E-2</v>
      </c>
      <c r="AX22" s="33">
        <f>'Günlük taslak'!W38</f>
        <v>2.5050580654265259E-2</v>
      </c>
      <c r="AY22" s="33">
        <f>'Günlük taslak'!X38</f>
        <v>2.5076351951623117E-2</v>
      </c>
      <c r="AZ22" s="20">
        <f>'Günlük taslak'!Y38</f>
        <v>2.5000000000000001E-2</v>
      </c>
      <c r="BA22" s="33">
        <f>'Günlük taslak'!Z38</f>
        <v>2.5314242726610869E-2</v>
      </c>
      <c r="BC22" s="14" t="s">
        <v>15</v>
      </c>
      <c r="BD22" s="33">
        <f>'Günlük taslak'!T93</f>
        <v>2.5005137572765568E-2</v>
      </c>
      <c r="BE22" s="33">
        <f>'Günlük taslak'!U93</f>
        <v>2.5011133186924366E-2</v>
      </c>
      <c r="BF22" s="33">
        <f>'Günlük taslak'!V93</f>
        <v>2.5024844646748073E-2</v>
      </c>
      <c r="BG22" s="33">
        <f>'Günlük taslak'!W93</f>
        <v>2.5050580654265259E-2</v>
      </c>
      <c r="BH22" s="33">
        <f>'Günlük taslak'!X93</f>
        <v>2.5076351951623117E-2</v>
      </c>
      <c r="BI22" s="22">
        <f>'Günlük taslak'!Y93</f>
        <v>2.5000000000000001E-2</v>
      </c>
      <c r="BJ22" s="33">
        <f>'Günlük taslak'!Z93</f>
        <v>2.5314242726610869E-2</v>
      </c>
      <c r="BL22" s="14" t="s">
        <v>15</v>
      </c>
      <c r="BM22" s="33">
        <f>'Günlük taslak'!AC28</f>
        <v>2.5005137572765568E-2</v>
      </c>
      <c r="BN22" s="33">
        <f>'Günlük taslak'!AD28</f>
        <v>2.5011133186924366E-2</v>
      </c>
      <c r="BO22" s="33">
        <f>'Günlük taslak'!AE28</f>
        <v>2.5024844646748073E-2</v>
      </c>
      <c r="BP22" s="33">
        <f>'Günlük taslak'!AF28</f>
        <v>2.5050580654265259E-2</v>
      </c>
      <c r="BQ22" s="33">
        <f>'Günlük taslak'!AG28</f>
        <v>2.5076351951623117E-2</v>
      </c>
      <c r="BR22" s="22">
        <f>'Daily Data'!AH36</f>
        <v>2.5000000000000001E-2</v>
      </c>
      <c r="BS22" s="33">
        <f>'Günlük taslak'!AI28</f>
        <v>2.5314242726610869E-2</v>
      </c>
      <c r="BU22" s="14" t="s">
        <v>15</v>
      </c>
      <c r="BV22" s="33">
        <f>'Günlük taslak'!AC70</f>
        <v>2.5005137572765568E-2</v>
      </c>
      <c r="BW22" s="33">
        <f>'Günlük taslak'!AD70</f>
        <v>2.5011133186924366E-2</v>
      </c>
      <c r="BX22" s="33">
        <f>'Günlük taslak'!AE70</f>
        <v>2.5024844646748073E-2</v>
      </c>
      <c r="BY22" s="33">
        <f>'Günlük taslak'!AF70</f>
        <v>2.5050580654265259E-2</v>
      </c>
      <c r="BZ22" s="33">
        <f>'Günlük taslak'!AG70</f>
        <v>2.5076351951623117E-2</v>
      </c>
      <c r="CA22" s="22">
        <f>'Günlük taslak'!AH70</f>
        <v>2.5000000000000001E-2</v>
      </c>
      <c r="CB22" s="10">
        <f>'Günlük taslak'!AI70</f>
        <v>2.5314242726610869E-2</v>
      </c>
      <c r="CD22" s="14" t="s">
        <v>15</v>
      </c>
      <c r="CE22" s="33">
        <f>'Günlük taslak'!AL6</f>
        <v>2.5005137572765568E-2</v>
      </c>
      <c r="CF22" s="33">
        <f>'Günlük taslak'!AM6</f>
        <v>2.5011133186924366E-2</v>
      </c>
      <c r="CG22" s="33">
        <f>'Günlük taslak'!AN6</f>
        <v>2.5024844646748073E-2</v>
      </c>
      <c r="CH22" s="33">
        <f>'Günlük taslak'!AO6</f>
        <v>2.5050580654265259E-2</v>
      </c>
      <c r="CI22" s="33">
        <f>'Günlük taslak'!AP6</f>
        <v>2.5076351951623117E-2</v>
      </c>
      <c r="CJ22" s="22">
        <f>'Günlük taslak'!AQ6</f>
        <v>2.5000000000000001E-2</v>
      </c>
      <c r="CK22" s="33">
        <f>'Günlük taslak'!AR17</f>
        <v>2.5314242726610869E-2</v>
      </c>
      <c r="CM22" s="14" t="s">
        <v>15</v>
      </c>
      <c r="CN22" s="33">
        <f>'Günlük taslak'!AL47</f>
        <v>2.5005137572765568E-2</v>
      </c>
      <c r="CO22" s="33">
        <f>'Günlük taslak'!AM47</f>
        <v>2.5011133186924366E-2</v>
      </c>
      <c r="CP22" s="33">
        <f>'Günlük taslak'!AN47</f>
        <v>2.5024844646748073E-2</v>
      </c>
      <c r="CQ22" s="33">
        <f>'Günlük taslak'!AO47</f>
        <v>2.5050580654265259E-2</v>
      </c>
      <c r="CR22" s="33">
        <f>'Günlük taslak'!AP47</f>
        <v>2.5076351951623117E-2</v>
      </c>
      <c r="CS22" s="22">
        <f>'Günlük taslak'!AQ47</f>
        <v>2.5000000000000001E-2</v>
      </c>
      <c r="CT22" s="33">
        <f>'Günlük taslak'!AR47</f>
        <v>2.5314242726610869E-2</v>
      </c>
      <c r="CV22" s="14" t="s">
        <v>15</v>
      </c>
      <c r="CW22" s="33">
        <f>'Günlük taslak'!AL85</f>
        <v>2.5005137572765568E-2</v>
      </c>
      <c r="CX22" s="33">
        <f>'Günlük taslak'!AM85</f>
        <v>2.5011133186924366E-2</v>
      </c>
      <c r="CY22" s="33">
        <f>'Günlük taslak'!AN85</f>
        <v>2.5024844646748073E-2</v>
      </c>
      <c r="CZ22" s="33">
        <f>'Günlük taslak'!AO85</f>
        <v>2.5050580654265259E-2</v>
      </c>
      <c r="DA22" s="33">
        <f>'Günlük taslak'!AP85</f>
        <v>2.5076351951623117E-2</v>
      </c>
      <c r="DB22" s="22">
        <f>'Günlük taslak'!AQ85</f>
        <v>2.5000000000000001E-2</v>
      </c>
      <c r="DC22" s="33">
        <f>'Günlük taslak'!AR85</f>
        <v>2.5314242726610869E-2</v>
      </c>
    </row>
    <row r="23" spans="1:116" x14ac:dyDescent="0.35">
      <c r="A23" s="14" t="s">
        <v>17</v>
      </c>
      <c r="B23" s="22">
        <v>0.04</v>
      </c>
      <c r="C23" s="33">
        <f>'Günlük taslak'!C39</f>
        <v>3.0416463127971544E-2</v>
      </c>
      <c r="D23" s="22">
        <v>5.4800000000000001E-2</v>
      </c>
      <c r="E23" s="33">
        <f>'Günlük taslak'!E39</f>
        <v>3.0474812798236512E-2</v>
      </c>
      <c r="F23" s="33">
        <f>'Günlük taslak'!F39</f>
        <v>3.0512947329474491E-2</v>
      </c>
      <c r="G23" s="22">
        <v>3.04E-2</v>
      </c>
      <c r="H23" s="33">
        <f>'Günlük taslak'!H40</f>
        <v>3.0865493238620978E-2</v>
      </c>
      <c r="J23" s="14" t="s">
        <v>17</v>
      </c>
      <c r="K23" s="15">
        <v>3.8600000000000002E-2</v>
      </c>
      <c r="L23" s="33">
        <f>'Günlük taslak'!C83</f>
        <v>3.0816899292500168E-2</v>
      </c>
      <c r="M23" s="15">
        <v>5.4800000000000001E-2</v>
      </c>
      <c r="N23" s="33">
        <f>'Günlük taslak'!E83</f>
        <v>3.087679613673544E-2</v>
      </c>
      <c r="O23" s="33">
        <f>'Günlük taslak'!F83</f>
        <v>3.0915942913661267E-2</v>
      </c>
      <c r="P23" s="15">
        <v>3.0800000000000001E-2</v>
      </c>
      <c r="Q23" s="33">
        <f>'Günlük taslak'!H84</f>
        <v>3.127788733589032E-2</v>
      </c>
      <c r="S23" s="14" t="s">
        <v>17</v>
      </c>
      <c r="T23" s="22">
        <v>3.8600000000000002E-2</v>
      </c>
      <c r="U23" s="33">
        <f>'Günlük taslak'!L19</f>
        <v>3.2318585715067308E-2</v>
      </c>
      <c r="V23" s="22">
        <v>5.4800000000000001E-2</v>
      </c>
      <c r="W23" s="33">
        <f>'Günlük taslak'!N19</f>
        <v>3.2384465142249297E-2</v>
      </c>
      <c r="X23" s="33">
        <f>'Günlük taslak'!O29</f>
        <v>3.2427526440872788E-2</v>
      </c>
      <c r="Y23" s="22">
        <v>3.2300000000000002E-2</v>
      </c>
      <c r="Z23" s="33">
        <f>'Günlük taslak'!Q20</f>
        <v>3.2825831032744723E-2</v>
      </c>
      <c r="AB23" s="14" t="s">
        <v>17</v>
      </c>
      <c r="AC23" s="22">
        <v>3.8600000000000002E-2</v>
      </c>
      <c r="AD23" s="33">
        <f>'Günlük taslak'!L61</f>
        <v>3.1517676306815581E-2</v>
      </c>
      <c r="AE23" s="22">
        <v>5.4800000000000001E-2</v>
      </c>
      <c r="AF23" s="33">
        <f>'Günlük taslak'!N61</f>
        <v>3.1580329518414073E-2</v>
      </c>
      <c r="AG23" s="33">
        <f>'Günlük taslak'!O61</f>
        <v>3.1621279764769708E-2</v>
      </c>
      <c r="AH23" s="22">
        <v>3.15E-2</v>
      </c>
      <c r="AI23" s="33">
        <f>'Günlük taslak'!Q62</f>
        <v>3.1999972932999388E-2</v>
      </c>
      <c r="AK23" s="14" t="s">
        <v>17</v>
      </c>
      <c r="AL23" s="10" t="s">
        <v>37</v>
      </c>
      <c r="AM23" s="33">
        <f>'Günlük taslak'!L103</f>
        <v>3.1117230159457634E-2</v>
      </c>
      <c r="AN23" s="10" t="s">
        <v>27</v>
      </c>
      <c r="AO23" s="33">
        <f>'Günlük taslak'!N103</f>
        <v>3.1178300696434385E-2</v>
      </c>
      <c r="AP23" s="33">
        <f>'Günlük taslak'!O103</f>
        <v>3.1218215395197819E-2</v>
      </c>
      <c r="AQ23" s="10" t="s">
        <v>28</v>
      </c>
      <c r="AR23" s="33">
        <f>'Günlük taslak'!Q104</f>
        <v>3.1587290874597329E-2</v>
      </c>
      <c r="AT23" s="21" t="s">
        <v>17</v>
      </c>
      <c r="AU23" s="20">
        <f>'Günlük taslak'!T40</f>
        <v>3.8600000000000002E-2</v>
      </c>
      <c r="AV23" s="33">
        <f>'Günlük taslak'!U40</f>
        <v>3.121734116151758E-2</v>
      </c>
      <c r="AW23" s="20">
        <f>'Günlük taslak'!V40</f>
        <v>5.4800000000000001E-2</v>
      </c>
      <c r="AX23" s="33">
        <f>'Günlük taslak'!W40</f>
        <v>3.1278805465217829E-2</v>
      </c>
      <c r="AY23" s="20">
        <f>'Günlük taslak'!X40</f>
        <v>3.1318977802404467E-2</v>
      </c>
      <c r="AZ23" s="20">
        <f>'Günlük taslak'!Y40</f>
        <v>3.1199999999999999E-2</v>
      </c>
      <c r="BA23" s="33">
        <f>'Günlük taslak'!Z40</f>
        <v>3.1690445957877067E-2</v>
      </c>
      <c r="BC23" s="14" t="s">
        <v>17</v>
      </c>
      <c r="BD23" s="22">
        <f>'Günlük taslak'!T95</f>
        <v>3.7600000000000001E-2</v>
      </c>
      <c r="BE23" s="33">
        <f>'Günlük taslak'!U95</f>
        <v>2.97157135659997E-2</v>
      </c>
      <c r="BF23" s="22">
        <f>'Günlük taslak'!V95</f>
        <v>5.4800000000000001E-2</v>
      </c>
      <c r="BG23" s="33">
        <f>'Günlük taslak'!W95</f>
        <v>2.9771404489047876E-2</v>
      </c>
      <c r="BH23" s="33">
        <f>'Günlük taslak'!X95</f>
        <v>2.9807799622090583E-2</v>
      </c>
      <c r="BI23" s="22">
        <f>'Günlük taslak'!Y95</f>
        <v>2.9700000000000001E-2</v>
      </c>
      <c r="BJ23" s="33">
        <f>'Günlük taslak'!Z95</f>
        <v>3.0144199258958837E-2</v>
      </c>
      <c r="BL23" s="14" t="s">
        <v>17</v>
      </c>
      <c r="BM23" s="22">
        <f>'Günlük taslak'!AC30</f>
        <v>3.8600000000000002E-2</v>
      </c>
      <c r="BN23" s="33">
        <f>'Günlük taslak'!AD30</f>
        <v>2.9815819576702873E-2</v>
      </c>
      <c r="BO23" s="22">
        <f>'Günlük taslak'!AE30</f>
        <v>5.4800000000000001E-2</v>
      </c>
      <c r="BP23" s="33">
        <f>'Günlük taslak'!AF30</f>
        <v>2.9871886517863155E-2</v>
      </c>
      <c r="BQ23" s="33">
        <f>'Günlük taslak'!AG30</f>
        <v>2.9908527640715526E-2</v>
      </c>
      <c r="BR23" s="22">
        <f>'Daily Data'!BR36</f>
        <v>2.98E-2</v>
      </c>
      <c r="BS23" s="33">
        <f>'Günlük taslak'!AI30</f>
        <v>3.0247210433201888E-2</v>
      </c>
      <c r="BU23" s="14" t="s">
        <v>17</v>
      </c>
      <c r="BV23" s="22">
        <f>'Günlük taslak'!AC72</f>
        <v>3.7600000000000001E-2</v>
      </c>
      <c r="BW23" s="33">
        <f>'Günlük taslak'!AD72</f>
        <v>3.0616680497176203E-2</v>
      </c>
      <c r="BX23" s="22">
        <f>'Günlük taslak'!AE72</f>
        <v>5.4800000000000001E-2</v>
      </c>
      <c r="BY23" s="33">
        <f>'Günlük taslak'!AF72</f>
        <v>3.0675801218832937E-2</v>
      </c>
      <c r="BZ23" s="33">
        <f>'Günlük taslak'!AG72</f>
        <v>3.071444020872649E-2</v>
      </c>
      <c r="CA23" s="22">
        <f>'Günlük taslak'!AH72</f>
        <v>3.0599999999999999E-2</v>
      </c>
      <c r="CB23" s="33">
        <f>'Günlük taslak'!AI72</f>
        <v>3.1071669725747597E-2</v>
      </c>
      <c r="CD23" s="14" t="s">
        <v>17</v>
      </c>
      <c r="CE23" s="22">
        <f>'Günlük taslak'!AL8</f>
        <v>3.7600000000000001E-2</v>
      </c>
      <c r="CF23" s="33">
        <f>'Günlük taslak'!AM8</f>
        <v>3.0816899292500168E-2</v>
      </c>
      <c r="CG23" s="22">
        <f>'Günlük taslak'!AN8</f>
        <v>5.4800000000000001E-2</v>
      </c>
      <c r="CH23" s="33">
        <f>'Günlük taslak'!AO8</f>
        <v>3.087679613673544E-2</v>
      </c>
      <c r="CI23" s="33">
        <f>'Günlük taslak'!AP8</f>
        <v>3.0915942913661267E-2</v>
      </c>
      <c r="CJ23" s="22">
        <f>'Günlük taslak'!AQ8</f>
        <v>3.0800000000000001E-2</v>
      </c>
      <c r="CK23" s="33">
        <f>'Günlük taslak'!AR19</f>
        <v>3.127788733589032E-2</v>
      </c>
      <c r="CM23" s="14" t="s">
        <v>17</v>
      </c>
      <c r="CN23" s="22">
        <f>'Günlük taslak'!AL49</f>
        <v>3.7499999999999999E-2</v>
      </c>
      <c r="CO23" s="13">
        <f>'Günlük taslak'!AM49</f>
        <v>2.8114065879042336E-2</v>
      </c>
      <c r="CP23" s="22">
        <f>'Günlük taslak'!AN49</f>
        <v>5.4800000000000001E-2</v>
      </c>
      <c r="CQ23" s="33">
        <f>'Günlük taslak'!AO49</f>
        <v>2.8163912885332154E-2</v>
      </c>
      <c r="CR23" s="33">
        <f>'Günlük taslak'!AP49</f>
        <v>2.8196485282603719E-2</v>
      </c>
      <c r="CS23" s="22">
        <f>'Günlük taslak'!AQ49</f>
        <v>2.81E-2</v>
      </c>
      <c r="CT23" s="33">
        <f>'Günlük taslak'!AR49</f>
        <v>2.8497416706523726E-2</v>
      </c>
      <c r="CV23" s="14" t="s">
        <v>17</v>
      </c>
      <c r="CW23" s="22">
        <f>'Günlük taslak'!AL87</f>
        <v>3.5700000000000003E-2</v>
      </c>
      <c r="CX23" s="33">
        <f>'Günlük taslak'!AM87</f>
        <v>2.7113082419203485E-2</v>
      </c>
      <c r="CY23" s="22">
        <f>'Günlük taslak'!AN87</f>
        <v>5.4800000000000001E-2</v>
      </c>
      <c r="CZ23" s="33">
        <f>'Günlük taslak'!AO87</f>
        <v>2.715944171711478E-2</v>
      </c>
      <c r="DA23" s="33">
        <f>'Günlük taslak'!AP87</f>
        <v>2.7189732976884338E-2</v>
      </c>
      <c r="DB23" s="22">
        <f>'Günlük taslak'!AQ87</f>
        <v>2.7099999999999999E-2</v>
      </c>
      <c r="DC23" s="33">
        <f>'Günlük taslak'!AR87</f>
        <v>2.7469511054885043E-2</v>
      </c>
    </row>
    <row r="24" spans="1:116" x14ac:dyDescent="0.35">
      <c r="J24" s="25"/>
      <c r="K24" s="23"/>
      <c r="L24" s="23"/>
      <c r="M24" s="23"/>
      <c r="N24" s="23"/>
      <c r="O24" s="23"/>
      <c r="P24" s="23"/>
      <c r="Q24" s="23"/>
      <c r="AT24" s="41"/>
      <c r="AU24" s="42"/>
      <c r="AV24" s="42"/>
      <c r="AW24" s="42"/>
      <c r="AX24" s="42"/>
      <c r="AY24" s="42"/>
      <c r="AZ24" s="42"/>
      <c r="BA24" s="42"/>
      <c r="BL24" s="25"/>
      <c r="BM24" s="23"/>
      <c r="BN24" s="23"/>
      <c r="BO24" s="23"/>
      <c r="BP24" s="23"/>
      <c r="BQ24" s="23"/>
      <c r="BR24" s="23"/>
      <c r="BS24" s="23"/>
    </row>
    <row r="25" spans="1:116" x14ac:dyDescent="0.35">
      <c r="J25" s="43"/>
      <c r="K25" s="44"/>
      <c r="L25" s="44"/>
      <c r="M25" s="44"/>
      <c r="N25" s="44"/>
      <c r="O25" s="44"/>
      <c r="P25" s="44"/>
      <c r="Q25" s="44"/>
    </row>
    <row r="26" spans="1:116" x14ac:dyDescent="0.35">
      <c r="B26" s="46"/>
      <c r="J26" s="25"/>
      <c r="K26" s="23"/>
      <c r="L26" s="23"/>
      <c r="M26" s="23"/>
      <c r="N26" s="23"/>
      <c r="O26" s="23"/>
      <c r="P26" s="23"/>
      <c r="Q26" s="23"/>
    </row>
    <row r="27" spans="1:116" x14ac:dyDescent="0.35">
      <c r="B27" s="46"/>
      <c r="J27" s="25"/>
      <c r="K27" s="23"/>
      <c r="L27" s="23"/>
      <c r="M27" s="23"/>
      <c r="N27" s="23"/>
      <c r="O27" s="23"/>
      <c r="P27" s="23"/>
      <c r="Q27" s="23"/>
    </row>
    <row r="28" spans="1:116" x14ac:dyDescent="0.35">
      <c r="J28" s="25"/>
      <c r="K28" s="23"/>
      <c r="L28" s="23"/>
      <c r="M28" s="23"/>
      <c r="N28" s="23"/>
      <c r="O28" s="23"/>
      <c r="P28" s="23"/>
      <c r="Q28" s="23"/>
    </row>
    <row r="29" spans="1:116" x14ac:dyDescent="0.35">
      <c r="J29" s="25"/>
      <c r="K29" s="23"/>
      <c r="L29" s="23"/>
      <c r="M29" s="23"/>
      <c r="N29" s="23"/>
      <c r="O29" s="23"/>
      <c r="P29" s="23"/>
      <c r="Q29" s="23"/>
    </row>
    <row r="48" spans="46:53" x14ac:dyDescent="0.35">
      <c r="AT48" s="25"/>
      <c r="AU48" s="23"/>
      <c r="AV48" s="23"/>
      <c r="AW48" s="23"/>
      <c r="AX48" s="23"/>
      <c r="AY48" s="23"/>
      <c r="AZ48" s="23"/>
      <c r="BA48" s="23"/>
    </row>
    <row r="54" spans="1:8" x14ac:dyDescent="0.35">
      <c r="A54" s="25"/>
      <c r="B54" s="23"/>
      <c r="C54" s="23"/>
      <c r="D54" s="23"/>
      <c r="E54" s="23"/>
      <c r="F54" s="23"/>
      <c r="G54" s="23"/>
      <c r="H54" s="23"/>
    </row>
    <row r="72" spans="1:8" x14ac:dyDescent="0.35">
      <c r="A72" s="25"/>
      <c r="B72" s="23"/>
      <c r="C72" s="23"/>
      <c r="D72" s="23"/>
      <c r="E72" s="23"/>
      <c r="F72" s="23"/>
      <c r="G72" s="23"/>
      <c r="H72" s="23"/>
    </row>
    <row r="96" spans="1:8" x14ac:dyDescent="0.35">
      <c r="A96" s="25"/>
      <c r="B96" s="23"/>
      <c r="C96" s="23"/>
      <c r="D96" s="23"/>
      <c r="E96" s="23"/>
      <c r="F96" s="23"/>
      <c r="G96" s="23"/>
      <c r="H96" s="23"/>
    </row>
    <row r="150" spans="1:8" x14ac:dyDescent="0.35">
      <c r="A150" s="41"/>
      <c r="B150" s="42"/>
      <c r="C150" s="42"/>
      <c r="D150" s="42"/>
      <c r="E150" s="42"/>
      <c r="F150" s="42"/>
      <c r="G150" s="42"/>
      <c r="H150" s="42"/>
    </row>
    <row r="174" spans="1:8" x14ac:dyDescent="0.35">
      <c r="A174" s="25"/>
      <c r="B174" s="23"/>
      <c r="C174" s="23"/>
      <c r="D174" s="23"/>
      <c r="E174" s="23"/>
      <c r="F174" s="23"/>
      <c r="G174" s="23"/>
      <c r="H174" s="23"/>
    </row>
    <row r="198" spans="1:8" x14ac:dyDescent="0.35">
      <c r="A198" s="25"/>
      <c r="B198" s="23"/>
      <c r="C198" s="23"/>
      <c r="D198" s="23"/>
      <c r="E198" s="23"/>
      <c r="F198" s="23"/>
      <c r="G198" s="23"/>
      <c r="H198" s="23"/>
    </row>
    <row r="216" spans="1:8" x14ac:dyDescent="0.35">
      <c r="A216" s="25"/>
      <c r="B216" s="23"/>
      <c r="C216" s="23"/>
      <c r="D216" s="23"/>
      <c r="E216" s="23"/>
      <c r="F216" s="23"/>
      <c r="G216" s="23"/>
      <c r="H216" s="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876AE-A1D0-4504-93FB-F23D7E286EC6}">
  <sheetPr>
    <pageSetUpPr fitToPage="1"/>
  </sheetPr>
  <dimension ref="A1:K9"/>
  <sheetViews>
    <sheetView zoomScale="70" zoomScaleNormal="70" workbookViewId="0">
      <selection sqref="A1:K9"/>
    </sheetView>
  </sheetViews>
  <sheetFormatPr defaultRowHeight="14.5" x14ac:dyDescent="0.35"/>
  <cols>
    <col min="1" max="9" width="23.54296875" customWidth="1"/>
    <col min="10" max="10" width="20.7265625" hidden="1" customWidth="1"/>
    <col min="11" max="11" width="18.81640625" bestFit="1" customWidth="1"/>
  </cols>
  <sheetData>
    <row r="1" spans="1:11" ht="30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30" customHeight="1" x14ac:dyDescent="0.35">
      <c r="A2" s="49">
        <v>46104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30" customHeight="1" x14ac:dyDescent="0.4">
      <c r="A3" s="50" t="s">
        <v>16</v>
      </c>
      <c r="B3" s="54">
        <v>0.03</v>
      </c>
      <c r="C3" s="54">
        <v>3.5000000000000003E-2</v>
      </c>
      <c r="D3" s="54">
        <v>3.5000000000000003E-2</v>
      </c>
      <c r="E3" s="54">
        <v>4.3999999999999997E-2</v>
      </c>
      <c r="F3" s="54">
        <v>5.7500000000000002E-2</v>
      </c>
      <c r="G3" s="54">
        <v>6.8400000000000002E-2</v>
      </c>
      <c r="H3" s="52">
        <v>3.3300000000000003E-2</v>
      </c>
      <c r="I3" s="73">
        <f t="shared" ref="I3:I7" si="0">((1+(H3/365))^365)-1</f>
        <v>3.3859080551566834E-2</v>
      </c>
      <c r="J3" s="74"/>
      <c r="K3" s="67">
        <f>'Daily Data'!BA31</f>
        <v>2.7300000000000005E-2</v>
      </c>
    </row>
    <row r="4" spans="1:11" ht="30" customHeight="1" x14ac:dyDescent="0.5">
      <c r="A4" s="50" t="s">
        <v>15</v>
      </c>
      <c r="B4" s="55">
        <f t="shared" ref="B4:G4" si="1">((1+$I4)^(B2/365)-1)*365/B2</f>
        <v>2.5005137572765568E-2</v>
      </c>
      <c r="C4" s="55">
        <f t="shared" si="1"/>
        <v>2.5011133186924366E-2</v>
      </c>
      <c r="D4" s="55">
        <f t="shared" si="1"/>
        <v>2.5024844646748073E-2</v>
      </c>
      <c r="E4" s="55">
        <f t="shared" si="1"/>
        <v>2.5050580654265259E-2</v>
      </c>
      <c r="F4" s="55">
        <f t="shared" si="1"/>
        <v>2.5076351951623117E-2</v>
      </c>
      <c r="G4" s="55">
        <f t="shared" si="1"/>
        <v>2.5153878127579712E-2</v>
      </c>
      <c r="H4" s="52">
        <v>2.5000000000000001E-2</v>
      </c>
      <c r="I4" s="73">
        <f t="shared" si="0"/>
        <v>2.5314242726610869E-2</v>
      </c>
      <c r="J4" s="74">
        <f>((1+(B4/(365/7)))^(365/7))-1</f>
        <v>2.5314242726608649E-2</v>
      </c>
      <c r="K4" s="67">
        <f>'Daily Data'!AI31</f>
        <v>1.3900000000000001E-2</v>
      </c>
    </row>
    <row r="5" spans="1:11" ht="30" customHeight="1" x14ac:dyDescent="0.5">
      <c r="A5" s="50" t="s">
        <v>17</v>
      </c>
      <c r="B5" s="56">
        <v>3.7600000000000001E-2</v>
      </c>
      <c r="C5" s="55">
        <f>((1+$I5)^(C2/365)-1)*365/C2</f>
        <v>3.0116139748005817E-2</v>
      </c>
      <c r="D5" s="56">
        <v>5.4800000000000001E-2</v>
      </c>
      <c r="E5" s="55">
        <f>((1+$I5)^(E2/365)-1)*365/E2</f>
        <v>3.0173342349201677E-2</v>
      </c>
      <c r="F5" s="55">
        <f>((1+$I5)^(F2/365)-1)*365/F2</f>
        <v>3.021072643257551E-2</v>
      </c>
      <c r="G5" s="55">
        <f>((1+$I5)^(G2/365)-1)*365/G2</f>
        <v>3.032324960961965E-2</v>
      </c>
      <c r="H5" s="52">
        <v>3.0099999999999998E-2</v>
      </c>
      <c r="I5" s="73">
        <f t="shared" si="0"/>
        <v>3.0556305595556443E-2</v>
      </c>
      <c r="J5" s="74">
        <f>((1+(C5/(365/7)))^(365/7))-1</f>
        <v>3.0565258128859796E-2</v>
      </c>
      <c r="K5" s="67">
        <f>'Daily Data'!BS31</f>
        <v>2.2699999999999998E-2</v>
      </c>
    </row>
    <row r="6" spans="1:11" ht="30" customHeight="1" x14ac:dyDescent="0.4">
      <c r="A6" s="50" t="s">
        <v>55</v>
      </c>
      <c r="B6" s="54">
        <v>3.7499999999999999E-2</v>
      </c>
      <c r="C6" s="51">
        <f>((1+$I6)^(C2/365)-1)*365/C2</f>
        <v>3.3720232087598924E-2</v>
      </c>
      <c r="D6" s="54">
        <v>0.06</v>
      </c>
      <c r="E6" s="51">
        <f>((1+$I6)^(E2/365)-1)*365/E2</f>
        <v>3.3791952704462558E-2</v>
      </c>
      <c r="F6" s="51">
        <f>((1+$I6)^(F2/365)-1)*365/F2</f>
        <v>3.3838836584806672E-2</v>
      </c>
      <c r="G6" s="51">
        <f>((1+$I6)^(G2/365)-1)*365/G2</f>
        <v>3.3980009211555737E-2</v>
      </c>
      <c r="H6" s="52">
        <v>3.3700000000000001E-2</v>
      </c>
      <c r="I6" s="73">
        <f t="shared" si="0"/>
        <v>3.4272668936467188E-2</v>
      </c>
      <c r="J6" s="74">
        <f>((1+(C6/(365/7)))^(365/7))-1</f>
        <v>3.4283931370700849E-2</v>
      </c>
      <c r="K6" s="67">
        <f>H6-2.3%</f>
        <v>1.0700000000000001E-2</v>
      </c>
    </row>
    <row r="7" spans="1:11" ht="30" customHeight="1" x14ac:dyDescent="0.4">
      <c r="A7" s="50" t="s">
        <v>47</v>
      </c>
      <c r="B7" s="54">
        <v>2.0299999999999999E-2</v>
      </c>
      <c r="C7" s="51">
        <f>((1+$I7)^(C2/365)-1)*365/C2</f>
        <v>1.9406703726505787E-2</v>
      </c>
      <c r="D7" s="54">
        <v>2.1299999999999999E-2</v>
      </c>
      <c r="E7" s="51">
        <f>((1+$I7)^(E2/365)-1)*365/E2</f>
        <v>1.9430449417742801E-2</v>
      </c>
      <c r="F7" s="51">
        <f>((1+$I7)^(F2/365)-1)*365/F2</f>
        <v>1.9445956607754205E-2</v>
      </c>
      <c r="G7" s="51">
        <f>((1+$I7)^(G2/365)-1)*365/G2</f>
        <v>1.9492577252350159E-2</v>
      </c>
      <c r="H7" s="52">
        <v>1.9400000000000001E-2</v>
      </c>
      <c r="I7" s="73">
        <f t="shared" si="0"/>
        <v>1.9588877179833375E-2</v>
      </c>
      <c r="J7" s="74">
        <f>((1+(C7/(365/7)))^(365/7))-1</f>
        <v>1.9592556617249457E-2</v>
      </c>
      <c r="K7" s="67">
        <f>H7-0.75%</f>
        <v>1.1900000000000001E-2</v>
      </c>
    </row>
    <row r="8" spans="1:11" ht="30" customHeight="1" x14ac:dyDescent="0.4">
      <c r="A8" s="50" t="s">
        <v>57</v>
      </c>
      <c r="B8" s="51">
        <f t="shared" ref="B8:G8" si="2">((1+$I8)^(B2/365)-1)*365/B2</f>
        <v>2.8806818211650764E-2</v>
      </c>
      <c r="C8" s="51">
        <f t="shared" si="2"/>
        <v>2.8814775512232469E-2</v>
      </c>
      <c r="D8" s="51">
        <f t="shared" si="2"/>
        <v>2.8832974634983022E-2</v>
      </c>
      <c r="E8" s="51">
        <f t="shared" si="2"/>
        <v>2.8867139310035983E-2</v>
      </c>
      <c r="F8" s="51">
        <f t="shared" si="2"/>
        <v>2.8901357961484207E-2</v>
      </c>
      <c r="G8" s="51">
        <f t="shared" si="2"/>
        <v>2.9004338734472852E-2</v>
      </c>
      <c r="H8" s="52">
        <v>2.8799999999999999E-2</v>
      </c>
      <c r="I8" s="73">
        <f>((1+(H8/365))^365)-1</f>
        <v>2.9217560787452745E-2</v>
      </c>
      <c r="J8" s="74">
        <f t="shared" ref="J8:J9" si="3">((1+(B8/(365/7)))^(365/7))-1</f>
        <v>2.9217560787458297E-2</v>
      </c>
      <c r="K8" s="67">
        <f>'Daily Data'!Q31</f>
        <v>2.1399999999999999E-2</v>
      </c>
    </row>
    <row r="9" spans="1:11" ht="30" customHeight="1" x14ac:dyDescent="0.5">
      <c r="A9" s="50" t="s">
        <v>56</v>
      </c>
      <c r="B9" s="55">
        <f t="shared" ref="B9:G9" si="4">((1+$I9)^(B2/365)-1)*365/B2</f>
        <v>3.1107950800242885E-2</v>
      </c>
      <c r="C9" s="55">
        <f t="shared" si="4"/>
        <v>3.1117230159457634E-2</v>
      </c>
      <c r="D9" s="55">
        <f t="shared" si="4"/>
        <v>3.1138453984796127E-2</v>
      </c>
      <c r="E9" s="55">
        <f t="shared" si="4"/>
        <v>3.1178300696434385E-2</v>
      </c>
      <c r="F9" s="55">
        <f t="shared" si="4"/>
        <v>3.1218215395197819E-2</v>
      </c>
      <c r="G9" s="55">
        <f t="shared" si="4"/>
        <v>3.1338368720569248E-2</v>
      </c>
      <c r="H9" s="52">
        <v>3.1099999999999999E-2</v>
      </c>
      <c r="I9" s="73">
        <f>((1+(H9/365))^365)-1</f>
        <v>3.1587290874597329E-2</v>
      </c>
      <c r="J9" s="74">
        <f t="shared" si="3"/>
        <v>3.1587290874592E-2</v>
      </c>
      <c r="K9" s="68"/>
    </row>
  </sheetData>
  <conditionalFormatting sqref="A1:J9">
    <cfRule type="expression" dxfId="222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pageSetup paperSize="9" scale="56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590F1-262D-489A-9544-B033D95BF3B8}">
  <sheetPr>
    <pageSetUpPr fitToPage="1"/>
  </sheetPr>
  <dimension ref="A1:K9"/>
  <sheetViews>
    <sheetView zoomScale="70" zoomScaleNormal="70" workbookViewId="0">
      <selection activeCell="B3" sqref="B3"/>
    </sheetView>
  </sheetViews>
  <sheetFormatPr defaultRowHeight="14.5" x14ac:dyDescent="0.35"/>
  <cols>
    <col min="1" max="9" width="23.54296875" customWidth="1"/>
    <col min="10" max="10" width="7.81640625" hidden="1" customWidth="1"/>
    <col min="11" max="11" width="18.81640625" bestFit="1" customWidth="1"/>
  </cols>
  <sheetData>
    <row r="1" spans="1:11" ht="30" customHeight="1" x14ac:dyDescent="0.35">
      <c r="A1" s="48" t="s">
        <v>14</v>
      </c>
      <c r="B1" s="11"/>
      <c r="C1" s="11"/>
      <c r="D1" s="11"/>
      <c r="E1" s="11"/>
      <c r="F1" s="11"/>
      <c r="G1" s="11"/>
      <c r="H1" s="11"/>
      <c r="I1" s="11"/>
    </row>
    <row r="2" spans="1:11" ht="30" customHeight="1" x14ac:dyDescent="0.35">
      <c r="A2" s="49">
        <v>46105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K2" s="60" t="s">
        <v>59</v>
      </c>
    </row>
    <row r="3" spans="1:11" ht="30" customHeight="1" x14ac:dyDescent="0.4">
      <c r="A3" s="50" t="s">
        <v>16</v>
      </c>
      <c r="B3" s="54">
        <v>0.03</v>
      </c>
      <c r="C3" s="54">
        <v>3.5000000000000003E-2</v>
      </c>
      <c r="D3" s="54">
        <v>3.49E-2</v>
      </c>
      <c r="E3" s="54">
        <v>4.2900000000000001E-2</v>
      </c>
      <c r="F3" s="54">
        <v>0.06</v>
      </c>
      <c r="G3" s="54">
        <v>6.8699999999999997E-2</v>
      </c>
      <c r="H3" s="52">
        <v>3.3300000000000003E-2</v>
      </c>
      <c r="I3" s="53">
        <f>((1+(H3/365))^365)-1</f>
        <v>3.3859080551566834E-2</v>
      </c>
      <c r="J3" s="64"/>
      <c r="K3" s="61">
        <f>'Daily Data'!BA32</f>
        <v>2.7300000000000005E-2</v>
      </c>
    </row>
    <row r="4" spans="1:11" ht="30" customHeight="1" x14ac:dyDescent="0.5">
      <c r="A4" s="50" t="s">
        <v>15</v>
      </c>
      <c r="B4" s="55">
        <f>((1+$I4)^(B2/365)-1)*365/B2</f>
        <v>2.5005137572765568E-2</v>
      </c>
      <c r="C4" s="55">
        <f t="shared" ref="C4:F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>((1+$I4)^(G2/365)-1)*365/G2</f>
        <v>2.5153878127579712E-2</v>
      </c>
      <c r="H4" s="52">
        <v>2.5000000000000001E-2</v>
      </c>
      <c r="I4" s="53">
        <f>((1+(H4/365))^365)-1</f>
        <v>2.5314242726610869E-2</v>
      </c>
      <c r="J4" s="65">
        <f>((1+(B4/(365/7)))^(365/7))-1</f>
        <v>2.5314242726608649E-2</v>
      </c>
      <c r="K4" s="61">
        <f>'Daily Data'!AI32</f>
        <v>1.4000000000000002E-2</v>
      </c>
    </row>
    <row r="5" spans="1:11" ht="30" customHeight="1" x14ac:dyDescent="0.5">
      <c r="A5" s="50" t="s">
        <v>17</v>
      </c>
      <c r="B5" s="56">
        <v>3.7600000000000001E-2</v>
      </c>
      <c r="C5" s="55">
        <f>((1+$I5)^(C2/365)-1)*365/C2</f>
        <v>2.97157135659997E-2</v>
      </c>
      <c r="D5" s="56">
        <v>5.4800000000000001E-2</v>
      </c>
      <c r="E5" s="55">
        <f>((1+$I5)^(E2/365)-1)*365/E2</f>
        <v>2.9771404489047876E-2</v>
      </c>
      <c r="F5" s="55">
        <f>((1+$I5)^(F2/365)-1)*365/F2</f>
        <v>2.9807799622090583E-2</v>
      </c>
      <c r="G5" s="55">
        <f>((1+$I5)^(G2/365)-1)*365/G2</f>
        <v>2.991734132434765E-2</v>
      </c>
      <c r="H5" s="52">
        <v>2.9700000000000001E-2</v>
      </c>
      <c r="I5" s="53">
        <f t="shared" ref="I5:I7" si="1">((1+(H5/365))^365)-1</f>
        <v>3.0144199258958837E-2</v>
      </c>
      <c r="J5" s="65">
        <f>((1+(C5/(365/14)))^(365/14))-1</f>
        <v>3.0144199258957505E-2</v>
      </c>
      <c r="K5" s="61">
        <f>'Daily Data'!BS32</f>
        <v>2.2499999999999999E-2</v>
      </c>
    </row>
    <row r="6" spans="1:11" ht="30" customHeight="1" x14ac:dyDescent="0.4">
      <c r="A6" s="50" t="s">
        <v>55</v>
      </c>
      <c r="B6" s="54">
        <v>3.7499999999999999E-2</v>
      </c>
      <c r="C6" s="51">
        <f>((1+$I6)^(C2/365)-1)*365/C2</f>
        <v>3.3720232087598924E-2</v>
      </c>
      <c r="D6" s="54">
        <v>0.06</v>
      </c>
      <c r="E6" s="51">
        <f>((1+$I6)^(E2/365)-1)*365/E2</f>
        <v>3.3791952704462558E-2</v>
      </c>
      <c r="F6" s="51">
        <f>((1+$I6)^(F2/365)-1)*365/F2</f>
        <v>3.3838836584806672E-2</v>
      </c>
      <c r="G6" s="51">
        <f>((1+$I6)^(G2/365)-1)*365/G2</f>
        <v>3.3980009211555737E-2</v>
      </c>
      <c r="H6" s="52">
        <v>3.3700000000000001E-2</v>
      </c>
      <c r="I6" s="53">
        <f t="shared" si="1"/>
        <v>3.4272668936467188E-2</v>
      </c>
      <c r="J6" s="65">
        <f>((1+(C6/(365/14)))^(365/14))-1</f>
        <v>3.4272668936464523E-2</v>
      </c>
      <c r="K6" s="61">
        <f>H6-2.3%</f>
        <v>1.0700000000000001E-2</v>
      </c>
    </row>
    <row r="7" spans="1:11" ht="30" customHeight="1" x14ac:dyDescent="0.4">
      <c r="A7" s="50" t="s">
        <v>47</v>
      </c>
      <c r="B7" s="54">
        <v>2.01E-2</v>
      </c>
      <c r="C7" s="51">
        <f>((1+$I7)^(C2/365)-1)*365/C2</f>
        <v>1.9206566203437019E-2</v>
      </c>
      <c r="D7" s="54">
        <v>2.1100000000000001E-2</v>
      </c>
      <c r="E7" s="51">
        <f>((1+$I7)^(E2/365)-1)*365/E2</f>
        <v>1.9229824514799581E-2</v>
      </c>
      <c r="F7" s="51">
        <f>((1+$I7)^(F2/365)-1)*365/F2</f>
        <v>1.924501320911419E-2</v>
      </c>
      <c r="G7" s="51">
        <f>((1+$I7)^(G2/365)-1)*365/G2</f>
        <v>1.9290675329672449E-2</v>
      </c>
      <c r="H7" s="52">
        <v>1.9199999999999998E-2</v>
      </c>
      <c r="I7" s="53">
        <f t="shared" si="1"/>
        <v>1.9384990574597305E-2</v>
      </c>
      <c r="J7" s="65">
        <f>((1+(C7/(365/14)))^(365/14))-1</f>
        <v>1.9384990574598193E-2</v>
      </c>
      <c r="K7" s="61">
        <f>H7-0.75%</f>
        <v>1.1699999999999999E-2</v>
      </c>
    </row>
    <row r="8" spans="1:11" ht="30" customHeight="1" x14ac:dyDescent="0.4">
      <c r="A8" s="50" t="s">
        <v>57</v>
      </c>
      <c r="B8" s="51">
        <f t="shared" ref="B8:G8" si="2">((1+$I8)^(B2/365)-1)*365/B2</f>
        <v>2.9207008934516918E-2</v>
      </c>
      <c r="C8" s="51">
        <f t="shared" si="2"/>
        <v>2.9215188859992698E-2</v>
      </c>
      <c r="D8" s="51">
        <f t="shared" si="2"/>
        <v>2.9233897304799861E-2</v>
      </c>
      <c r="E8" s="51">
        <f t="shared" si="2"/>
        <v>2.9269018705551892E-2</v>
      </c>
      <c r="F8" s="51">
        <f t="shared" si="2"/>
        <v>2.9304196365779224E-2</v>
      </c>
      <c r="G8" s="51">
        <f t="shared" si="2"/>
        <v>2.9410067918132683E-2</v>
      </c>
      <c r="H8" s="52">
        <v>2.92E-2</v>
      </c>
      <c r="I8" s="53">
        <f>((1+(H8/365))^365)-1</f>
        <v>2.9629297440349367E-2</v>
      </c>
      <c r="J8" s="65">
        <f>((1+(B8/(365/7)))^(365/7))-1</f>
        <v>2.9629297440347369E-2</v>
      </c>
      <c r="K8" s="61">
        <f>'Daily Data'!Q32</f>
        <v>2.1600000000000001E-2</v>
      </c>
    </row>
    <row r="9" spans="1:11" ht="30" customHeight="1" x14ac:dyDescent="0.5">
      <c r="A9" s="50" t="s">
        <v>56</v>
      </c>
      <c r="B9" s="55">
        <f>((1+$I9)^(B2/365)-1)*365/B2</f>
        <v>3.1107950800242885E-2</v>
      </c>
      <c r="C9" s="55">
        <f t="shared" ref="C9:G9" si="3">((1+$I9)^(C2/365)-1)*365/C2</f>
        <v>3.1117230159457634E-2</v>
      </c>
      <c r="D9" s="55">
        <f t="shared" si="3"/>
        <v>3.1138453984796127E-2</v>
      </c>
      <c r="E9" s="55">
        <f t="shared" si="3"/>
        <v>3.1178300696434385E-2</v>
      </c>
      <c r="F9" s="55">
        <f t="shared" si="3"/>
        <v>3.1218215395197819E-2</v>
      </c>
      <c r="G9" s="55">
        <f t="shared" si="3"/>
        <v>3.1338368720569248E-2</v>
      </c>
      <c r="H9" s="52">
        <v>3.1099999999999999E-2</v>
      </c>
      <c r="I9" s="53">
        <f>((1+(H9/365))^365)-1</f>
        <v>3.1587290874597329E-2</v>
      </c>
      <c r="J9" s="65">
        <f t="shared" ref="J9" si="4">((1+(B9/(365/7)))^(365/7))-1</f>
        <v>3.1587290874592E-2</v>
      </c>
      <c r="K9" s="62"/>
    </row>
  </sheetData>
  <conditionalFormatting sqref="A1:I9">
    <cfRule type="expression" dxfId="221" priority="1">
      <formula>_xlfn.ISFORMULA(A1)</formula>
    </cfRule>
  </conditionalFormatting>
  <pageMargins left="0.7" right="0.7" top="0.75" bottom="0.75" header="0.3" footer="0.3"/>
  <pageSetup paperSize="9" scale="56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81B64-CCFF-4E0D-B244-59EC9B6E1E9A}">
  <dimension ref="A1:K23"/>
  <sheetViews>
    <sheetView zoomScale="70" zoomScaleNormal="70" workbookViewId="0">
      <selection activeCell="M4" sqref="M4"/>
    </sheetView>
  </sheetViews>
  <sheetFormatPr defaultRowHeight="14.5" x14ac:dyDescent="0.35"/>
  <cols>
    <col min="1" max="9" width="23.54296875" customWidth="1"/>
    <col min="10" max="10" width="23.54296875" hidden="1" customWidth="1"/>
    <col min="11" max="11" width="23.54296875" customWidth="1"/>
  </cols>
  <sheetData>
    <row r="1" spans="1:11" ht="30" customHeight="1" x14ac:dyDescent="0.35">
      <c r="A1" s="48" t="s">
        <v>14</v>
      </c>
      <c r="B1" s="11"/>
      <c r="C1" s="11"/>
      <c r="D1" s="11"/>
      <c r="E1" s="11"/>
      <c r="F1" s="11"/>
      <c r="G1" s="11"/>
      <c r="H1" s="11"/>
      <c r="I1" s="11"/>
    </row>
    <row r="2" spans="1:11" ht="30" customHeight="1" x14ac:dyDescent="0.35">
      <c r="A2" s="49">
        <v>46106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K2" s="60" t="s">
        <v>59</v>
      </c>
    </row>
    <row r="3" spans="1:11" ht="30" customHeight="1" x14ac:dyDescent="0.35">
      <c r="A3" s="50" t="s">
        <v>16</v>
      </c>
      <c r="B3" s="54">
        <v>0.03</v>
      </c>
      <c r="C3" s="54">
        <v>3.3000000000000002E-2</v>
      </c>
      <c r="D3" s="54">
        <v>2.8000000000000001E-2</v>
      </c>
      <c r="E3" s="54">
        <v>4.2900000000000001E-2</v>
      </c>
      <c r="F3" s="54">
        <v>6.5600000000000006E-2</v>
      </c>
      <c r="G3" s="54">
        <v>4.2999999999999997E-2</v>
      </c>
      <c r="H3" s="52">
        <v>3.3300000000000003E-2</v>
      </c>
      <c r="I3" s="69">
        <f>((1+(H3/365))^365)-1</f>
        <v>3.3859080551566834E-2</v>
      </c>
      <c r="J3" s="70">
        <v>0</v>
      </c>
      <c r="K3" s="71">
        <f>'Daily Data'!BA32</f>
        <v>2.7300000000000005E-2</v>
      </c>
    </row>
    <row r="4" spans="1:11" ht="30" customHeight="1" x14ac:dyDescent="0.35">
      <c r="A4" s="50" t="s">
        <v>15</v>
      </c>
      <c r="B4" s="51">
        <f>((1+$I4)^(B2/365)-1)*365/B2</f>
        <v>2.5005137572765568E-2</v>
      </c>
      <c r="C4" s="51">
        <f t="shared" ref="C4:F4" si="0">((1+$I4)^(C2/365)-1)*365/C2</f>
        <v>2.5011133186924366E-2</v>
      </c>
      <c r="D4" s="51">
        <f t="shared" si="0"/>
        <v>2.5024844646748073E-2</v>
      </c>
      <c r="E4" s="51">
        <f t="shared" si="0"/>
        <v>2.5050580654265259E-2</v>
      </c>
      <c r="F4" s="51">
        <f t="shared" si="0"/>
        <v>2.5076351951623117E-2</v>
      </c>
      <c r="G4" s="51">
        <f>((1+$I4)^(G2/365)-1)*365/G2</f>
        <v>2.5153878127579712E-2</v>
      </c>
      <c r="H4" s="52">
        <v>2.5000000000000001E-2</v>
      </c>
      <c r="I4" s="69">
        <f t="shared" ref="I4:I9" si="1">((1+(H4/365))^365)-1</f>
        <v>2.5314242726610869E-2</v>
      </c>
      <c r="J4" s="70">
        <v>0</v>
      </c>
      <c r="K4" s="71">
        <f>'Daily Data'!AI32</f>
        <v>1.4000000000000002E-2</v>
      </c>
    </row>
    <row r="5" spans="1:11" ht="30" customHeight="1" x14ac:dyDescent="0.35">
      <c r="A5" s="50" t="s">
        <v>17</v>
      </c>
      <c r="B5" s="54">
        <v>3.7600000000000001E-2</v>
      </c>
      <c r="C5" s="51">
        <f>((1+I5)^(C2/365)-1)*365/C2</f>
        <v>2.9915925943969159E-2</v>
      </c>
      <c r="D5" s="54">
        <v>5.4800000000000001E-2</v>
      </c>
      <c r="E5" s="51">
        <f>((1+I5)^(E2/365)-1)*365/E2</f>
        <v>2.9972370170845902E-2</v>
      </c>
      <c r="F5" s="51">
        <f>((1+I5)^(F2/365)-1)*365/F2</f>
        <v>3.0009258115333635E-2</v>
      </c>
      <c r="G5" s="51">
        <f>((1+I5)^(G2/365)-1)*360/G2</f>
        <v>2.970767886381287E-2</v>
      </c>
      <c r="H5" s="52">
        <v>2.9899999999999999E-2</v>
      </c>
      <c r="I5" s="69">
        <f t="shared" si="1"/>
        <v>3.0350231880070799E-2</v>
      </c>
      <c r="J5" s="70">
        <f>((1+(C5/(365/14)))^(365/14))-1</f>
        <v>3.0350231880070799E-2</v>
      </c>
      <c r="K5" s="71">
        <f>'Daily Data'!BS32</f>
        <v>2.2499999999999999E-2</v>
      </c>
    </row>
    <row r="6" spans="1:11" ht="30" customHeight="1" x14ac:dyDescent="0.35">
      <c r="A6" s="50" t="s">
        <v>55</v>
      </c>
      <c r="B6" s="54">
        <v>3.7499999999999999E-2</v>
      </c>
      <c r="C6" s="51">
        <f>((1+I6)^(C2/365)-1)*365/C2</f>
        <v>3.3720232087598924E-2</v>
      </c>
      <c r="D6" s="54">
        <v>0.06</v>
      </c>
      <c r="E6" s="51">
        <f>((1+$I6)^(E2/365)-1)*365/E2</f>
        <v>3.3791952704462558E-2</v>
      </c>
      <c r="F6" s="51">
        <f t="shared" ref="F6:G6" si="2">((1+$I6)^(F2/365)-1)*365/F2</f>
        <v>3.3838836584806672E-2</v>
      </c>
      <c r="G6" s="51">
        <f t="shared" si="2"/>
        <v>3.3980009211555737E-2</v>
      </c>
      <c r="H6" s="52">
        <v>3.3700000000000001E-2</v>
      </c>
      <c r="I6" s="69">
        <f t="shared" si="1"/>
        <v>3.4272668936467188E-2</v>
      </c>
      <c r="J6" s="70">
        <f>((1+(C6/(365/14)))^(365/14))-1</f>
        <v>3.4272668936464523E-2</v>
      </c>
      <c r="K6" s="71">
        <f>H6-2.3%</f>
        <v>1.0700000000000001E-2</v>
      </c>
    </row>
    <row r="7" spans="1:11" ht="30" customHeight="1" x14ac:dyDescent="0.35">
      <c r="A7" s="50" t="s">
        <v>47</v>
      </c>
      <c r="B7" s="54">
        <v>2.06E-2</v>
      </c>
      <c r="C7" s="51">
        <f>((1+I7)^(C2/365)-1)*360/C2</f>
        <v>1.9338255789177312E-2</v>
      </c>
      <c r="D7" s="54">
        <v>2.1600000000000001E-2</v>
      </c>
      <c r="E7" s="51">
        <f>((1+$I7)^(E2/365)-1)*360/E2</f>
        <v>1.9362161891240959E-2</v>
      </c>
      <c r="F7" s="51">
        <f t="shared" ref="F7:G7" si="3">((1+$I7)^(F2/365)-1)*360/F2</f>
        <v>1.937777405477803E-2</v>
      </c>
      <c r="G7" s="51">
        <f t="shared" si="3"/>
        <v>1.94247113206929E-2</v>
      </c>
      <c r="H7" s="52">
        <v>1.9599999999999999E-2</v>
      </c>
      <c r="I7" s="69">
        <f t="shared" si="1"/>
        <v>1.9792804452561041E-2</v>
      </c>
      <c r="J7" s="70">
        <f>((1+(C7/(365/14)))^(365/14))-1</f>
        <v>1.9519142627427488E-2</v>
      </c>
      <c r="K7" s="71">
        <f>H7-0.73%</f>
        <v>1.2299999999999998E-2</v>
      </c>
    </row>
    <row r="8" spans="1:11" ht="30" customHeight="1" x14ac:dyDescent="0.35">
      <c r="A8" s="50" t="s">
        <v>57</v>
      </c>
      <c r="B8" s="51">
        <f>((1+$I8)^(B2/365)-1)*365/B2</f>
        <v>2.8806818211650764E-2</v>
      </c>
      <c r="C8" s="51">
        <f t="shared" ref="C8:G8" si="4">((1+$I8)^(C2/365)-1)*365/C2</f>
        <v>2.8814775512232469E-2</v>
      </c>
      <c r="D8" s="51">
        <f t="shared" si="4"/>
        <v>2.8832974634983022E-2</v>
      </c>
      <c r="E8" s="51">
        <f t="shared" si="4"/>
        <v>2.8867139310035983E-2</v>
      </c>
      <c r="F8" s="51">
        <f t="shared" si="4"/>
        <v>2.8901357961484207E-2</v>
      </c>
      <c r="G8" s="51">
        <f t="shared" si="4"/>
        <v>2.9004338734472852E-2</v>
      </c>
      <c r="H8" s="52">
        <v>2.8799999999999999E-2</v>
      </c>
      <c r="I8" s="69">
        <f t="shared" si="1"/>
        <v>2.9217560787452745E-2</v>
      </c>
      <c r="J8" s="70">
        <f>((1+(B8/(365/7)))^(365/7))-1</f>
        <v>2.9217560787458297E-2</v>
      </c>
      <c r="K8" s="71">
        <f>'Daily Data'!Q32</f>
        <v>2.1600000000000001E-2</v>
      </c>
    </row>
    <row r="9" spans="1:11" ht="30" customHeight="1" x14ac:dyDescent="0.35">
      <c r="A9" s="50" t="s">
        <v>56</v>
      </c>
      <c r="B9" s="51">
        <f>((1+$I9)^(B2/365)-1)*365/B2</f>
        <v>3.1107950800242885E-2</v>
      </c>
      <c r="C9" s="51">
        <f t="shared" ref="C9:G9" si="5">((1+$I9)^(C2/365)-1)*365/C2</f>
        <v>3.1117230159457634E-2</v>
      </c>
      <c r="D9" s="51">
        <f t="shared" si="5"/>
        <v>3.1138453984796127E-2</v>
      </c>
      <c r="E9" s="51">
        <f t="shared" si="5"/>
        <v>3.1178300696434385E-2</v>
      </c>
      <c r="F9" s="51">
        <f t="shared" si="5"/>
        <v>3.1218215395197819E-2</v>
      </c>
      <c r="G9" s="51">
        <f t="shared" si="5"/>
        <v>3.1338368720569248E-2</v>
      </c>
      <c r="H9" s="52">
        <v>3.1099999999999999E-2</v>
      </c>
      <c r="I9" s="69">
        <f t="shared" si="1"/>
        <v>3.1587290874597329E-2</v>
      </c>
      <c r="J9" s="70">
        <f t="shared" ref="J9" si="6">((1+(B9/(365/7)))^(365/7))-1</f>
        <v>3.1587290874592E-2</v>
      </c>
      <c r="K9" s="72"/>
    </row>
    <row r="23" spans="8:8" x14ac:dyDescent="0.35">
      <c r="H23" s="47"/>
    </row>
  </sheetData>
  <conditionalFormatting sqref="A1:I9">
    <cfRule type="expression" dxfId="220" priority="1">
      <formula>_xlfn.ISFORMULA(A1)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667D1-DB4E-46DE-A3A4-F5E2F3C4FB4B}">
  <dimension ref="A1:K9"/>
  <sheetViews>
    <sheetView workbookViewId="0">
      <selection activeCell="K9" sqref="K9"/>
    </sheetView>
  </sheetViews>
  <sheetFormatPr defaultRowHeight="14.5" x14ac:dyDescent="0.35"/>
  <cols>
    <col min="1" max="11" width="23.54296875" customWidth="1"/>
  </cols>
  <sheetData>
    <row r="1" spans="1:11" ht="30" customHeight="1" x14ac:dyDescent="0.35">
      <c r="A1" s="48" t="s">
        <v>14</v>
      </c>
      <c r="B1" s="11"/>
      <c r="C1" s="11"/>
      <c r="D1" s="11"/>
      <c r="E1" s="11"/>
      <c r="F1" s="11"/>
      <c r="G1" s="11"/>
      <c r="H1" s="11"/>
      <c r="I1" s="11"/>
    </row>
    <row r="2" spans="1:11" ht="30" customHeight="1" x14ac:dyDescent="0.35">
      <c r="A2" s="49">
        <v>46107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K2" s="60" t="s">
        <v>59</v>
      </c>
    </row>
    <row r="3" spans="1:11" ht="30" customHeight="1" x14ac:dyDescent="0.35">
      <c r="A3" s="50" t="s">
        <v>16</v>
      </c>
      <c r="B3" s="54">
        <v>0.03</v>
      </c>
      <c r="C3" s="54">
        <v>3.2000000000000001E-2</v>
      </c>
      <c r="D3" s="54">
        <v>4.2000000000000003E-2</v>
      </c>
      <c r="E3" s="54">
        <v>4.3799999999999999E-2</v>
      </c>
      <c r="F3" s="54">
        <v>6.4899999999999999E-2</v>
      </c>
      <c r="G3" s="54">
        <v>4.8000000000000001E-2</v>
      </c>
      <c r="H3" s="52">
        <v>3.32E-2</v>
      </c>
      <c r="I3" s="69">
        <f>(1+H3/365)^365-1</f>
        <v>3.3755709228882935E-2</v>
      </c>
      <c r="J3" s="70">
        <v>0</v>
      </c>
      <c r="K3" s="71">
        <f>H3-'Daily Data'!AR34</f>
        <v>2.7200000000000002E-2</v>
      </c>
    </row>
    <row r="4" spans="1:11" ht="30" customHeight="1" x14ac:dyDescent="0.35">
      <c r="A4" s="50" t="s">
        <v>15</v>
      </c>
      <c r="B4" s="51">
        <f>((1+$I4)^(B2/365)-1)*365/B2</f>
        <v>2.5005137572765568E-2</v>
      </c>
      <c r="C4" s="51">
        <f t="shared" ref="C4:G4" si="0">((1+$I4)^(C2/365)-1)*365/C2</f>
        <v>2.5011133186924366E-2</v>
      </c>
      <c r="D4" s="51">
        <f t="shared" si="0"/>
        <v>2.5024844646748073E-2</v>
      </c>
      <c r="E4" s="51">
        <f t="shared" si="0"/>
        <v>2.5050580654265259E-2</v>
      </c>
      <c r="F4" s="51">
        <f t="shared" si="0"/>
        <v>2.5076351951623117E-2</v>
      </c>
      <c r="G4" s="51">
        <f t="shared" si="0"/>
        <v>2.5153878127579712E-2</v>
      </c>
      <c r="H4" s="52">
        <v>2.5000000000000001E-2</v>
      </c>
      <c r="I4" s="69">
        <f t="shared" ref="I4:I9" si="1">(1+H4/365)^365-1</f>
        <v>2.5314242726610869E-2</v>
      </c>
      <c r="J4" s="70">
        <v>0</v>
      </c>
      <c r="K4" s="71">
        <f>H4-'Daily Data'!Z34</f>
        <v>1.3900000000000001E-2</v>
      </c>
    </row>
    <row r="5" spans="1:11" ht="30" customHeight="1" x14ac:dyDescent="0.35">
      <c r="A5" s="50" t="s">
        <v>17</v>
      </c>
      <c r="B5" s="51">
        <v>3.7600000000000001E-2</v>
      </c>
      <c r="C5" s="51">
        <f t="shared" ref="C5:G7" si="2">((1+$I5)^(C2/365)-1)*365/C2</f>
        <v>3.0216247184851448E-2</v>
      </c>
      <c r="D5" s="51">
        <v>5.4800000000000001E-2</v>
      </c>
      <c r="E5" s="51">
        <f t="shared" si="2"/>
        <v>3.0273830874697632E-2</v>
      </c>
      <c r="F5" s="51">
        <f t="shared" si="2"/>
        <v>3.0311464275388368E-2</v>
      </c>
      <c r="G5" s="51">
        <f t="shared" si="2"/>
        <v>3.0424739121945526E-2</v>
      </c>
      <c r="H5" s="52">
        <v>3.0200000000000001E-2</v>
      </c>
      <c r="I5" s="69">
        <f t="shared" si="1"/>
        <v>3.0659357866290149E-2</v>
      </c>
      <c r="J5" s="70">
        <f>((1+(C5/(365/14)))^(365/14))-1</f>
        <v>3.0659357866289705E-2</v>
      </c>
      <c r="K5" s="71">
        <f>H5-'Daily Data'!BJ34</f>
        <v>2.2800000000000001E-2</v>
      </c>
    </row>
    <row r="6" spans="1:11" ht="30" customHeight="1" x14ac:dyDescent="0.35">
      <c r="A6" s="50" t="s">
        <v>55</v>
      </c>
      <c r="B6" s="54">
        <v>3.7499999999999999E-2</v>
      </c>
      <c r="C6" s="51">
        <f t="shared" si="2"/>
        <v>3.3698494135321611E-2</v>
      </c>
      <c r="D6" s="54">
        <v>0.06</v>
      </c>
      <c r="E6" s="51">
        <f t="shared" si="2"/>
        <v>3.3698512491575627E-2</v>
      </c>
      <c r="F6" s="51">
        <f t="shared" si="2"/>
        <v>3.3698545314592314E-2</v>
      </c>
      <c r="G6" s="51">
        <f t="shared" si="2"/>
        <v>3.3698519024127904E-2</v>
      </c>
      <c r="H6" s="52">
        <v>3.3700000000000001E-2</v>
      </c>
      <c r="I6" s="69">
        <f t="shared" si="1"/>
        <v>3.4272668936467188E-2</v>
      </c>
      <c r="J6" s="70">
        <f>((1+(C6/(365/14)))^(365/14))-1</f>
        <v>3.4250215242368487E-2</v>
      </c>
      <c r="K6" s="71">
        <f>H6-2.3%</f>
        <v>1.0700000000000001E-2</v>
      </c>
    </row>
    <row r="7" spans="1:11" ht="30" customHeight="1" x14ac:dyDescent="0.35">
      <c r="A7" s="50" t="s">
        <v>47</v>
      </c>
      <c r="B7" s="54">
        <v>2.0199999999999999E-2</v>
      </c>
      <c r="C7" s="51">
        <f t="shared" si="2"/>
        <v>1.9199507660819622E-2</v>
      </c>
      <c r="D7" s="54">
        <v>2.12E-2</v>
      </c>
      <c r="E7" s="51">
        <f t="shared" si="2"/>
        <v>1.9199507681488728E-2</v>
      </c>
      <c r="F7" s="51">
        <f t="shared" si="2"/>
        <v>1.9199507694202804E-2</v>
      </c>
      <c r="G7" s="51">
        <f t="shared" si="2"/>
        <v>1.9199507731805534E-2</v>
      </c>
      <c r="H7" s="52">
        <v>1.9199999999999998E-2</v>
      </c>
      <c r="I7" s="69">
        <f t="shared" si="1"/>
        <v>1.9384990574597305E-2</v>
      </c>
      <c r="J7" s="70">
        <f>((1+(C7/(365/14)))^(365/14))-1</f>
        <v>1.9377800523443511E-2</v>
      </c>
      <c r="K7" s="71">
        <f>H7-1.06%</f>
        <v>8.5999999999999983E-3</v>
      </c>
    </row>
    <row r="8" spans="1:11" ht="30" customHeight="1" x14ac:dyDescent="0.35">
      <c r="A8" s="50" t="s">
        <v>57</v>
      </c>
      <c r="B8" s="51">
        <f>((1+$I8)^(B2/365)-1)*365/B2</f>
        <v>2.9807299952161154E-2</v>
      </c>
      <c r="C8" s="51">
        <f t="shared" ref="C8:G8" si="3">((1+$I8)^(C2/365)-1)*365/C2</f>
        <v>2.9815819576702873E-2</v>
      </c>
      <c r="D8" s="51">
        <f t="shared" si="3"/>
        <v>2.9835305198563405E-2</v>
      </c>
      <c r="E8" s="51">
        <f t="shared" si="3"/>
        <v>2.9871886517863155E-2</v>
      </c>
      <c r="F8" s="51">
        <f t="shared" si="3"/>
        <v>2.9908527640715526E-2</v>
      </c>
      <c r="G8" s="51">
        <f t="shared" si="3"/>
        <v>3.0018810931547121E-2</v>
      </c>
      <c r="H8" s="52">
        <v>2.98E-2</v>
      </c>
      <c r="I8" s="69">
        <f t="shared" si="1"/>
        <v>3.0247210433201888E-2</v>
      </c>
      <c r="J8" s="70">
        <f>((1+(B8/(365/7)))^(365/7))-1</f>
        <v>3.0247210433200999E-2</v>
      </c>
      <c r="K8" s="71">
        <f>H8-'Daily Data'!H34</f>
        <v>2.1999999999999999E-2</v>
      </c>
    </row>
    <row r="9" spans="1:11" ht="30" customHeight="1" x14ac:dyDescent="0.35">
      <c r="A9" s="50" t="s">
        <v>56</v>
      </c>
      <c r="B9" s="51">
        <f>((1+$I9)^(B3/365)-1)*365/B3</f>
        <v>3.1098714875314275E-2</v>
      </c>
      <c r="C9" s="51">
        <f t="shared" ref="C9:G9" si="4">((1+$I9)^(C3/365)-1)*365/C3</f>
        <v>3.109871752535881E-2</v>
      </c>
      <c r="D9" s="51">
        <f t="shared" si="4"/>
        <v>3.1098730773893021E-2</v>
      </c>
      <c r="E9" s="51">
        <f t="shared" si="4"/>
        <v>3.1098733157171786E-2</v>
      </c>
      <c r="F9" s="51">
        <f t="shared" si="4"/>
        <v>3.1098761111301693E-2</v>
      </c>
      <c r="G9" s="51">
        <f t="shared" si="4"/>
        <v>3.1098738721493935E-2</v>
      </c>
      <c r="H9" s="52">
        <v>3.1099999999999999E-2</v>
      </c>
      <c r="I9" s="69">
        <f t="shared" si="1"/>
        <v>3.1587290874597329E-2</v>
      </c>
      <c r="J9" s="70">
        <f t="shared" ref="J9" si="5">((1+(B9/(365/7)))^(365/7))-1</f>
        <v>3.1577768935642458E-2</v>
      </c>
      <c r="K9" s="71"/>
    </row>
  </sheetData>
  <conditionalFormatting sqref="A1:I9">
    <cfRule type="expression" dxfId="219" priority="1">
      <formula>_xlfn.ISFORMULA(A1)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B4B15-9CEC-489A-92C0-A777246EDCE6}">
  <dimension ref="A1:K9"/>
  <sheetViews>
    <sheetView zoomScale="118" zoomScaleNormal="118" workbookViewId="0">
      <selection activeCell="D24" sqref="D24"/>
    </sheetView>
  </sheetViews>
  <sheetFormatPr defaultRowHeight="14.5" x14ac:dyDescent="0.35"/>
  <cols>
    <col min="1" max="11" width="30.54296875" customWidth="1"/>
  </cols>
  <sheetData>
    <row r="1" spans="1:11" ht="23.15" customHeight="1" x14ac:dyDescent="0.35">
      <c r="A1" s="48" t="s">
        <v>14</v>
      </c>
      <c r="B1" s="11"/>
      <c r="C1" s="11"/>
      <c r="D1" s="11"/>
      <c r="E1" s="11"/>
      <c r="F1" s="11"/>
      <c r="G1" s="11"/>
      <c r="H1" s="11"/>
      <c r="I1" s="11"/>
    </row>
    <row r="2" spans="1:11" ht="23.15" customHeight="1" x14ac:dyDescent="0.35">
      <c r="A2" s="49">
        <v>46108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K2" s="60" t="s">
        <v>59</v>
      </c>
    </row>
    <row r="3" spans="1:11" ht="23.15" customHeight="1" x14ac:dyDescent="0.35">
      <c r="A3" s="50" t="s">
        <v>16</v>
      </c>
      <c r="B3" s="54">
        <v>0.03</v>
      </c>
      <c r="C3" s="54">
        <v>3.3000000000000002E-2</v>
      </c>
      <c r="D3" s="54">
        <v>3.49E-2</v>
      </c>
      <c r="E3" s="54">
        <v>4.3999999999999997E-2</v>
      </c>
      <c r="F3" s="54">
        <v>5.6500000000000002E-2</v>
      </c>
      <c r="G3" s="54">
        <v>6.88E-2</v>
      </c>
      <c r="H3" s="52">
        <v>3.3799999999999997E-2</v>
      </c>
      <c r="I3" s="69">
        <f>(1+H3/365)^365-1</f>
        <v>3.4376091811363807E-2</v>
      </c>
      <c r="J3" s="70"/>
      <c r="K3" s="71">
        <f>H3-'Daily Data'!AR35</f>
        <v>2.7799999999999998E-2</v>
      </c>
    </row>
    <row r="4" spans="1:11" ht="23.15" customHeight="1" x14ac:dyDescent="0.35">
      <c r="A4" s="50" t="s">
        <v>15</v>
      </c>
      <c r="B4" s="51">
        <f>((1+$I4)^(B2/365)-1)*365/B2</f>
        <v>2.5005137572765568E-2</v>
      </c>
      <c r="C4" s="51">
        <f t="shared" ref="C4:G4" si="0">((1+$I4)^(C2/365)-1)*365/C2</f>
        <v>2.5011133186924366E-2</v>
      </c>
      <c r="D4" s="51">
        <f t="shared" si="0"/>
        <v>2.5024844646748073E-2</v>
      </c>
      <c r="E4" s="51">
        <f t="shared" si="0"/>
        <v>2.5050580654265259E-2</v>
      </c>
      <c r="F4" s="51">
        <f t="shared" si="0"/>
        <v>2.5076351951623117E-2</v>
      </c>
      <c r="G4" s="51">
        <f t="shared" si="0"/>
        <v>2.5153878127579712E-2</v>
      </c>
      <c r="H4" s="52">
        <v>2.5000000000000001E-2</v>
      </c>
      <c r="I4" s="69">
        <f t="shared" ref="I4:I9" si="1">(1+H4/365)^365-1</f>
        <v>2.5314242726610869E-2</v>
      </c>
      <c r="J4" s="70"/>
      <c r="K4" s="71">
        <f>H4-'Daily Data'!Z35</f>
        <v>1.3300000000000001E-2</v>
      </c>
    </row>
    <row r="5" spans="1:11" ht="23.15" customHeight="1" x14ac:dyDescent="0.35">
      <c r="A5" s="50" t="s">
        <v>17</v>
      </c>
      <c r="B5" s="54">
        <v>3.7600000000000001E-2</v>
      </c>
      <c r="C5" s="51">
        <f>((1+I5)^(C2/365)-1)*365/C2</f>
        <v>3.0216247184851448E-2</v>
      </c>
      <c r="D5" s="54">
        <v>5.4800000000000001E-2</v>
      </c>
      <c r="E5" s="51">
        <f>((1+$I5)^(E2/365)-1)*365/E2</f>
        <v>3.0273830874697632E-2</v>
      </c>
      <c r="F5" s="51">
        <f t="shared" ref="F5:G5" si="2">((1+$I5)^(F2/365)-1)*365/F2</f>
        <v>3.0311464275388368E-2</v>
      </c>
      <c r="G5" s="51">
        <f t="shared" si="2"/>
        <v>3.0424739121945526E-2</v>
      </c>
      <c r="H5" s="52">
        <v>3.0200000000000001E-2</v>
      </c>
      <c r="I5" s="69">
        <f t="shared" si="1"/>
        <v>3.0659357866290149E-2</v>
      </c>
      <c r="J5" s="70"/>
      <c r="K5" s="71">
        <f>H5-'Daily Data'!BJ35</f>
        <v>2.2700000000000001E-2</v>
      </c>
    </row>
    <row r="6" spans="1:11" ht="23.15" customHeight="1" x14ac:dyDescent="0.35">
      <c r="A6" s="50" t="s">
        <v>55</v>
      </c>
      <c r="B6" s="54">
        <v>3.7499999999999999E-2</v>
      </c>
      <c r="C6" s="51">
        <f>((1+I6)^(C2/365)-1)*365/C2</f>
        <v>3.3720232087598924E-2</v>
      </c>
      <c r="D6" s="54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69">
        <f t="shared" si="1"/>
        <v>3.4272668936467188E-2</v>
      </c>
      <c r="J6" s="70"/>
      <c r="K6" s="71">
        <f>H6-2.3%</f>
        <v>1.0700000000000001E-2</v>
      </c>
    </row>
    <row r="7" spans="1:11" ht="23.15" customHeight="1" x14ac:dyDescent="0.35">
      <c r="A7" s="50" t="s">
        <v>47</v>
      </c>
      <c r="B7" s="54">
        <v>2.06E-2</v>
      </c>
      <c r="C7" s="51">
        <f>((1+I7)^(C2/365)-1)*365/C2</f>
        <v>1.9606842675138108E-2</v>
      </c>
      <c r="D7" s="54">
        <v>2.1600000000000001E-2</v>
      </c>
      <c r="E7" s="51">
        <f>((1+$I7)^(E2/365)-1)*365/E2</f>
        <v>1.9631080806397083E-2</v>
      </c>
      <c r="F7" s="51">
        <f t="shared" ref="F7:G7" si="4">((1+$I7)^(F2/365)-1)*365/F2</f>
        <v>1.9646909805538834E-2</v>
      </c>
      <c r="G7" s="51">
        <f t="shared" si="4"/>
        <v>1.9694498977924746E-2</v>
      </c>
      <c r="H7" s="52">
        <v>1.9599999999999999E-2</v>
      </c>
      <c r="I7" s="69">
        <f t="shared" si="1"/>
        <v>1.9792804452561041E-2</v>
      </c>
      <c r="J7" s="70"/>
      <c r="K7" s="71">
        <f>H7-1.18%</f>
        <v>7.7999999999999996E-3</v>
      </c>
    </row>
    <row r="8" spans="1:11" ht="23.15" customHeight="1" x14ac:dyDescent="0.35">
      <c r="A8" s="50" t="s">
        <v>57</v>
      </c>
      <c r="B8" s="51">
        <f>((1+$I8)^(B2/365)-1)*365/B2</f>
        <v>2.9907349030706052E-2</v>
      </c>
      <c r="C8" s="51">
        <f t="shared" ref="C8:G8" si="5">((1+$I8)^(C2/365)-1)*365/C2</f>
        <v>2.9915925943969159E-2</v>
      </c>
      <c r="D8" s="51">
        <f t="shared" si="5"/>
        <v>2.9935542634702439E-2</v>
      </c>
      <c r="E8" s="51">
        <f t="shared" si="5"/>
        <v>2.9972370170845902E-2</v>
      </c>
      <c r="F8" s="51">
        <f t="shared" si="5"/>
        <v>3.0009258115333635E-2</v>
      </c>
      <c r="G8" s="51">
        <f t="shared" si="5"/>
        <v>3.0120285514699162E-2</v>
      </c>
      <c r="H8" s="52">
        <v>2.9899999999999999E-2</v>
      </c>
      <c r="I8" s="69">
        <f t="shared" si="1"/>
        <v>3.0350231880070799E-2</v>
      </c>
      <c r="J8" s="70"/>
      <c r="K8" s="71">
        <f>H8-'Daily Data'!H35</f>
        <v>2.1999999999999999E-2</v>
      </c>
    </row>
    <row r="9" spans="1:11" ht="23.15" customHeight="1" x14ac:dyDescent="0.35">
      <c r="A9" s="50" t="s">
        <v>56</v>
      </c>
      <c r="B9" s="51">
        <f>((1+$H9)^(B2/365)-1)*365/B2</f>
        <v>3.121726808766101E-2</v>
      </c>
      <c r="C9" s="51">
        <f t="shared" ref="C9:G9" si="6">((1+$H9)^(C2/365)-1)*365/C2</f>
        <v>3.1226612779151064E-2</v>
      </c>
      <c r="D9" s="51">
        <f t="shared" si="6"/>
        <v>3.1247986082080608E-2</v>
      </c>
      <c r="E9" s="51">
        <f t="shared" si="6"/>
        <v>3.1288113614991696E-2</v>
      </c>
      <c r="F9" s="51">
        <f t="shared" si="6"/>
        <v>3.132830985500349E-2</v>
      </c>
      <c r="G9" s="51">
        <f t="shared" si="6"/>
        <v>3.1449312142474296E-2</v>
      </c>
      <c r="H9" s="52">
        <v>3.1699999999999999E-2</v>
      </c>
      <c r="I9" s="69">
        <f t="shared" si="1"/>
        <v>3.2206375697757972E-2</v>
      </c>
      <c r="J9" s="70"/>
      <c r="K9" s="71"/>
    </row>
  </sheetData>
  <conditionalFormatting sqref="A1:I9">
    <cfRule type="expression" dxfId="218" priority="1">
      <formula>_xlfn.ISFORMULA(A1)</formula>
    </cfRule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827F7-C9CB-45BC-8A0E-C604A253B2FF}">
  <dimension ref="A1:K9"/>
  <sheetViews>
    <sheetView zoomScale="85" zoomScaleNormal="85" workbookViewId="0">
      <selection activeCell="F3" sqref="F3"/>
    </sheetView>
  </sheetViews>
  <sheetFormatPr defaultRowHeight="14.5" x14ac:dyDescent="0.35"/>
  <cols>
    <col min="1" max="11" width="30.54296875" customWidth="1"/>
  </cols>
  <sheetData>
    <row r="1" spans="1:11" ht="23.15" customHeight="1" x14ac:dyDescent="0.35">
      <c r="A1" s="48" t="s">
        <v>14</v>
      </c>
      <c r="B1" s="11"/>
      <c r="C1" s="11"/>
      <c r="D1" s="11"/>
      <c r="E1" s="11"/>
      <c r="F1" s="11"/>
      <c r="G1" s="11"/>
      <c r="H1" s="11"/>
      <c r="I1" s="11"/>
    </row>
    <row r="2" spans="1:11" ht="23.15" customHeight="1" x14ac:dyDescent="0.35">
      <c r="A2" s="49">
        <v>46108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K2" s="60" t="s">
        <v>59</v>
      </c>
    </row>
    <row r="3" spans="1:11" ht="23.15" customHeight="1" x14ac:dyDescent="0.35">
      <c r="A3" s="50" t="s">
        <v>16</v>
      </c>
      <c r="B3" s="54">
        <v>0.03</v>
      </c>
      <c r="C3" s="54">
        <v>3.3000000000000002E-2</v>
      </c>
      <c r="D3" s="54">
        <v>2.5999999999999999E-2</v>
      </c>
      <c r="E3" s="54">
        <v>4.41E-2</v>
      </c>
      <c r="F3" s="54">
        <v>2.6100000000000002E-2</v>
      </c>
      <c r="G3" s="54">
        <v>2.5100000000000001E-2</v>
      </c>
      <c r="H3" s="52">
        <v>3.39E-2</v>
      </c>
      <c r="I3" s="69">
        <f>(1+H3/365)^364-1</f>
        <v>3.4383454865113183E-2</v>
      </c>
      <c r="J3" s="70"/>
      <c r="K3" s="71">
        <f>H3-'Daily Data'!AR36</f>
        <v>2.7900000000000001E-2</v>
      </c>
    </row>
    <row r="4" spans="1:11" ht="23.15" customHeight="1" x14ac:dyDescent="0.35">
      <c r="A4" s="50" t="s">
        <v>15</v>
      </c>
      <c r="B4" s="51">
        <f>((1+$I4)^(B2/365)-1)*365/B2</f>
        <v>2.4936613967829757E-2</v>
      </c>
      <c r="C4" s="51">
        <f t="shared" ref="C4:G4" si="0">((1+$I4)^(C2/365)-1)*365/C2</f>
        <v>2.4942576766476821E-2</v>
      </c>
      <c r="D4" s="51">
        <f t="shared" si="0"/>
        <v>2.4956213160397384E-2</v>
      </c>
      <c r="E4" s="51">
        <f t="shared" si="0"/>
        <v>2.4981808197738691E-2</v>
      </c>
      <c r="F4" s="51">
        <f t="shared" si="0"/>
        <v>2.5007438235364814E-2</v>
      </c>
      <c r="G4" s="51">
        <f t="shared" si="0"/>
        <v>2.508453888884277E-2</v>
      </c>
      <c r="H4" s="52">
        <v>2.5000000000000001E-2</v>
      </c>
      <c r="I4" s="69">
        <f t="shared" ref="I4:I9" si="1">(1+H4/365)^364-1</f>
        <v>2.5244020533423894E-2</v>
      </c>
      <c r="J4" s="70"/>
      <c r="K4" s="71">
        <f>H4-'Daily Data'!Z36</f>
        <v>1.4200000000000001E-2</v>
      </c>
    </row>
    <row r="5" spans="1:11" ht="23.15" customHeight="1" x14ac:dyDescent="0.35">
      <c r="A5" s="50" t="s">
        <v>17</v>
      </c>
      <c r="B5" s="54">
        <v>3.7600000000000001E-2</v>
      </c>
      <c r="C5" s="51">
        <f>((1+I5)^(C2/365)-1)*365/C2</f>
        <v>2.9734085835978235E-2</v>
      </c>
      <c r="D5" s="54">
        <v>5.4800000000000001E-2</v>
      </c>
      <c r="E5" s="51">
        <f>((1+$I5)^(E2/365)-1)*365/E2</f>
        <v>2.9789845674063325E-2</v>
      </c>
      <c r="F5" s="51">
        <f t="shared" ref="F5:G5" si="2">((1+$I5)^(F2/365)-1)*365/F2</f>
        <v>2.9826285890901652E-2</v>
      </c>
      <c r="G5" s="51">
        <f t="shared" si="2"/>
        <v>2.9935963506934588E-2</v>
      </c>
      <c r="H5" s="52">
        <v>2.98E-2</v>
      </c>
      <c r="I5" s="69">
        <f t="shared" si="1"/>
        <v>3.016310396608346E-2</v>
      </c>
      <c r="J5" s="70"/>
      <c r="K5" s="71">
        <f>'Daily Data'!BJ36</f>
        <v>7.3000000000000001E-3</v>
      </c>
    </row>
    <row r="6" spans="1:11" ht="23.15" customHeight="1" x14ac:dyDescent="0.35">
      <c r="A6" s="50" t="s">
        <v>55</v>
      </c>
      <c r="B6" s="54">
        <v>3.7499999999999999E-2</v>
      </c>
      <c r="C6" s="51">
        <f>((1+I6)^(C2/365)-1)*365/C2</f>
        <v>3.3627788335641652E-2</v>
      </c>
      <c r="D6" s="54">
        <v>0.06</v>
      </c>
      <c r="E6" s="51">
        <f>((1+$I6)^(E2/365)-1)*365/E2</f>
        <v>3.3699116055856258E-2</v>
      </c>
      <c r="F6" s="51">
        <f t="shared" ref="F6:G6" si="3">((1+$I6)^(F2/365)-1)*365/F2</f>
        <v>3.3745742800059236E-2</v>
      </c>
      <c r="G6" s="51">
        <f t="shared" si="3"/>
        <v>3.3886139737239841E-2</v>
      </c>
      <c r="H6" s="52">
        <v>3.3700000000000001E-2</v>
      </c>
      <c r="I6" s="69">
        <f t="shared" si="1"/>
        <v>3.4177184632022906E-2</v>
      </c>
      <c r="J6" s="70"/>
      <c r="K6" s="71">
        <f>'28.03.2026'!H6-2.3%</f>
        <v>1.0700000000000001E-2</v>
      </c>
    </row>
    <row r="7" spans="1:11" ht="23.15" customHeight="1" x14ac:dyDescent="0.35">
      <c r="A7" s="50" t="s">
        <v>47</v>
      </c>
      <c r="B7" s="54">
        <v>2.0199999999999999E-2</v>
      </c>
      <c r="C7" s="51">
        <f>((1+I7)^(C2/365)-1)*365/C2</f>
        <v>1.9253720370324294E-2</v>
      </c>
      <c r="D7" s="54">
        <v>2.12E-2</v>
      </c>
      <c r="E7" s="51">
        <f>((1+$I7)^(E2/365)-1)*365/E2</f>
        <v>1.9277093057349665E-2</v>
      </c>
      <c r="F7" s="51">
        <f t="shared" ref="F7:G7" si="4">((1+$I7)^(F2/365)-1)*365/F2</f>
        <v>1.9292356493908258E-2</v>
      </c>
      <c r="G7" s="51">
        <f t="shared" si="4"/>
        <v>1.9338243551056265E-2</v>
      </c>
      <c r="H7" s="52">
        <v>1.9300000000000001E-2</v>
      </c>
      <c r="I7" s="69">
        <f t="shared" si="1"/>
        <v>1.9433024527475862E-2</v>
      </c>
      <c r="J7" s="70"/>
      <c r="K7" s="71">
        <f>H7-1.18%</f>
        <v>7.5000000000000015E-3</v>
      </c>
    </row>
    <row r="8" spans="1:11" ht="23.15" customHeight="1" x14ac:dyDescent="0.35">
      <c r="A8" s="50" t="s">
        <v>57</v>
      </c>
      <c r="B8" s="51">
        <f>((1+$I8)^(B2/365)-1)*365/B2</f>
        <v>2.9725612843631368E-2</v>
      </c>
      <c r="C8" s="51">
        <f t="shared" ref="C8:G8" si="5">((1+$I8)^(C2/365)-1)*365/C2</f>
        <v>2.9734085835978235E-2</v>
      </c>
      <c r="D8" s="51">
        <f t="shared" si="5"/>
        <v>2.9753464769987453E-2</v>
      </c>
      <c r="E8" s="51">
        <f t="shared" si="5"/>
        <v>2.9789845674063325E-2</v>
      </c>
      <c r="F8" s="51">
        <f t="shared" si="5"/>
        <v>2.9826285890901652E-2</v>
      </c>
      <c r="G8" s="51">
        <f t="shared" si="5"/>
        <v>2.9935963506934588E-2</v>
      </c>
      <c r="H8" s="52">
        <v>2.98E-2</v>
      </c>
      <c r="I8" s="69">
        <f t="shared" si="1"/>
        <v>3.016310396608346E-2</v>
      </c>
      <c r="J8" s="70"/>
      <c r="K8" s="71">
        <f>H8-'Daily Data'!H36</f>
        <v>2.1899999999999999E-2</v>
      </c>
    </row>
    <row r="9" spans="1:11" ht="23.15" customHeight="1" x14ac:dyDescent="0.35">
      <c r="A9" s="50" t="s">
        <v>56</v>
      </c>
      <c r="B9" s="51">
        <f>((1+$I9)^(B2/365)-1)*365/B2</f>
        <v>3.1621362282898691E-2</v>
      </c>
      <c r="C9" s="51">
        <f t="shared" ref="C9:G9" si="6">((1+$I9)^(C2/365)-1)*365/C2</f>
        <v>3.1630950466280318E-2</v>
      </c>
      <c r="D9" s="51">
        <f t="shared" si="6"/>
        <v>3.1652880873200839E-2</v>
      </c>
      <c r="E9" s="51">
        <f t="shared" si="6"/>
        <v>3.1694055045840851E-2</v>
      </c>
      <c r="F9" s="51">
        <f t="shared" si="6"/>
        <v>3.173530063114776E-2</v>
      </c>
      <c r="G9" s="51">
        <f t="shared" si="6"/>
        <v>3.1859467257933594E-2</v>
      </c>
      <c r="H9" s="52">
        <v>3.1699999999999999E-2</v>
      </c>
      <c r="I9" s="69">
        <f t="shared" si="1"/>
        <v>3.2116737066073098E-2</v>
      </c>
      <c r="J9" s="70"/>
      <c r="K9" s="71"/>
    </row>
  </sheetData>
  <conditionalFormatting sqref="A1:I9">
    <cfRule type="expression" dxfId="217" priority="1">
      <formula>_xlfn.ISFORMULA(A1)</formula>
    </cfRule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98AF8-6BEB-4606-A11A-0092DC10D268}">
  <dimension ref="A1:K9"/>
  <sheetViews>
    <sheetView zoomScale="85" zoomScaleNormal="85" workbookViewId="0">
      <selection sqref="A1: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48" t="s">
        <v>14</v>
      </c>
      <c r="B1" s="11"/>
      <c r="C1" s="11"/>
      <c r="D1" s="11"/>
      <c r="E1" s="11"/>
      <c r="F1" s="11"/>
      <c r="G1" s="11"/>
      <c r="H1" s="11"/>
      <c r="I1" s="11"/>
    </row>
    <row r="2" spans="1:11" ht="23.15" customHeight="1" x14ac:dyDescent="0.35">
      <c r="A2" s="49">
        <v>46110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K2" s="60" t="s">
        <v>59</v>
      </c>
    </row>
    <row r="3" spans="1:11" ht="23.15" customHeight="1" x14ac:dyDescent="0.35">
      <c r="A3" s="50" t="s">
        <v>16</v>
      </c>
      <c r="B3" s="54">
        <v>0.03</v>
      </c>
      <c r="C3" s="54">
        <v>3.3000000000000002E-2</v>
      </c>
      <c r="D3" s="54">
        <v>3.2000000000000001E-2</v>
      </c>
      <c r="E3" s="54">
        <v>4.3999999999999997E-2</v>
      </c>
      <c r="F3" s="54">
        <v>5.6000000000000001E-2</v>
      </c>
      <c r="G3" s="54">
        <v>0.06</v>
      </c>
      <c r="H3" s="52">
        <v>3.3000000000000002E-2</v>
      </c>
      <c r="I3" s="69">
        <f>(1+H3/365)^364-1</f>
        <v>3.3455561796221112E-2</v>
      </c>
      <c r="J3" s="70"/>
      <c r="K3" s="71">
        <f>H3-'Daily Data'!AR37</f>
        <v>2.7000000000000003E-2</v>
      </c>
    </row>
    <row r="4" spans="1:11" ht="23.15" customHeight="1" x14ac:dyDescent="0.35">
      <c r="A4" s="50" t="s">
        <v>15</v>
      </c>
      <c r="B4" s="51">
        <f>((1+$I4)^(B2/365)-1)*365/B2</f>
        <v>2.4936613967829757E-2</v>
      </c>
      <c r="C4" s="51">
        <f t="shared" ref="C4:G4" si="0">((1+$I4)^(C2/365)-1)*365/C2</f>
        <v>2.4942576766476821E-2</v>
      </c>
      <c r="D4" s="51">
        <f t="shared" si="0"/>
        <v>2.4956213160397384E-2</v>
      </c>
      <c r="E4" s="51">
        <f t="shared" si="0"/>
        <v>2.4981808197738691E-2</v>
      </c>
      <c r="F4" s="51">
        <f t="shared" si="0"/>
        <v>2.5007438235364814E-2</v>
      </c>
      <c r="G4" s="51">
        <f t="shared" si="0"/>
        <v>2.508453888884277E-2</v>
      </c>
      <c r="H4" s="52">
        <v>2.5000000000000001E-2</v>
      </c>
      <c r="I4" s="69">
        <f t="shared" ref="I4:I9" si="1">(1+H4/365)^364-1</f>
        <v>2.5244020533423894E-2</v>
      </c>
      <c r="J4" s="70"/>
      <c r="K4" s="71">
        <f>H4-'Daily Data'!Z37</f>
        <v>1.4300000000000002E-2</v>
      </c>
    </row>
    <row r="5" spans="1:11" ht="23.15" customHeight="1" x14ac:dyDescent="0.35">
      <c r="A5" s="50" t="s">
        <v>17</v>
      </c>
      <c r="B5" s="54">
        <v>3.7600000000000001E-2</v>
      </c>
      <c r="C5" s="51">
        <f>((1+I5)^(C2/365)-1)*365/C2</f>
        <v>2.9634254400412532E-2</v>
      </c>
      <c r="D5" s="54">
        <v>5.4800000000000001E-2</v>
      </c>
      <c r="E5" s="51">
        <f>((1+$I5)^(E2/365)-1)*365/E2</f>
        <v>2.9689640281022129E-2</v>
      </c>
      <c r="F5" s="51">
        <f t="shared" ref="F5:G5" si="2">((1+$I5)^(F2/365)-1)*365/F2</f>
        <v>2.972583585819133E-2</v>
      </c>
      <c r="G5" s="51">
        <f t="shared" si="2"/>
        <v>2.9834775965824796E-2</v>
      </c>
      <c r="H5" s="52">
        <v>2.9700000000000001E-2</v>
      </c>
      <c r="I5" s="69">
        <f t="shared" si="1"/>
        <v>3.0060383386666834E-2</v>
      </c>
      <c r="J5" s="70"/>
      <c r="K5" s="71">
        <f>H5-'Daily Data'!BJ37</f>
        <v>2.2600000000000002E-2</v>
      </c>
    </row>
    <row r="6" spans="1:11" ht="23.15" customHeight="1" x14ac:dyDescent="0.35">
      <c r="A6" s="50" t="s">
        <v>55</v>
      </c>
      <c r="B6" s="54">
        <v>3.7499999999999999E-2</v>
      </c>
      <c r="C6" s="51">
        <f>((1+I6)^(C2/365)-1)*365/C2</f>
        <v>3.352794307416513E-2</v>
      </c>
      <c r="D6" s="54">
        <v>0.06</v>
      </c>
      <c r="E6" s="51">
        <f>((1+$I6)^(E2/365)-1)*365/E2</f>
        <v>3.3598847653839269E-2</v>
      </c>
      <c r="F6" s="51">
        <f t="shared" ref="F6:G6" si="3">((1+$I6)^(F2/365)-1)*365/F2</f>
        <v>3.3645197471173338E-2</v>
      </c>
      <c r="G6" s="51">
        <f t="shared" si="3"/>
        <v>3.3784759030294723E-2</v>
      </c>
      <c r="H6" s="52">
        <v>3.3599999999999998E-2</v>
      </c>
      <c r="I6" s="69">
        <f t="shared" si="1"/>
        <v>3.4074064898480083E-2</v>
      </c>
      <c r="J6" s="70"/>
      <c r="K6" s="71">
        <f>H6-2.3%</f>
        <v>1.0599999999999998E-2</v>
      </c>
    </row>
    <row r="7" spans="1:11" ht="23.15" customHeight="1" x14ac:dyDescent="0.35">
      <c r="A7" s="50" t="s">
        <v>47</v>
      </c>
      <c r="B7" s="54">
        <v>2.0799999999999999E-2</v>
      </c>
      <c r="C7" s="51">
        <f>((1+I7)^(C2/365)-1)*365/C2</f>
        <v>1.975269679067328E-2</v>
      </c>
      <c r="D7" s="54">
        <v>2.1700000000000001E-2</v>
      </c>
      <c r="E7" s="51">
        <f>((1+$I7)^(E2/365)-1)*365/E2</f>
        <v>1.9777296980045173E-2</v>
      </c>
      <c r="F7" s="51">
        <f t="shared" ref="F7:G7" si="4">((1+$I7)^(F2/365)-1)*365/F2</f>
        <v>1.9793362588109313E-2</v>
      </c>
      <c r="G7" s="51">
        <f t="shared" si="4"/>
        <v>1.984166388705326E-2</v>
      </c>
      <c r="H7" s="52">
        <v>1.9800000000000002E-2</v>
      </c>
      <c r="I7" s="69">
        <f t="shared" si="1"/>
        <v>1.9941444070469716E-2</v>
      </c>
      <c r="J7" s="70"/>
      <c r="K7" s="71">
        <f>H7-1.18%</f>
        <v>8.0000000000000019E-3</v>
      </c>
    </row>
    <row r="8" spans="1:11" ht="23.15" customHeight="1" x14ac:dyDescent="0.35">
      <c r="A8" s="50" t="s">
        <v>57</v>
      </c>
      <c r="B8" s="51">
        <f>((1+$I8)^(B2/365)-1)*365/B2</f>
        <v>2.9825387658632803E-2</v>
      </c>
      <c r="C8" s="51">
        <f t="shared" ref="C8:G8" si="5">((1+$I8)^(C2/365)-1)*365/C2</f>
        <v>2.9833917626092474E-2</v>
      </c>
      <c r="D8" s="51">
        <f t="shared" si="5"/>
        <v>2.9853426911121288E-2</v>
      </c>
      <c r="E8" s="51">
        <f t="shared" si="5"/>
        <v>2.9890052682286655E-2</v>
      </c>
      <c r="F8" s="51">
        <f t="shared" si="5"/>
        <v>2.99267383660425E-2</v>
      </c>
      <c r="G8" s="51">
        <f t="shared" si="5"/>
        <v>3.0037155996495261E-2</v>
      </c>
      <c r="H8" s="52">
        <v>2.9899999999999999E-2</v>
      </c>
      <c r="I8" s="69">
        <f t="shared" si="1"/>
        <v>3.0265834761004307E-2</v>
      </c>
      <c r="J8" s="70"/>
      <c r="K8" s="71">
        <f>H8-'Daily Data'!H37</f>
        <v>2.23E-2</v>
      </c>
    </row>
    <row r="9" spans="1:11" ht="23.15" customHeight="1" x14ac:dyDescent="0.35">
      <c r="A9" s="50" t="s">
        <v>56</v>
      </c>
      <c r="B9" s="51">
        <f>((1+$I9)^(B2/365)-1)*365/B2</f>
        <v>3.1521584525303625E-2</v>
      </c>
      <c r="C9" s="51">
        <f t="shared" ref="C9:G9" si="6">((1+$I9)^(C2/365)-1)*365/C2</f>
        <v>3.1531112295218718E-2</v>
      </c>
      <c r="D9" s="51">
        <f t="shared" si="6"/>
        <v>3.1552904476820465E-2</v>
      </c>
      <c r="E9" s="51">
        <f t="shared" si="6"/>
        <v>3.1593818960967544E-2</v>
      </c>
      <c r="F9" s="51">
        <f t="shared" si="6"/>
        <v>3.1634804183241431E-2</v>
      </c>
      <c r="G9" s="51">
        <f t="shared" si="6"/>
        <v>3.1758185656137534E-2</v>
      </c>
      <c r="H9" s="52">
        <v>3.1600000000000003E-2</v>
      </c>
      <c r="I9" s="69">
        <f t="shared" si="1"/>
        <v>3.2013822219780108E-2</v>
      </c>
      <c r="J9" s="70"/>
      <c r="K9" s="71"/>
    </row>
  </sheetData>
  <conditionalFormatting sqref="A1:I9">
    <cfRule type="expression" dxfId="216" priority="1">
      <formula>_xlfn.ISFORMULA(A1)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BD289-4348-4499-90DB-C42C32398858}">
  <dimension ref="A1:K9"/>
  <sheetViews>
    <sheetView zoomScale="70" zoomScaleNormal="70" workbookViewId="0">
      <selection activeCell="K6" sqref="K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48" t="s">
        <v>14</v>
      </c>
      <c r="B1" s="11"/>
      <c r="C1" s="11"/>
      <c r="D1" s="11"/>
      <c r="E1" s="11"/>
      <c r="F1" s="11"/>
      <c r="G1" s="11"/>
      <c r="H1" s="11"/>
      <c r="I1" s="11"/>
    </row>
    <row r="2" spans="1:11" ht="23.15" customHeight="1" x14ac:dyDescent="0.35">
      <c r="A2" s="49">
        <v>46110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K2" s="78"/>
    </row>
    <row r="3" spans="1:11" ht="23.15" customHeight="1" x14ac:dyDescent="0.35">
      <c r="A3" s="50" t="s">
        <v>16</v>
      </c>
      <c r="B3" s="54">
        <v>0.03</v>
      </c>
      <c r="C3" s="54">
        <v>3.27E-2</v>
      </c>
      <c r="D3" s="54">
        <v>3.9899999999999998E-2</v>
      </c>
      <c r="E3" s="54">
        <v>4.3900000000000002E-2</v>
      </c>
      <c r="F3" s="54">
        <v>6.4899999999999999E-2</v>
      </c>
      <c r="G3" s="54">
        <v>6.8699999999999997E-2</v>
      </c>
      <c r="H3" s="52">
        <v>3.3399999999999999E-2</v>
      </c>
      <c r="I3" s="52">
        <f>(1+H3/365)^365-1</f>
        <v>3.3962462182619113E-2</v>
      </c>
      <c r="J3" s="70"/>
      <c r="K3" s="71">
        <f>H3-'Daily Data'!AR38</f>
        <v>2.7400000000000001E-2</v>
      </c>
    </row>
    <row r="4" spans="1:11" ht="23.15" customHeight="1" x14ac:dyDescent="0.35">
      <c r="A4" s="50" t="s">
        <v>15</v>
      </c>
      <c r="B4" s="51">
        <f>((1+$I4)^(B2/365)-1)*365/B2</f>
        <v>2.5005137572765568E-2</v>
      </c>
      <c r="C4" s="51">
        <f t="shared" ref="C4:G4" si="0">((1+$I4)^(C2/365)-1)*365/C2</f>
        <v>2.5011133186924366E-2</v>
      </c>
      <c r="D4" s="51">
        <f t="shared" si="0"/>
        <v>2.5024844646748073E-2</v>
      </c>
      <c r="E4" s="51">
        <f t="shared" si="0"/>
        <v>2.5050580654265259E-2</v>
      </c>
      <c r="F4" s="51">
        <f t="shared" si="0"/>
        <v>2.5076351951623117E-2</v>
      </c>
      <c r="G4" s="51">
        <f t="shared" si="0"/>
        <v>2.5153878127579712E-2</v>
      </c>
      <c r="H4" s="52">
        <v>2.5000000000000001E-2</v>
      </c>
      <c r="I4" s="52">
        <f t="shared" ref="I4:I9" si="1">(1+H4/365)^365-1</f>
        <v>2.5314242726610869E-2</v>
      </c>
      <c r="J4" s="70"/>
      <c r="K4" s="71">
        <f>H4-'Daily Data'!Z38</f>
        <v>1.3700000000000002E-2</v>
      </c>
    </row>
    <row r="5" spans="1:11" ht="23.15" customHeight="1" x14ac:dyDescent="0.35">
      <c r="A5" s="50" t="s">
        <v>17</v>
      </c>
      <c r="B5" s="54">
        <v>3.7600000000000001E-2</v>
      </c>
      <c r="C5" s="51">
        <f>((1+I5)^(C2/365)-1)*365/C2</f>
        <v>2.97157135659997E-2</v>
      </c>
      <c r="D5" s="54">
        <v>5.4800000000000001E-2</v>
      </c>
      <c r="E5" s="51">
        <f>((1+$I5)^(E2/365)-1)*365/E2</f>
        <v>2.9771404489047876E-2</v>
      </c>
      <c r="F5" s="51">
        <f t="shared" ref="F5:G5" si="2">((1+$I5)^(F2/365)-1)*365/F2</f>
        <v>2.9807799622090583E-2</v>
      </c>
      <c r="G5" s="51">
        <f t="shared" si="2"/>
        <v>2.991734132434765E-2</v>
      </c>
      <c r="H5" s="52">
        <v>2.9700000000000001E-2</v>
      </c>
      <c r="I5" s="52">
        <f t="shared" si="1"/>
        <v>3.0144199258958837E-2</v>
      </c>
      <c r="J5" s="70"/>
      <c r="K5" s="71">
        <f>H5-'Daily Data'!BJ38</f>
        <v>2.24E-2</v>
      </c>
    </row>
    <row r="6" spans="1:11" ht="23.15" customHeight="1" x14ac:dyDescent="0.35">
      <c r="A6" s="50" t="s">
        <v>55</v>
      </c>
      <c r="B6" s="54">
        <v>3.7499999999999999E-2</v>
      </c>
      <c r="C6" s="51">
        <f>((1+I6)^(C2/365)-1)*365/C2</f>
        <v>3.3720232087598924E-2</v>
      </c>
      <c r="D6" s="54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52">
        <f t="shared" si="1"/>
        <v>3.4272668936467188E-2</v>
      </c>
      <c r="J6" s="70"/>
      <c r="K6" s="71">
        <f>H6-2.3%</f>
        <v>1.0700000000000001E-2</v>
      </c>
    </row>
    <row r="7" spans="1:11" ht="23.15" customHeight="1" x14ac:dyDescent="0.35">
      <c r="A7" s="50" t="s">
        <v>47</v>
      </c>
      <c r="B7" s="54">
        <v>2.0799999999999999E-2</v>
      </c>
      <c r="C7" s="51">
        <f>((1+I7)^(C2/365)-1)*365/C2</f>
        <v>1.9806983049333989E-2</v>
      </c>
      <c r="D7" s="54">
        <v>2.1700000000000001E-2</v>
      </c>
      <c r="E7" s="51">
        <f>((1+$I7)^(E2/365)-1)*365/E2</f>
        <v>1.9831718680958288E-2</v>
      </c>
      <c r="F7" s="51">
        <f t="shared" ref="F7:G7" si="4">((1+$I7)^(F2/365)-1)*365/F2</f>
        <v>1.9847872802931852E-2</v>
      </c>
      <c r="G7" s="51">
        <f t="shared" si="4"/>
        <v>1.9896440508318809E-2</v>
      </c>
      <c r="H7" s="52">
        <v>1.9800000000000002E-2</v>
      </c>
      <c r="I7" s="52">
        <f t="shared" si="1"/>
        <v>1.9996772400860507E-2</v>
      </c>
      <c r="J7" s="70"/>
      <c r="K7" s="71">
        <f>H7-1.18%</f>
        <v>8.0000000000000019E-3</v>
      </c>
    </row>
    <row r="8" spans="1:11" ht="23.15" customHeight="1" x14ac:dyDescent="0.35">
      <c r="A8" s="50" t="s">
        <v>57</v>
      </c>
      <c r="B8" s="51">
        <f>((1+$I8)^(B2/365)-1)*365/7</f>
        <v>2.9807299952161154E-2</v>
      </c>
      <c r="C8" s="51">
        <f t="shared" ref="C8:G8" si="5">((1+$I8)^(C2/365)-1)*365/7</f>
        <v>5.9631639153405747E-2</v>
      </c>
      <c r="D8" s="51">
        <f t="shared" si="5"/>
        <v>0.12786559370812886</v>
      </c>
      <c r="E8" s="51">
        <f t="shared" si="5"/>
        <v>0.25604474158168417</v>
      </c>
      <c r="F8" s="51">
        <f t="shared" si="5"/>
        <v>0.38453821252348536</v>
      </c>
      <c r="G8" s="51">
        <f t="shared" si="5"/>
        <v>0.77191228109692589</v>
      </c>
      <c r="H8" s="52">
        <v>2.98E-2</v>
      </c>
      <c r="I8" s="52">
        <f t="shared" si="1"/>
        <v>3.0247210433201888E-2</v>
      </c>
      <c r="J8" s="70"/>
      <c r="K8" s="71">
        <f>H8-'Daily Data'!H38</f>
        <v>2.1899999999999999E-2</v>
      </c>
    </row>
    <row r="9" spans="1:11" ht="23.15" customHeight="1" x14ac:dyDescent="0.35">
      <c r="A9" s="50" t="s">
        <v>56</v>
      </c>
      <c r="B9" s="51">
        <f>((1+$I9)^(B2/365)-1)*365/B2</f>
        <v>3.1608208526821953E-2</v>
      </c>
      <c r="C9" s="51">
        <f t="shared" ref="C9:G9" si="6">((1+$I9)^(C2/365)-1)*365/C2</f>
        <v>3.1617788734936939E-2</v>
      </c>
      <c r="D9" s="51">
        <f t="shared" si="6"/>
        <v>3.1639700894511957E-2</v>
      </c>
      <c r="E9" s="51">
        <f t="shared" si="6"/>
        <v>3.1680840785172228E-2</v>
      </c>
      <c r="F9" s="51">
        <f t="shared" si="6"/>
        <v>3.172205199932869E-2</v>
      </c>
      <c r="G9" s="51">
        <f t="shared" si="6"/>
        <v>3.1846114975320451E-2</v>
      </c>
      <c r="H9" s="52">
        <v>3.1600000000000003E-2</v>
      </c>
      <c r="I9" s="52">
        <f t="shared" si="1"/>
        <v>3.2103169169868329E-2</v>
      </c>
      <c r="J9" s="70"/>
      <c r="K9" s="71"/>
    </row>
  </sheetData>
  <conditionalFormatting sqref="A1:I9">
    <cfRule type="expression" dxfId="215" priority="1">
      <formula>_xlfn.ISFORMULA(A1)</formula>
    </cfRule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C885E-EAEE-4F36-8B17-317D9CF71119}">
  <dimension ref="A1:K9"/>
  <sheetViews>
    <sheetView topLeftCell="B1" zoomScale="85" zoomScaleNormal="85" workbookViewId="0">
      <selection activeCell="D18" sqref="D18"/>
    </sheetView>
  </sheetViews>
  <sheetFormatPr defaultColWidth="30.54296875" defaultRowHeight="23.15" customHeight="1" x14ac:dyDescent="0.35"/>
  <cols>
    <col min="10" max="10" width="0" hidden="1" customWidth="1"/>
  </cols>
  <sheetData>
    <row r="1" spans="1:11" ht="23.15" customHeight="1" x14ac:dyDescent="0.35">
      <c r="A1" s="48" t="s">
        <v>14</v>
      </c>
      <c r="B1" s="11"/>
      <c r="C1" s="11"/>
      <c r="D1" s="11"/>
      <c r="E1" s="11"/>
      <c r="F1" s="11"/>
      <c r="G1" s="11"/>
      <c r="H1" s="11"/>
      <c r="I1" s="11"/>
    </row>
    <row r="2" spans="1:11" ht="23.15" customHeight="1" x14ac:dyDescent="0.35">
      <c r="A2" s="49">
        <v>46112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K2" s="78"/>
    </row>
    <row r="3" spans="1:11" ht="23.15" customHeight="1" x14ac:dyDescent="0.35">
      <c r="A3" s="50" t="s">
        <v>16</v>
      </c>
      <c r="B3" s="54">
        <v>2.53E-2</v>
      </c>
      <c r="C3" s="54">
        <v>3.2000000000000001E-2</v>
      </c>
      <c r="D3" s="54">
        <v>0.04</v>
      </c>
      <c r="E3" s="54">
        <v>3.15E-2</v>
      </c>
      <c r="F3" s="54">
        <v>6.4899999999999999E-2</v>
      </c>
      <c r="G3" s="54">
        <v>6.8400000000000002E-2</v>
      </c>
      <c r="H3" s="52">
        <v>3.4099999999999998E-2</v>
      </c>
      <c r="I3" s="69">
        <f>(1+H3/365)^365-1</f>
        <v>3.4686422321102972E-2</v>
      </c>
      <c r="J3" s="70"/>
      <c r="K3" s="71">
        <f>H3-'Daily Data'!AR39</f>
        <v>2.81E-2</v>
      </c>
    </row>
    <row r="4" spans="1:11" ht="23.15" customHeight="1" x14ac:dyDescent="0.35">
      <c r="A4" s="50" t="s">
        <v>15</v>
      </c>
      <c r="B4" s="51">
        <f>((1+$I4)^(B2/365)-1)*365/B2</f>
        <v>2.5005137572765568E-2</v>
      </c>
      <c r="C4" s="51">
        <f t="shared" ref="C4:G4" si="0">((1+$I4)^(C2/365)-1)*365/C2</f>
        <v>2.5011133186924366E-2</v>
      </c>
      <c r="D4" s="51">
        <f t="shared" si="0"/>
        <v>2.5024844646748073E-2</v>
      </c>
      <c r="E4" s="51">
        <f t="shared" si="0"/>
        <v>2.5050580654265259E-2</v>
      </c>
      <c r="F4" s="51">
        <f t="shared" si="0"/>
        <v>2.5076351951623117E-2</v>
      </c>
      <c r="G4" s="51">
        <f t="shared" si="0"/>
        <v>2.5153878127579712E-2</v>
      </c>
      <c r="H4" s="52">
        <v>2.5000000000000001E-2</v>
      </c>
      <c r="I4" s="69">
        <f t="shared" ref="I4:I9" si="1">(1+H4/365)^365-1</f>
        <v>2.5314242726610869E-2</v>
      </c>
      <c r="J4" s="70"/>
      <c r="K4" s="71">
        <f>H4-'Daily Data'!Z39</f>
        <v>1.4800000000000001E-2</v>
      </c>
    </row>
    <row r="5" spans="1:11" ht="23.15" customHeight="1" x14ac:dyDescent="0.35">
      <c r="A5" s="50" t="s">
        <v>17</v>
      </c>
      <c r="B5" s="54">
        <v>3.7600000000000001E-2</v>
      </c>
      <c r="C5" s="51">
        <f>((1+I5)^(C2/365)-1)*365/C2</f>
        <v>3.1117230159457634E-2</v>
      </c>
      <c r="D5" s="54">
        <v>5.4800000000000001E-2</v>
      </c>
      <c r="E5" s="51">
        <f>((1+$I5)^(E2/365)-1)*365/E2</f>
        <v>3.1178300696434385E-2</v>
      </c>
      <c r="F5" s="51">
        <f t="shared" ref="F5:G5" si="2">((1+$I5)^(F2/365)-1)*365/F2</f>
        <v>3.1218215395197819E-2</v>
      </c>
      <c r="G5" s="51">
        <f t="shared" si="2"/>
        <v>3.1338368720569248E-2</v>
      </c>
      <c r="H5" s="52">
        <v>3.1099999999999999E-2</v>
      </c>
      <c r="I5" s="69">
        <f t="shared" si="1"/>
        <v>3.1587290874597329E-2</v>
      </c>
      <c r="J5" s="70"/>
      <c r="K5" s="71">
        <f>H5-'Daily Data'!BJ39</f>
        <v>2.2699999999999998E-2</v>
      </c>
    </row>
    <row r="6" spans="1:11" ht="23.15" customHeight="1" x14ac:dyDescent="0.35">
      <c r="A6" s="50" t="s">
        <v>55</v>
      </c>
      <c r="B6" s="54">
        <v>3.7499999999999999E-2</v>
      </c>
      <c r="C6" s="51">
        <f>((1+I6)^(C2/365)-1)*365/C2</f>
        <v>3.3720232087598924E-2</v>
      </c>
      <c r="D6" s="54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69">
        <f t="shared" si="1"/>
        <v>3.4272668936467188E-2</v>
      </c>
      <c r="J6" s="70"/>
      <c r="K6" s="71">
        <f>H6-2.3%</f>
        <v>1.0700000000000001E-2</v>
      </c>
    </row>
    <row r="7" spans="1:11" ht="23.15" customHeight="1" x14ac:dyDescent="0.35">
      <c r="A7" s="50" t="s">
        <v>47</v>
      </c>
      <c r="B7" s="54">
        <v>2.1899999999999999E-2</v>
      </c>
      <c r="C7" s="51">
        <f>((1+I7)^(C2/365)-1)*365/C2</f>
        <v>2.090778059017687E-2</v>
      </c>
      <c r="D7" s="54">
        <v>2.3E-2</v>
      </c>
      <c r="E7" s="51">
        <f>((1+$I7)^(E2/365)-1)*365/E2</f>
        <v>2.0935342936297952E-2</v>
      </c>
      <c r="F7" s="51">
        <f t="shared" ref="F7:G7" si="4">((1+$I7)^(F2/365)-1)*365/F2</f>
        <v>2.0953344478137657E-2</v>
      </c>
      <c r="G7" s="51">
        <f t="shared" si="4"/>
        <v>2.1007473023389494E-2</v>
      </c>
      <c r="H7" s="52">
        <v>2.0899999999999998E-2</v>
      </c>
      <c r="I7" s="69">
        <f t="shared" si="1"/>
        <v>2.1119323554426916E-2</v>
      </c>
      <c r="J7" s="70"/>
      <c r="K7" s="71">
        <f>H7-1.18%</f>
        <v>9.0999999999999987E-3</v>
      </c>
    </row>
    <row r="8" spans="1:11" ht="23.15" customHeight="1" x14ac:dyDescent="0.35">
      <c r="A8" s="50" t="s">
        <v>57</v>
      </c>
      <c r="B8" s="51">
        <f>((1+$I8)^(B2/365)-1)*365/B2</f>
        <v>3.0507646955369054E-2</v>
      </c>
      <c r="C8" s="51">
        <f t="shared" ref="C8:G8" si="5">((1+$I8)^(C2/365)-1)*365/C2</f>
        <v>3.0516571634355998E-2</v>
      </c>
      <c r="D8" s="51">
        <f t="shared" si="5"/>
        <v>3.0536983974912595E-2</v>
      </c>
      <c r="E8" s="51">
        <f t="shared" si="5"/>
        <v>3.0575306196430729E-2</v>
      </c>
      <c r="F8" s="51">
        <f t="shared" si="5"/>
        <v>3.0613692540966575E-2</v>
      </c>
      <c r="G8" s="51">
        <f t="shared" si="5"/>
        <v>3.0729237520952548E-2</v>
      </c>
      <c r="H8" s="52">
        <v>3.0499999999999999E-2</v>
      </c>
      <c r="I8" s="69">
        <f t="shared" si="1"/>
        <v>3.0968576342366605E-2</v>
      </c>
      <c r="J8" s="70"/>
      <c r="K8" s="71">
        <f>H8-'Daily Data'!H39</f>
        <v>2.2199999999999998E-2</v>
      </c>
    </row>
    <row r="9" spans="1:11" ht="23.15" customHeight="1" x14ac:dyDescent="0.35">
      <c r="A9" s="50" t="s">
        <v>56</v>
      </c>
      <c r="B9" s="51">
        <f>((1+$I9)^(B2/365)-1)*365/B2</f>
        <v>3.2408629440969942E-2</v>
      </c>
      <c r="C9" s="51">
        <f t="shared" ref="C9:G9" si="6">((1+$I9)^(C2/365)-1)*365/C2</f>
        <v>3.2418700995537265E-2</v>
      </c>
      <c r="D9" s="51">
        <f t="shared" si="6"/>
        <v>3.2441737365686896E-2</v>
      </c>
      <c r="E9" s="51">
        <f t="shared" si="6"/>
        <v>3.2484989406369791E-2</v>
      </c>
      <c r="F9" s="51">
        <f t="shared" si="6"/>
        <v>3.2528318333154047E-2</v>
      </c>
      <c r="G9" s="51">
        <f t="shared" si="6"/>
        <v>3.2658767969349564E-2</v>
      </c>
      <c r="H9" s="52">
        <v>3.2399999999999998E-2</v>
      </c>
      <c r="I9" s="69">
        <f t="shared" si="1"/>
        <v>3.2929109626098185E-2</v>
      </c>
      <c r="J9" s="70"/>
      <c r="K9" s="71"/>
    </row>
  </sheetData>
  <conditionalFormatting sqref="A1:I9">
    <cfRule type="expression" dxfId="214" priority="1">
      <formula>_xlfn.ISFORMULA(A1)</formula>
    </cfRule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A4514-210F-480C-B444-C53E4AD61522}">
  <dimension ref="A1:K9"/>
  <sheetViews>
    <sheetView topLeftCell="G1" workbookViewId="0">
      <selection sqref="A1: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19.5" x14ac:dyDescent="0.35">
      <c r="A1" s="48" t="s">
        <v>14</v>
      </c>
      <c r="B1" s="11"/>
      <c r="C1" s="11"/>
      <c r="D1" s="11"/>
      <c r="E1" s="11"/>
      <c r="F1" s="11"/>
      <c r="G1" s="11"/>
      <c r="H1" s="11"/>
      <c r="I1" s="11"/>
    </row>
    <row r="2" spans="1:11" ht="23.15" customHeight="1" x14ac:dyDescent="0.35">
      <c r="A2" s="49">
        <v>45748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K2" s="78"/>
    </row>
    <row r="3" spans="1:11" ht="23.15" customHeight="1" x14ac:dyDescent="0.35">
      <c r="A3" s="50" t="s">
        <v>16</v>
      </c>
      <c r="B3" s="54">
        <v>4.2999999999999997E-2</v>
      </c>
      <c r="C3" s="54">
        <v>3.2599999999999997E-2</v>
      </c>
      <c r="D3" s="54">
        <v>0.04</v>
      </c>
      <c r="E3" s="54">
        <v>4.3799999999999999E-2</v>
      </c>
      <c r="F3" s="54">
        <v>5.9900000000000002E-2</v>
      </c>
      <c r="G3" s="54">
        <v>6.6900000000000001E-2</v>
      </c>
      <c r="H3" s="52">
        <v>3.39E-2</v>
      </c>
      <c r="I3" s="69">
        <f>(1+H3/365)^365-1</f>
        <v>3.4479524999688094E-2</v>
      </c>
      <c r="J3" s="70"/>
      <c r="K3" s="71">
        <f>H3-'Daily Data'!AR40</f>
        <v>2.7900000000000001E-2</v>
      </c>
    </row>
    <row r="4" spans="1:11" ht="23.15" customHeight="1" x14ac:dyDescent="0.35">
      <c r="A4" s="50" t="s">
        <v>15</v>
      </c>
      <c r="B4" s="51">
        <f>((1+$I4)^(B2/365)-1)*365/B2</f>
        <v>2.5005137572765568E-2</v>
      </c>
      <c r="C4" s="51">
        <f t="shared" ref="C4:G4" si="0">((1+$I4)^(C2/365)-1)*365/C2</f>
        <v>2.5011133186924366E-2</v>
      </c>
      <c r="D4" s="51">
        <f t="shared" si="0"/>
        <v>2.5024844646748073E-2</v>
      </c>
      <c r="E4" s="51">
        <f t="shared" si="0"/>
        <v>2.5050580654265259E-2</v>
      </c>
      <c r="F4" s="51">
        <f t="shared" si="0"/>
        <v>2.5076351951623117E-2</v>
      </c>
      <c r="G4" s="51">
        <f t="shared" si="0"/>
        <v>2.5153878127579712E-2</v>
      </c>
      <c r="H4" s="52">
        <v>2.5000000000000001E-2</v>
      </c>
      <c r="I4" s="69">
        <f t="shared" ref="I4:I9" si="1">(1+H4/365)^365-1</f>
        <v>2.5314242726610869E-2</v>
      </c>
      <c r="J4" s="70"/>
      <c r="K4" s="71">
        <f>'Daily Data'!Z40</f>
        <v>1.0500000000000001E-2</v>
      </c>
    </row>
    <row r="5" spans="1:11" ht="23.15" customHeight="1" x14ac:dyDescent="0.35">
      <c r="A5" s="50" t="s">
        <v>17</v>
      </c>
      <c r="B5" s="54">
        <v>3.7600000000000001E-2</v>
      </c>
      <c r="C5" s="51">
        <f>((1+I5)^(C2/365)-1)*365/C2</f>
        <v>3.0616680497176203E-2</v>
      </c>
      <c r="D5" s="54">
        <v>5.4800000000000001E-2</v>
      </c>
      <c r="E5" s="51">
        <f>((1+$I5)^(E2/365)-1)*365/E2</f>
        <v>3.0675801218832937E-2</v>
      </c>
      <c r="F5" s="51">
        <f t="shared" ref="F5:G5" si="2">((1+$I5)^(F2/365)-1)*365/F2</f>
        <v>3.071444020872649E-2</v>
      </c>
      <c r="G5" s="51">
        <f t="shared" si="2"/>
        <v>3.0830746942096931E-2</v>
      </c>
      <c r="H5" s="52">
        <v>3.0599999999999999E-2</v>
      </c>
      <c r="I5" s="69">
        <f t="shared" si="1"/>
        <v>3.1071669725747597E-2</v>
      </c>
      <c r="J5" s="70"/>
      <c r="K5" s="71">
        <f>H5-'Daily Data'!BJ40</f>
        <v>2.23E-2</v>
      </c>
    </row>
    <row r="6" spans="1:11" ht="23.15" customHeight="1" x14ac:dyDescent="0.35">
      <c r="A6" s="50" t="s">
        <v>55</v>
      </c>
      <c r="B6" s="54">
        <v>3.7499999999999999E-2</v>
      </c>
      <c r="C6" s="51">
        <f>((1+I6)^(C2/365)-1)*365/C2</f>
        <v>3.3720232087598924E-2</v>
      </c>
      <c r="D6" s="54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69">
        <f t="shared" si="1"/>
        <v>3.4272668936467188E-2</v>
      </c>
      <c r="J6" s="70"/>
      <c r="K6" s="71">
        <f>'01.04.2026'!H6-2.3%</f>
        <v>1.0700000000000001E-2</v>
      </c>
    </row>
    <row r="7" spans="1:11" ht="23.15" customHeight="1" x14ac:dyDescent="0.35">
      <c r="A7" s="50" t="s">
        <v>47</v>
      </c>
      <c r="B7" s="54">
        <v>2.0799999999999999E-2</v>
      </c>
      <c r="C7" s="51">
        <f>((1+I7)^(C2/365)-1)*365/C2</f>
        <v>1.9806983049333989E-2</v>
      </c>
      <c r="D7" s="54">
        <v>2.18E-2</v>
      </c>
      <c r="E7" s="51">
        <f>((1+$I7)^(E2/365)-1)*365/E2</f>
        <v>1.9831718680958288E-2</v>
      </c>
      <c r="F7" s="51">
        <f t="shared" ref="F7:G7" si="4">((1+$I7)^(F2/365)-1)*365/F2</f>
        <v>1.9847872802931852E-2</v>
      </c>
      <c r="G7" s="51">
        <f t="shared" si="4"/>
        <v>1.9896440508318809E-2</v>
      </c>
      <c r="H7" s="52">
        <v>1.9800000000000002E-2</v>
      </c>
      <c r="I7" s="69">
        <f t="shared" si="1"/>
        <v>1.9996772400860507E-2</v>
      </c>
      <c r="J7" s="70"/>
      <c r="K7" s="71">
        <f>H7-0.84%</f>
        <v>1.1400000000000002E-2</v>
      </c>
    </row>
    <row r="8" spans="1:11" ht="23.15" customHeight="1" x14ac:dyDescent="0.35">
      <c r="A8" s="50" t="s">
        <v>57</v>
      </c>
      <c r="B8" s="51">
        <f>((1+$I8)^(B2/365)-1)*365/B2</f>
        <v>3.0507646955369054E-2</v>
      </c>
      <c r="C8" s="51">
        <f t="shared" ref="C8:G8" si="5">((1+$I8)^(C2/365)-1)*365/C2</f>
        <v>3.0516571634355998E-2</v>
      </c>
      <c r="D8" s="51">
        <f t="shared" si="5"/>
        <v>3.0536983974912595E-2</v>
      </c>
      <c r="E8" s="51">
        <f t="shared" si="5"/>
        <v>3.0575306196430729E-2</v>
      </c>
      <c r="F8" s="51">
        <f t="shared" si="5"/>
        <v>3.0613692540966575E-2</v>
      </c>
      <c r="G8" s="51">
        <f t="shared" si="5"/>
        <v>3.0729237520952548E-2</v>
      </c>
      <c r="H8" s="52">
        <v>3.0499999999999999E-2</v>
      </c>
      <c r="I8" s="69">
        <f t="shared" si="1"/>
        <v>3.0968576342366605E-2</v>
      </c>
      <c r="J8" s="70"/>
      <c r="K8" s="71">
        <f>H8-'Daily Data'!H40</f>
        <v>2.2199999999999998E-2</v>
      </c>
    </row>
    <row r="9" spans="1:11" ht="23.15" customHeight="1" x14ac:dyDescent="0.35">
      <c r="A9" s="50" t="s">
        <v>56</v>
      </c>
      <c r="B9" s="51">
        <f>((1+$I9)^(B2/365)-1)*365/B2</f>
        <v>3.2108470364739912E-2</v>
      </c>
      <c r="C9" s="51">
        <f t="shared" ref="C9:G9" si="6">((1+$I9)^(C2/365)-1)*365/C2</f>
        <v>3.2118356223753065E-2</v>
      </c>
      <c r="D9" s="51">
        <f t="shared" si="6"/>
        <v>3.2140967715421409E-2</v>
      </c>
      <c r="E9" s="51">
        <f t="shared" si="6"/>
        <v>3.2183421488258611E-2</v>
      </c>
      <c r="F9" s="51">
        <f t="shared" si="6"/>
        <v>3.2225950028510517E-2</v>
      </c>
      <c r="G9" s="51">
        <f t="shared" si="6"/>
        <v>3.2353985736690669E-2</v>
      </c>
      <c r="H9" s="52">
        <v>3.2099999999999997E-2</v>
      </c>
      <c r="I9" s="69">
        <f t="shared" si="1"/>
        <v>3.2619304739437416E-2</v>
      </c>
      <c r="J9" s="70"/>
      <c r="K9" s="71"/>
    </row>
  </sheetData>
  <conditionalFormatting sqref="A1:I9">
    <cfRule type="expression" dxfId="213" priority="1">
      <formula>_xlfn.ISFORMULA(A1)</formula>
    </cfRule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64C22-80E2-4998-A551-C0BC4CA72E3D}">
  <dimension ref="A1:K9"/>
  <sheetViews>
    <sheetView topLeftCell="C1" workbookViewId="0">
      <selection activeCell="K9" sqref="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48" t="s">
        <v>14</v>
      </c>
      <c r="B1" s="11"/>
      <c r="C1" s="11"/>
      <c r="D1" s="11"/>
      <c r="E1" s="11"/>
      <c r="F1" s="11"/>
      <c r="G1" s="11"/>
      <c r="H1" s="11"/>
      <c r="I1" s="11"/>
    </row>
    <row r="2" spans="1:11" ht="23.15" customHeight="1" x14ac:dyDescent="0.35">
      <c r="A2" s="49">
        <v>45749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K2" s="78"/>
    </row>
    <row r="3" spans="1:11" ht="23.15" customHeight="1" x14ac:dyDescent="0.35">
      <c r="A3" s="50" t="s">
        <v>16</v>
      </c>
      <c r="B3" s="54">
        <v>0.04</v>
      </c>
      <c r="C3" s="54">
        <v>3.3000000000000002E-2</v>
      </c>
      <c r="D3" s="54">
        <v>4.1000000000000002E-2</v>
      </c>
      <c r="E3" s="54">
        <v>4.3799999999999999E-2</v>
      </c>
      <c r="F3" s="54">
        <v>5.9900000000000002E-2</v>
      </c>
      <c r="G3" s="54">
        <v>6.6000000000000003E-2</v>
      </c>
      <c r="H3" s="52">
        <v>3.3000000000000002E-2</v>
      </c>
      <c r="I3" s="69">
        <f>((1+H3/365)^365-1)</f>
        <v>3.3548997504548206E-2</v>
      </c>
      <c r="J3" s="70"/>
      <c r="K3" s="71">
        <f>H3-'Daily Data'!AR41</f>
        <v>2.7000000000000003E-2</v>
      </c>
    </row>
    <row r="4" spans="1:11" ht="23.15" customHeight="1" x14ac:dyDescent="0.35">
      <c r="A4" s="50" t="s">
        <v>15</v>
      </c>
      <c r="B4" s="51">
        <f>((1+$I4)^(B2/365)-1)*365/B2</f>
        <v>2.5005137572765568E-2</v>
      </c>
      <c r="C4" s="51">
        <f t="shared" ref="C4:G4" si="0">((1+$I4)^(C2/365)-1)*365/C2</f>
        <v>2.5011133186924366E-2</v>
      </c>
      <c r="D4" s="51">
        <f t="shared" si="0"/>
        <v>2.5024844646748073E-2</v>
      </c>
      <c r="E4" s="51">
        <f t="shared" si="0"/>
        <v>2.5050580654265259E-2</v>
      </c>
      <c r="F4" s="51">
        <f t="shared" si="0"/>
        <v>2.5076351951623117E-2</v>
      </c>
      <c r="G4" s="51">
        <f t="shared" si="0"/>
        <v>2.5153878127579712E-2</v>
      </c>
      <c r="H4" s="52">
        <v>2.5000000000000001E-2</v>
      </c>
      <c r="I4" s="69">
        <f>((1+H4/365)^365-1)</f>
        <v>2.5314242726610869E-2</v>
      </c>
      <c r="J4" s="70"/>
      <c r="K4" s="71">
        <f>H4-'Daily Data'!Z41</f>
        <v>1.4500000000000001E-2</v>
      </c>
    </row>
    <row r="5" spans="1:11" ht="23.15" customHeight="1" x14ac:dyDescent="0.35">
      <c r="A5" s="50" t="s">
        <v>17</v>
      </c>
      <c r="B5" s="54">
        <v>3.8100000000000002E-2</v>
      </c>
      <c r="C5" s="51">
        <f>((1+I5)^(C2/365)-1)*365/C2</f>
        <v>3.1017119513989746E-2</v>
      </c>
      <c r="D5" s="54">
        <v>5.4800000000000001E-2</v>
      </c>
      <c r="E5" s="51">
        <f>((1+$I5)^(E2/365)-1)*365/E2</f>
        <v>3.1077797552172309E-2</v>
      </c>
      <c r="F5" s="51">
        <f t="shared" ref="F5:G5" si="1">((1+$I5)^(F2/365)-1)*365/F2</f>
        <v>3.1117455444773193E-2</v>
      </c>
      <c r="G5" s="51">
        <f t="shared" si="1"/>
        <v>3.1236834407789606E-2</v>
      </c>
      <c r="H5" s="52">
        <v>3.1E-2</v>
      </c>
      <c r="I5" s="69">
        <f t="shared" ref="I5:I8" si="2">((1+H5/365)^365-1)</f>
        <v>3.1484146077251696E-2</v>
      </c>
      <c r="J5" s="70"/>
      <c r="K5" s="71">
        <f>H5-'Daily Data'!BJ41</f>
        <v>2.2600000000000002E-2</v>
      </c>
    </row>
    <row r="6" spans="1:11" ht="23.15" customHeight="1" x14ac:dyDescent="0.35">
      <c r="A6" s="50" t="s">
        <v>55</v>
      </c>
      <c r="B6" s="54">
        <v>3.7499999999999999E-2</v>
      </c>
      <c r="C6" s="51">
        <f>((1+I6)^(C2/365)-1)*365/C2</f>
        <v>3.3720232087598924E-2</v>
      </c>
      <c r="D6" s="54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69">
        <f t="shared" si="2"/>
        <v>3.4272668936467188E-2</v>
      </c>
      <c r="J6" s="70"/>
      <c r="K6" s="71">
        <f>H6-2.3%</f>
        <v>1.0700000000000001E-2</v>
      </c>
    </row>
    <row r="7" spans="1:11" ht="23.15" customHeight="1" x14ac:dyDescent="0.35">
      <c r="A7" s="50" t="s">
        <v>47</v>
      </c>
      <c r="B7" s="54">
        <v>2.0799999999999999E-2</v>
      </c>
      <c r="C7" s="51">
        <f>((1+I7)^(C2/365)-1)*365/C2</f>
        <v>1.9806983049333989E-2</v>
      </c>
      <c r="D7" s="54">
        <v>2.18E-2</v>
      </c>
      <c r="E7" s="51">
        <f>((1+$I7)^(E2/365)-1)*365/E2</f>
        <v>1.9831718680958288E-2</v>
      </c>
      <c r="F7" s="51">
        <f t="shared" ref="F7:G7" si="4">((1+$I7)^(F2/365)-1)*365/F2</f>
        <v>1.9847872802931852E-2</v>
      </c>
      <c r="G7" s="51">
        <f t="shared" si="4"/>
        <v>1.9896440508318809E-2</v>
      </c>
      <c r="H7" s="52">
        <v>1.9800000000000002E-2</v>
      </c>
      <c r="I7" s="69">
        <f t="shared" si="2"/>
        <v>1.9996772400860507E-2</v>
      </c>
      <c r="J7" s="70"/>
      <c r="K7" s="71">
        <f>H7-0.92%</f>
        <v>1.0600000000000002E-2</v>
      </c>
    </row>
    <row r="8" spans="1:11" ht="23.15" customHeight="1" x14ac:dyDescent="0.35">
      <c r="A8" s="50" t="s">
        <v>57</v>
      </c>
      <c r="B8" s="51">
        <f>((1+I8)^(B2/365)-1)*365/B2</f>
        <v>3.0807798137726067E-2</v>
      </c>
      <c r="C8" s="51">
        <f t="shared" ref="C8:G8" si="5">((1+J8)^(C2/365)-1)*365/C2</f>
        <v>0</v>
      </c>
      <c r="D8" s="51">
        <f t="shared" si="5"/>
        <v>2.2270967491483346E-2</v>
      </c>
      <c r="E8" s="51">
        <f t="shared" si="5"/>
        <v>0</v>
      </c>
      <c r="F8" s="51">
        <f t="shared" si="5"/>
        <v>0</v>
      </c>
      <c r="G8" s="51">
        <f t="shared" si="5"/>
        <v>0</v>
      </c>
      <c r="H8" s="52">
        <v>3.0800000000000001E-2</v>
      </c>
      <c r="I8" s="69">
        <f t="shared" si="2"/>
        <v>3.127788733589032E-2</v>
      </c>
      <c r="J8" s="70"/>
      <c r="K8" s="71">
        <f>H8-'Daily Data'!H41</f>
        <v>2.2499999999999999E-2</v>
      </c>
    </row>
    <row r="9" spans="1:11" ht="23.15" customHeight="1" x14ac:dyDescent="0.35">
      <c r="A9" s="50" t="s">
        <v>56</v>
      </c>
      <c r="B9" s="51">
        <f>((1+$I9)^(B2/365)-1)*365/B2</f>
        <v>3.290889785714822E-2</v>
      </c>
      <c r="C9" s="51">
        <f t="shared" ref="C9:G9" si="6">((1+$I9)^(C2/365)-1)*365/C2</f>
        <v>3.2919282746055836E-2</v>
      </c>
      <c r="D9" s="51">
        <f t="shared" si="6"/>
        <v>3.2943036046151376E-2</v>
      </c>
      <c r="E9" s="51">
        <f t="shared" si="6"/>
        <v>3.2987635099189561E-2</v>
      </c>
      <c r="F9" s="51">
        <f t="shared" si="6"/>
        <v>3.3032314657883019E-2</v>
      </c>
      <c r="G9" s="51">
        <f t="shared" si="6"/>
        <v>3.3166838004525655E-2</v>
      </c>
      <c r="H9" s="52">
        <v>3.2899999999999999E-2</v>
      </c>
      <c r="I9" s="69">
        <f>(1+H9/365)^365-1</f>
        <v>3.3445657100777071E-2</v>
      </c>
      <c r="J9" s="70"/>
      <c r="K9" s="71"/>
    </row>
  </sheetData>
  <conditionalFormatting sqref="A1:I9">
    <cfRule type="expression" dxfId="212" priority="1">
      <formula>_xlfn.ISFORMULA(A1)</formula>
    </cfRule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9F7BD-368B-4C7A-918C-1CD04EE2B645}">
  <dimension ref="A1:K9"/>
  <sheetViews>
    <sheetView topLeftCell="D1" workbookViewId="0">
      <selection sqref="A1: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48" t="s">
        <v>14</v>
      </c>
      <c r="B1" s="11"/>
      <c r="C1" s="11"/>
      <c r="D1" s="11"/>
      <c r="E1" s="11"/>
      <c r="F1" s="11"/>
      <c r="G1" s="11"/>
      <c r="H1" s="11"/>
      <c r="I1" s="11"/>
    </row>
    <row r="2" spans="1:11" ht="23.15" customHeight="1" x14ac:dyDescent="0.35">
      <c r="A2" s="49">
        <v>45750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K2" s="78"/>
    </row>
    <row r="3" spans="1:11" ht="23.15" customHeight="1" x14ac:dyDescent="0.35">
      <c r="A3" s="50" t="s">
        <v>16</v>
      </c>
      <c r="B3" s="54">
        <v>3.1E-2</v>
      </c>
      <c r="C3" s="54">
        <v>3.49E-2</v>
      </c>
      <c r="D3" s="54">
        <v>4.2000000000000003E-2</v>
      </c>
      <c r="E3" s="54">
        <v>4.3799999999999999E-2</v>
      </c>
      <c r="F3" s="54">
        <v>5.9700000000000003E-2</v>
      </c>
      <c r="G3" s="54">
        <v>6.3899999999999998E-2</v>
      </c>
      <c r="H3" s="52">
        <v>3.1E-2</v>
      </c>
      <c r="I3" s="69">
        <f>(1+H3/365)^365-1</f>
        <v>3.1484146077251696E-2</v>
      </c>
      <c r="J3" s="70"/>
      <c r="K3" s="71">
        <f>H3-'Daily Data'!AR42</f>
        <v>2.5000000000000001E-2</v>
      </c>
    </row>
    <row r="4" spans="1:11" ht="23.15" customHeight="1" x14ac:dyDescent="0.35">
      <c r="A4" s="50" t="s">
        <v>15</v>
      </c>
      <c r="B4" s="51">
        <f>((1+$I4)^(B2/365)-1)*365/B2</f>
        <v>2.5005137572765568E-2</v>
      </c>
      <c r="C4" s="51">
        <f t="shared" ref="C4:G4" si="0">((1+$I4)^(C2/365)-1)*365/C2</f>
        <v>2.5011133186924366E-2</v>
      </c>
      <c r="D4" s="51">
        <f t="shared" si="0"/>
        <v>2.5024844646748073E-2</v>
      </c>
      <c r="E4" s="51">
        <f t="shared" si="0"/>
        <v>2.5050580654265259E-2</v>
      </c>
      <c r="F4" s="51">
        <f t="shared" si="0"/>
        <v>2.5076351951623117E-2</v>
      </c>
      <c r="G4" s="51">
        <f t="shared" si="0"/>
        <v>2.5153878127579712E-2</v>
      </c>
      <c r="H4" s="52">
        <v>2.5000000000000001E-2</v>
      </c>
      <c r="I4" s="69">
        <f t="shared" ref="I4:I9" si="1">(1+H4/365)^365-1</f>
        <v>2.5314242726610869E-2</v>
      </c>
      <c r="J4" s="70"/>
      <c r="K4" s="71">
        <f>H4-'Daily Data'!Z42</f>
        <v>1.4400000000000001E-2</v>
      </c>
    </row>
    <row r="5" spans="1:11" ht="23.15" customHeight="1" x14ac:dyDescent="0.35">
      <c r="A5" s="50" t="s">
        <v>17</v>
      </c>
      <c r="B5" s="54">
        <v>3.8100000000000002E-2</v>
      </c>
      <c r="C5" s="51">
        <f>((1+I5)^(C2/365)-1)*365/C2</f>
        <v>3.1818014660799525E-2</v>
      </c>
      <c r="D5" s="54">
        <v>5.4800000000000001E-2</v>
      </c>
      <c r="E5" s="51">
        <f>((1+$I5)^(E2/365)-1)*365/E2</f>
        <v>3.1881868192445817E-2</v>
      </c>
      <c r="F5" s="51">
        <f t="shared" ref="F5:G5" si="2">((1+$I5)^(F2/365)-1)*365/F2</f>
        <v>3.1923603839523036E-2</v>
      </c>
      <c r="G5" s="51">
        <f t="shared" si="2"/>
        <v>3.2049248337316039E-2</v>
      </c>
      <c r="H5" s="52">
        <v>3.1800000000000002E-2</v>
      </c>
      <c r="I5" s="69">
        <f t="shared" si="1"/>
        <v>3.230959251755694E-2</v>
      </c>
      <c r="J5" s="70"/>
      <c r="K5" s="71">
        <f>H5-'Daily Data'!BJ42</f>
        <v>2.3300000000000001E-2</v>
      </c>
    </row>
    <row r="6" spans="1:11" ht="23.15" customHeight="1" x14ac:dyDescent="0.35">
      <c r="A6" s="50" t="s">
        <v>55</v>
      </c>
      <c r="B6" s="54">
        <v>3.7499999999999999E-2</v>
      </c>
      <c r="C6" s="51">
        <f>((1+I6)^(C2/365)-1)*365/C2</f>
        <v>3.3720232087598924E-2</v>
      </c>
      <c r="D6" s="54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69">
        <f t="shared" si="1"/>
        <v>3.4272668936467188E-2</v>
      </c>
      <c r="J6" s="70"/>
      <c r="K6" s="71">
        <f>H6-2.3%</f>
        <v>1.0700000000000001E-2</v>
      </c>
    </row>
    <row r="7" spans="1:11" ht="23.15" customHeight="1" x14ac:dyDescent="0.35">
      <c r="A7" s="50" t="s">
        <v>47</v>
      </c>
      <c r="B7" s="54">
        <v>2.0799999999999999E-2</v>
      </c>
      <c r="C7" s="51">
        <f>((1+I7)^(C2/365)-1)*365/C2</f>
        <v>1.9806983049333989E-2</v>
      </c>
      <c r="D7" s="54">
        <v>2.18E-2</v>
      </c>
      <c r="E7" s="51">
        <f>((1+$I7)^(E2/365)-1)*365/E2</f>
        <v>1.9831718680958288E-2</v>
      </c>
      <c r="F7" s="51">
        <f t="shared" ref="F7:G7" si="4">((1+$I7)^(F2/365)-1)*365/F2</f>
        <v>1.9847872802931852E-2</v>
      </c>
      <c r="G7" s="51">
        <f t="shared" si="4"/>
        <v>1.9896440508318809E-2</v>
      </c>
      <c r="H7" s="52">
        <v>1.9800000000000002E-2</v>
      </c>
      <c r="I7" s="69">
        <f t="shared" si="1"/>
        <v>1.9996772400860507E-2</v>
      </c>
      <c r="J7" s="70"/>
      <c r="K7" s="71">
        <f>H7-0.92%</f>
        <v>1.0600000000000002E-2</v>
      </c>
    </row>
    <row r="8" spans="1:11" ht="23.15" customHeight="1" x14ac:dyDescent="0.35">
      <c r="A8" s="50" t="s">
        <v>57</v>
      </c>
      <c r="B8" s="51">
        <f>((1+$I8)^(B2/365)-1)*365/B2</f>
        <v>3.0907848860827362E-2</v>
      </c>
      <c r="C8" s="51">
        <f t="shared" ref="C8:G8" si="5">((1+$I8)^(C2/365)-1)*365/C2</f>
        <v>3.0917009225003924E-2</v>
      </c>
      <c r="D8" s="51">
        <f t="shared" si="5"/>
        <v>3.0937960795912711E-2</v>
      </c>
      <c r="E8" s="51">
        <f t="shared" si="5"/>
        <v>3.0977296032276263E-2</v>
      </c>
      <c r="F8" s="51">
        <f t="shared" si="5"/>
        <v>3.1016697950943278E-2</v>
      </c>
      <c r="G8" s="51">
        <f t="shared" si="5"/>
        <v>3.1135305073765392E-2</v>
      </c>
      <c r="H8" s="52">
        <v>3.09E-2</v>
      </c>
      <c r="I8" s="69">
        <f t="shared" si="1"/>
        <v>3.1381011564685979E-2</v>
      </c>
      <c r="J8" s="70"/>
      <c r="K8" s="71">
        <f>H8-'Daily Data'!H42</f>
        <v>2.24E-2</v>
      </c>
    </row>
    <row r="9" spans="1:11" ht="23.15" customHeight="1" x14ac:dyDescent="0.35">
      <c r="A9" s="50" t="s">
        <v>56</v>
      </c>
      <c r="B9" s="51">
        <f>((1+$I9)^(B2/365)-1)*365/B2</f>
        <v>3.3609280547048134E-2</v>
      </c>
      <c r="C9" s="51">
        <f t="shared" ref="C9:G9" si="6">((1+$I9)^(C2/365)-1)*365/C2</f>
        <v>3.3620112171935869E-2</v>
      </c>
      <c r="D9" s="51">
        <f t="shared" si="6"/>
        <v>3.3644887653183776E-2</v>
      </c>
      <c r="E9" s="51">
        <f t="shared" si="6"/>
        <v>3.3691407316138212E-2</v>
      </c>
      <c r="F9" s="51">
        <f t="shared" si="6"/>
        <v>3.3738012740671279E-2</v>
      </c>
      <c r="G9" s="51">
        <f t="shared" si="6"/>
        <v>3.3878345364413684E-2</v>
      </c>
      <c r="H9" s="52">
        <v>3.3599999999999998E-2</v>
      </c>
      <c r="I9" s="69">
        <f t="shared" si="1"/>
        <v>3.4169256374043444E-2</v>
      </c>
      <c r="J9" s="70"/>
      <c r="K9" s="71"/>
    </row>
  </sheetData>
  <conditionalFormatting sqref="A1:I9">
    <cfRule type="expression" dxfId="211" priority="1">
      <formula>_xlfn.ISFORMULA(A1)</formula>
    </cfRule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03A76-309A-4C28-8A95-3DCC12725DC5}">
  <dimension ref="A1:K9"/>
  <sheetViews>
    <sheetView topLeftCell="C1" workbookViewId="0">
      <selection activeCell="K7" sqref="K7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48" t="s">
        <v>14</v>
      </c>
      <c r="B1" s="11"/>
      <c r="C1" s="11"/>
      <c r="D1" s="11"/>
      <c r="E1" s="11"/>
      <c r="F1" s="11"/>
      <c r="G1" s="11"/>
      <c r="H1" s="11"/>
      <c r="I1" s="11"/>
    </row>
    <row r="2" spans="1:11" ht="23.15" customHeight="1" x14ac:dyDescent="0.35">
      <c r="A2" s="49">
        <v>45751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K2" s="78"/>
    </row>
    <row r="3" spans="1:11" ht="23.15" customHeight="1" x14ac:dyDescent="0.35">
      <c r="A3" s="50" t="s">
        <v>16</v>
      </c>
      <c r="B3" s="54">
        <v>3.1E-2</v>
      </c>
      <c r="C3" s="54">
        <v>0.03</v>
      </c>
      <c r="D3" s="54">
        <v>4.3999999999999997E-2</v>
      </c>
      <c r="E3" s="54">
        <v>5.7000000000000002E-2</v>
      </c>
      <c r="F3" s="54">
        <v>5.9700000000000003E-2</v>
      </c>
      <c r="G3" s="54">
        <v>6.4899999999999999E-2</v>
      </c>
      <c r="H3" s="52">
        <v>3.4200000000000001E-2</v>
      </c>
      <c r="I3" s="69">
        <f t="shared" ref="I3:I9" si="0">((1+H3/365)^365-1)</f>
        <v>3.4789886456186414E-2</v>
      </c>
      <c r="J3" s="70"/>
      <c r="K3" s="71">
        <f>H3-'Daily Data'!AR43</f>
        <v>2.8200000000000003E-2</v>
      </c>
    </row>
    <row r="4" spans="1:11" ht="23.15" customHeight="1" x14ac:dyDescent="0.35">
      <c r="A4" s="50" t="s">
        <v>15</v>
      </c>
      <c r="B4" s="51">
        <f>((1+$I4)^(B2/365)-1)*365/B2</f>
        <v>2.5005137572765568E-2</v>
      </c>
      <c r="C4" s="51">
        <f t="shared" ref="C4:G4" si="1">((1+$I4)^(C2/365)-1)*365/C2</f>
        <v>2.5011133186924366E-2</v>
      </c>
      <c r="D4" s="51">
        <f t="shared" si="1"/>
        <v>2.5024844646748073E-2</v>
      </c>
      <c r="E4" s="51">
        <f t="shared" si="1"/>
        <v>2.5050580654265259E-2</v>
      </c>
      <c r="F4" s="51">
        <f t="shared" si="1"/>
        <v>2.5076351951623117E-2</v>
      </c>
      <c r="G4" s="51">
        <f t="shared" si="1"/>
        <v>2.5153878127579712E-2</v>
      </c>
      <c r="H4" s="52">
        <v>2.5000000000000001E-2</v>
      </c>
      <c r="I4" s="69">
        <f t="shared" si="0"/>
        <v>2.5314242726610869E-2</v>
      </c>
      <c r="J4" s="70"/>
      <c r="K4" s="71">
        <f>H4-'Daily Data'!Z43</f>
        <v>1.4400000000000001E-2</v>
      </c>
    </row>
    <row r="5" spans="1:11" ht="23.15" customHeight="1" x14ac:dyDescent="0.35">
      <c r="A5" s="50" t="s">
        <v>17</v>
      </c>
      <c r="B5" s="54">
        <v>3.7600000000000001E-2</v>
      </c>
      <c r="C5" s="51">
        <f>((1+$I5)^(C2/365)-1)*365/C2</f>
        <v>3.0816899292500168E-2</v>
      </c>
      <c r="D5" s="54">
        <v>5.4800000000000001E-2</v>
      </c>
      <c r="E5" s="51">
        <f>((1+$I5)^(E2/365)-1)*365/E2</f>
        <v>3.087679613673544E-2</v>
      </c>
      <c r="F5" s="51">
        <f t="shared" ref="F5:G5" si="2">((1+$I5)^(F2/365)-1)*365/F2</f>
        <v>3.0915942913661267E-2</v>
      </c>
      <c r="G5" s="51">
        <f t="shared" si="2"/>
        <v>3.1033780718266069E-2</v>
      </c>
      <c r="H5" s="52">
        <v>3.0800000000000001E-2</v>
      </c>
      <c r="I5" s="69">
        <f t="shared" si="0"/>
        <v>3.127788733589032E-2</v>
      </c>
      <c r="J5" s="70"/>
      <c r="K5" s="71">
        <f>H5-'Daily Data'!BJ43</f>
        <v>2.2800000000000001E-2</v>
      </c>
    </row>
    <row r="6" spans="1:11" ht="23.15" customHeight="1" x14ac:dyDescent="0.35">
      <c r="A6" s="50" t="s">
        <v>55</v>
      </c>
      <c r="B6" s="54">
        <v>3.7499999999999999E-2</v>
      </c>
      <c r="C6" s="51">
        <f>((1+I6)^(C2/365)-1)*365/C2</f>
        <v>3.3519992612899605E-2</v>
      </c>
      <c r="D6" s="54">
        <v>0.06</v>
      </c>
      <c r="E6" s="51">
        <f>((1+$I6)^(E2/365)-1)*365/E2</f>
        <v>3.3590863552975504E-2</v>
      </c>
      <c r="F6" s="51">
        <f t="shared" ref="F6:G6" si="3">((1+$I6)^(F2/365)-1)*365/F2</f>
        <v>3.3637191354794753E-2</v>
      </c>
      <c r="G6" s="51">
        <f t="shared" si="3"/>
        <v>3.3776686502467984E-2</v>
      </c>
      <c r="H6" s="52">
        <v>3.3500000000000002E-2</v>
      </c>
      <c r="I6" s="69">
        <f t="shared" si="0"/>
        <v>3.4065854123153105E-2</v>
      </c>
      <c r="J6" s="70"/>
      <c r="K6" s="71">
        <f>H6-2.3%</f>
        <v>1.0500000000000002E-2</v>
      </c>
    </row>
    <row r="7" spans="1:11" ht="23.15" customHeight="1" x14ac:dyDescent="0.35">
      <c r="A7" s="50" t="s">
        <v>47</v>
      </c>
      <c r="B7" s="54">
        <v>2.0799999999999999E-2</v>
      </c>
      <c r="C7" s="51">
        <f>((1+I7)^(C2/365)-1)*365/C2</f>
        <v>1.9806983049333989E-2</v>
      </c>
      <c r="D7" s="54">
        <v>2.1700000000000001E-2</v>
      </c>
      <c r="E7" s="51">
        <f>((1+$I7)^(E2/365)-1)*365/E2</f>
        <v>1.9831718680958288E-2</v>
      </c>
      <c r="F7" s="51">
        <f t="shared" ref="F7:G7" si="4">((1+$I7)^(F2/365)-1)*365/F2</f>
        <v>1.9847872802931852E-2</v>
      </c>
      <c r="G7" s="51">
        <f t="shared" si="4"/>
        <v>1.9896440508318809E-2</v>
      </c>
      <c r="H7" s="52">
        <v>1.9800000000000002E-2</v>
      </c>
      <c r="I7" s="69">
        <f t="shared" si="0"/>
        <v>1.9996772400860507E-2</v>
      </c>
      <c r="J7" s="70"/>
      <c r="K7" s="71">
        <f>H7-1.18%</f>
        <v>8.0000000000000019E-3</v>
      </c>
    </row>
    <row r="8" spans="1:11" ht="23.15" customHeight="1" x14ac:dyDescent="0.35">
      <c r="A8" s="50" t="s">
        <v>57</v>
      </c>
      <c r="B8" s="51">
        <f>((1+$I8)^(B2/365)-1)*365/B2</f>
        <v>3.1007899748336825E-2</v>
      </c>
      <c r="C8" s="51">
        <f t="shared" ref="C8:G8" si="5">((1+$I8)^(C2/365)-1)*365/C2</f>
        <v>3.1017119513989746E-2</v>
      </c>
      <c r="D8" s="51">
        <f t="shared" si="5"/>
        <v>3.103820699217404E-2</v>
      </c>
      <c r="E8" s="51">
        <f t="shared" si="5"/>
        <v>3.1077797552172309E-2</v>
      </c>
      <c r="F8" s="51">
        <f t="shared" si="5"/>
        <v>3.1117455444773193E-2</v>
      </c>
      <c r="G8" s="51">
        <f t="shared" si="5"/>
        <v>3.1236834407789606E-2</v>
      </c>
      <c r="H8" s="52">
        <v>3.1E-2</v>
      </c>
      <c r="I8" s="69">
        <f t="shared" si="0"/>
        <v>3.1484146077251696E-2</v>
      </c>
      <c r="J8" s="70"/>
      <c r="K8" s="71">
        <f>H8-'Daily Data'!H43</f>
        <v>2.2499999999999999E-2</v>
      </c>
    </row>
    <row r="9" spans="1:11" ht="23.15" customHeight="1" x14ac:dyDescent="0.35">
      <c r="A9" s="50" t="s">
        <v>56</v>
      </c>
      <c r="B9" s="51">
        <f>((1+$I9)^(B2/365)-1)*365/B2</f>
        <v>3.260873631405465E-2</v>
      </c>
      <c r="C9" s="51">
        <f t="shared" ref="C9:G9" si="6">((1+$I9)^(C2/365)-1)*365/C2</f>
        <v>3.2618932626085458E-2</v>
      </c>
      <c r="D9" s="51">
        <f t="shared" si="6"/>
        <v>3.2642254448318732E-2</v>
      </c>
      <c r="E9" s="51">
        <f t="shared" si="6"/>
        <v>3.2686042808954284E-2</v>
      </c>
      <c r="F9" s="51">
        <f t="shared" si="6"/>
        <v>3.2729909490182445E-2</v>
      </c>
      <c r="G9" s="51">
        <f t="shared" si="6"/>
        <v>3.286198103507449E-2</v>
      </c>
      <c r="H9" s="52">
        <v>3.2599999999999997E-2</v>
      </c>
      <c r="I9" s="69">
        <f t="shared" si="0"/>
        <v>3.3135697711292433E-2</v>
      </c>
      <c r="J9" s="70"/>
      <c r="K9" s="71"/>
    </row>
  </sheetData>
  <conditionalFormatting sqref="A1:I9">
    <cfRule type="expression" dxfId="210" priority="1">
      <formula>_xlfn.ISFORMULA(A1)</formula>
    </cfRule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B96A5-A448-4027-9241-2970E81013F7}">
  <dimension ref="A1:K9"/>
  <sheetViews>
    <sheetView workbookViewId="0">
      <selection activeCell="K9" sqref="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48" t="s">
        <v>14</v>
      </c>
      <c r="B1" s="11"/>
      <c r="C1" s="11"/>
      <c r="D1" s="11"/>
      <c r="E1" s="11"/>
      <c r="F1" s="11"/>
      <c r="G1" s="11"/>
      <c r="H1" s="11"/>
      <c r="I1" s="11"/>
    </row>
    <row r="2" spans="1:11" ht="23.15" customHeight="1" x14ac:dyDescent="0.35">
      <c r="A2" s="49">
        <v>45752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K2" s="78"/>
    </row>
    <row r="3" spans="1:11" ht="23.15" customHeight="1" x14ac:dyDescent="0.35">
      <c r="A3" s="50" t="s">
        <v>16</v>
      </c>
      <c r="B3" s="54">
        <v>3.1E-2</v>
      </c>
      <c r="C3" s="54">
        <v>0.03</v>
      </c>
      <c r="D3" s="54">
        <v>4.3999999999999997E-2</v>
      </c>
      <c r="E3" s="54">
        <v>5.7000000000000002E-2</v>
      </c>
      <c r="F3" s="54">
        <v>5.9700000000000003E-2</v>
      </c>
      <c r="G3" s="54">
        <v>6.4899999999999999E-2</v>
      </c>
      <c r="H3" s="52">
        <v>3.4200000000000001E-2</v>
      </c>
      <c r="I3" s="69">
        <f>(1+H3/365)^365-1</f>
        <v>3.4789886456186414E-2</v>
      </c>
      <c r="J3" s="70"/>
      <c r="K3" s="71">
        <f>H3-'Daily Data'!AR43</f>
        <v>2.8200000000000003E-2</v>
      </c>
    </row>
    <row r="4" spans="1:11" ht="23.15" customHeight="1" x14ac:dyDescent="0.35">
      <c r="A4" s="50" t="s">
        <v>15</v>
      </c>
      <c r="B4" s="51">
        <f>((1+$I4)^(B2/365)-1)*365/B2</f>
        <v>2.5005137572765568E-2</v>
      </c>
      <c r="C4" s="51">
        <f t="shared" ref="C4:G4" si="0">((1+$I4)^(C2/365)-1)*365/C2</f>
        <v>2.5011133186924366E-2</v>
      </c>
      <c r="D4" s="51">
        <f t="shared" si="0"/>
        <v>2.5024844646748073E-2</v>
      </c>
      <c r="E4" s="51">
        <f t="shared" si="0"/>
        <v>2.5050580654265259E-2</v>
      </c>
      <c r="F4" s="51">
        <f t="shared" si="0"/>
        <v>2.5076351951623117E-2</v>
      </c>
      <c r="G4" s="51">
        <f t="shared" si="0"/>
        <v>2.5153878127579712E-2</v>
      </c>
      <c r="H4" s="52">
        <v>2.5000000000000001E-2</v>
      </c>
      <c r="I4" s="69">
        <f t="shared" ref="I4:I9" si="1">(1+H4/365)^365-1</f>
        <v>2.5314242726610869E-2</v>
      </c>
      <c r="J4" s="70"/>
      <c r="K4" s="71">
        <f>H4-'Daily Data'!Z43</f>
        <v>1.4400000000000001E-2</v>
      </c>
    </row>
    <row r="5" spans="1:11" ht="23.15" customHeight="1" x14ac:dyDescent="0.35">
      <c r="A5" s="50" t="s">
        <v>17</v>
      </c>
      <c r="B5" s="54">
        <v>3.7600000000000001E-2</v>
      </c>
      <c r="C5" s="51">
        <f>((1+I5)^(C2/365)-1)*365/C2</f>
        <v>3.0816899292500168E-2</v>
      </c>
      <c r="D5" s="54">
        <v>5.4800000000000001E-2</v>
      </c>
      <c r="E5" s="51">
        <f>((1+$I5)^(E2/365)-1)*365/E2</f>
        <v>3.087679613673544E-2</v>
      </c>
      <c r="F5" s="51">
        <f t="shared" ref="F5:G5" si="2">((1+$I5)^(F2/365)-1)*365/F2</f>
        <v>3.0915942913661267E-2</v>
      </c>
      <c r="G5" s="51">
        <f t="shared" si="2"/>
        <v>3.1033780718266069E-2</v>
      </c>
      <c r="H5" s="52">
        <v>3.0800000000000001E-2</v>
      </c>
      <c r="I5" s="69">
        <f t="shared" si="1"/>
        <v>3.127788733589032E-2</v>
      </c>
      <c r="J5" s="70"/>
      <c r="K5" s="71">
        <f>H5-'Daily Data'!BJ43</f>
        <v>2.2800000000000001E-2</v>
      </c>
    </row>
    <row r="6" spans="1:11" ht="23.15" customHeight="1" x14ac:dyDescent="0.35">
      <c r="A6" s="50" t="s">
        <v>55</v>
      </c>
      <c r="B6" s="54">
        <v>3.7499999999999999E-2</v>
      </c>
      <c r="C6" s="51">
        <f>((1+I6)^(C2/365)-1)*365/C2</f>
        <v>3.3720232087598924E-2</v>
      </c>
      <c r="D6" s="54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69">
        <f t="shared" si="1"/>
        <v>3.4272668936467188E-2</v>
      </c>
      <c r="J6" s="70"/>
      <c r="K6" s="71">
        <f>H6-2.3%</f>
        <v>1.0700000000000001E-2</v>
      </c>
    </row>
    <row r="7" spans="1:11" ht="23.15" customHeight="1" x14ac:dyDescent="0.35">
      <c r="A7" s="50" t="s">
        <v>47</v>
      </c>
      <c r="B7" s="54">
        <v>2.0799999999999999E-2</v>
      </c>
      <c r="C7" s="51">
        <f>((1+I7)^(C2/365)-1)*365/C2</f>
        <v>1.9806983049333989E-2</v>
      </c>
      <c r="D7" s="54">
        <v>2.18E-2</v>
      </c>
      <c r="E7" s="51">
        <f>((1+$I7)^(E2/365)-1)*365/E2</f>
        <v>1.9831718680958288E-2</v>
      </c>
      <c r="F7" s="51">
        <f t="shared" ref="F7:G7" si="4">((1+$I7)^(F2/365)-1)*365/F2</f>
        <v>1.9847872802931852E-2</v>
      </c>
      <c r="G7" s="51">
        <f t="shared" si="4"/>
        <v>1.9896440508318809E-2</v>
      </c>
      <c r="H7" s="52">
        <v>1.9800000000000002E-2</v>
      </c>
      <c r="I7" s="69">
        <f t="shared" si="1"/>
        <v>1.9996772400860507E-2</v>
      </c>
      <c r="J7" s="70"/>
      <c r="K7" s="71">
        <f>H7-1.18%</f>
        <v>8.0000000000000019E-3</v>
      </c>
    </row>
    <row r="8" spans="1:11" ht="23.15" customHeight="1" x14ac:dyDescent="0.35">
      <c r="A8" s="50" t="s">
        <v>57</v>
      </c>
      <c r="B8" s="51">
        <f>((1+$I8)^(B2/365)-1)*365/B2</f>
        <v>3.1007899748336825E-2</v>
      </c>
      <c r="C8" s="51">
        <f t="shared" ref="C8:G8" si="5">((1+$I8)^(C2/365)-1)*365/C2</f>
        <v>3.1017119513989746E-2</v>
      </c>
      <c r="D8" s="51">
        <f t="shared" si="5"/>
        <v>3.103820699217404E-2</v>
      </c>
      <c r="E8" s="51">
        <f t="shared" si="5"/>
        <v>3.1077797552172309E-2</v>
      </c>
      <c r="F8" s="51">
        <f t="shared" si="5"/>
        <v>3.1117455444773193E-2</v>
      </c>
      <c r="G8" s="51">
        <f t="shared" si="5"/>
        <v>3.1236834407789606E-2</v>
      </c>
      <c r="H8" s="52">
        <v>3.1E-2</v>
      </c>
      <c r="I8" s="69">
        <f t="shared" si="1"/>
        <v>3.1484146077251696E-2</v>
      </c>
      <c r="J8" s="70"/>
      <c r="K8" s="71">
        <f>H8-'Daily Data'!H44</f>
        <v>2.2499999999999999E-2</v>
      </c>
    </row>
    <row r="9" spans="1:11" ht="23.15" customHeight="1" x14ac:dyDescent="0.35">
      <c r="A9" s="50" t="s">
        <v>56</v>
      </c>
      <c r="B9" s="51">
        <f>((1+$I9)^(B2/365)-1)*365/B2</f>
        <v>3.190836513622318E-2</v>
      </c>
      <c r="C9" s="51">
        <f t="shared" ref="C9:G9" si="6">((1+$I9)^(C2/365)-1)*365/C2</f>
        <v>3.1918128158627587E-2</v>
      </c>
      <c r="D9" s="51">
        <f t="shared" si="6"/>
        <v>3.1940458597677655E-2</v>
      </c>
      <c r="E9" s="51">
        <f t="shared" si="6"/>
        <v>3.1982384333107128E-2</v>
      </c>
      <c r="F9" s="51">
        <f t="shared" si="6"/>
        <v>3.2024383445370029E-2</v>
      </c>
      <c r="G9" s="51">
        <f t="shared" si="6"/>
        <v>3.2150822489417988E-2</v>
      </c>
      <c r="H9" s="52">
        <v>3.1899999999999998E-2</v>
      </c>
      <c r="I9" s="69">
        <f t="shared" si="1"/>
        <v>3.2412819630518896E-2</v>
      </c>
      <c r="J9" s="70"/>
      <c r="K9" s="71"/>
    </row>
  </sheetData>
  <conditionalFormatting sqref="A1:I9">
    <cfRule type="expression" dxfId="209" priority="1">
      <formula>_xlfn.ISFORMULA(A1)</formula>
    </cfRule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01A5-6B49-4B03-A300-A9DC34AFE96A}">
  <dimension ref="A1:K9"/>
  <sheetViews>
    <sheetView zoomScale="86" zoomScaleNormal="86" workbookViewId="0">
      <selection activeCell="G14" sqref="G1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48" t="s">
        <v>14</v>
      </c>
      <c r="B1" s="11"/>
      <c r="C1" s="11"/>
      <c r="D1" s="11"/>
      <c r="E1" s="11"/>
      <c r="F1" s="11"/>
      <c r="G1" s="11"/>
      <c r="H1" s="11"/>
      <c r="I1" s="11"/>
    </row>
    <row r="2" spans="1:11" ht="23.15" customHeight="1" x14ac:dyDescent="0.35">
      <c r="A2" s="49">
        <v>45753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K2" s="78"/>
    </row>
    <row r="3" spans="1:11" ht="23.15" customHeight="1" x14ac:dyDescent="0.35">
      <c r="A3" s="50" t="s">
        <v>16</v>
      </c>
      <c r="B3" s="54">
        <v>3.1E-2</v>
      </c>
      <c r="C3" s="54">
        <v>0.03</v>
      </c>
      <c r="D3" s="54">
        <v>4.3999999999999997E-2</v>
      </c>
      <c r="E3" s="54">
        <v>5.7000000000000002E-2</v>
      </c>
      <c r="F3" s="54">
        <v>5.9700000000000003E-2</v>
      </c>
      <c r="G3" s="54">
        <v>6.4899999999999999E-2</v>
      </c>
      <c r="H3" s="52">
        <v>3.4200000000000001E-2</v>
      </c>
      <c r="I3" s="69">
        <f>(1+H3/365)^365-1</f>
        <v>3.4789886456186414E-2</v>
      </c>
      <c r="J3" s="70"/>
      <c r="K3" s="71">
        <f>H3-'Daily Data'!AR45</f>
        <v>2.8200000000000003E-2</v>
      </c>
    </row>
    <row r="4" spans="1:11" ht="23.15" customHeight="1" x14ac:dyDescent="0.35">
      <c r="A4" s="50" t="s">
        <v>15</v>
      </c>
      <c r="B4" s="51">
        <f>((1+$I4)^(B2/365)-1)*365/B2</f>
        <v>2.5005137572765568E-2</v>
      </c>
      <c r="C4" s="51">
        <f t="shared" ref="C4:G4" si="0">((1+$I4)^(C2/365)-1)*365/C2</f>
        <v>2.5011133186924366E-2</v>
      </c>
      <c r="D4" s="51">
        <f t="shared" si="0"/>
        <v>2.5024844646748073E-2</v>
      </c>
      <c r="E4" s="51">
        <f t="shared" si="0"/>
        <v>2.5050580654265259E-2</v>
      </c>
      <c r="F4" s="51">
        <f t="shared" si="0"/>
        <v>2.5076351951623117E-2</v>
      </c>
      <c r="G4" s="51">
        <f t="shared" si="0"/>
        <v>2.5153878127579712E-2</v>
      </c>
      <c r="H4" s="52">
        <v>2.5000000000000001E-2</v>
      </c>
      <c r="I4" s="69">
        <f t="shared" ref="I4:I8" si="1">(1+H4/365)^365-1</f>
        <v>2.5314242726610869E-2</v>
      </c>
      <c r="J4" s="70"/>
      <c r="K4" s="71">
        <f>H4-'Daily Data'!Z45</f>
        <v>1.4400000000000001E-2</v>
      </c>
    </row>
    <row r="5" spans="1:11" ht="23.15" customHeight="1" x14ac:dyDescent="0.35">
      <c r="A5" s="50" t="s">
        <v>17</v>
      </c>
      <c r="B5" s="54">
        <v>3.7600000000000001E-2</v>
      </c>
      <c r="C5" s="51">
        <f>((1+I5)^(C2/365)-1)*365/C2</f>
        <v>3.0816899292500168E-2</v>
      </c>
      <c r="D5" s="54">
        <v>5.4800000000000001E-2</v>
      </c>
      <c r="E5" s="51">
        <f>((1+$I5)^(E2/365)-1)*365/E2</f>
        <v>3.087679613673544E-2</v>
      </c>
      <c r="F5" s="51">
        <f t="shared" ref="F5:G5" si="2">((1+$I5)^(F2/365)-1)*365/F2</f>
        <v>3.0915942913661267E-2</v>
      </c>
      <c r="G5" s="51">
        <f t="shared" si="2"/>
        <v>3.1033780718266069E-2</v>
      </c>
      <c r="H5" s="52">
        <v>3.0800000000000001E-2</v>
      </c>
      <c r="I5" s="69">
        <f t="shared" si="1"/>
        <v>3.127788733589032E-2</v>
      </c>
      <c r="J5" s="70"/>
      <c r="K5" s="71">
        <f>H5-'Daily Data'!BJ45</f>
        <v>2.2600000000000002E-2</v>
      </c>
    </row>
    <row r="6" spans="1:11" ht="23.15" customHeight="1" x14ac:dyDescent="0.35">
      <c r="A6" s="50" t="s">
        <v>55</v>
      </c>
      <c r="B6" s="54">
        <v>3.7499999999999999E-2</v>
      </c>
      <c r="C6" s="51">
        <f>((1+I6)^(C2/365)-1)*365/C2</f>
        <v>3.3720232087598924E-2</v>
      </c>
      <c r="D6" s="54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69">
        <f t="shared" si="1"/>
        <v>3.4272668936467188E-2</v>
      </c>
      <c r="J6" s="70"/>
      <c r="K6" s="71">
        <f>H6-2.3%</f>
        <v>1.0700000000000001E-2</v>
      </c>
    </row>
    <row r="7" spans="1:11" ht="23.15" customHeight="1" x14ac:dyDescent="0.35">
      <c r="A7" s="50" t="s">
        <v>47</v>
      </c>
      <c r="B7" s="54">
        <v>2.0799999999999999E-2</v>
      </c>
      <c r="C7" s="51">
        <f>((1+I7)^(C2/365)-1)*365/C2</f>
        <v>1.9806983049333989E-2</v>
      </c>
      <c r="D7" s="54">
        <v>2.18E-2</v>
      </c>
      <c r="E7" s="51">
        <f>((1+$I7)^(E2/365)-1)*365/E2</f>
        <v>1.9831718680958288E-2</v>
      </c>
      <c r="F7" s="51">
        <f t="shared" ref="F7:G7" si="4">((1+$I7)^(F2/365)-1)*365/F2</f>
        <v>1.9847872802931852E-2</v>
      </c>
      <c r="G7" s="51">
        <f t="shared" si="4"/>
        <v>1.9896440508318809E-2</v>
      </c>
      <c r="H7" s="52">
        <v>1.9800000000000002E-2</v>
      </c>
      <c r="I7" s="69">
        <f t="shared" si="1"/>
        <v>1.9996772400860507E-2</v>
      </c>
      <c r="J7" s="70"/>
      <c r="K7" s="71">
        <f>H7-0.9%</f>
        <v>1.0800000000000001E-2</v>
      </c>
    </row>
    <row r="8" spans="1:11" ht="23.15" customHeight="1" x14ac:dyDescent="0.35">
      <c r="A8" s="50" t="s">
        <v>57</v>
      </c>
      <c r="B8" s="51">
        <f>((1+$I8)^(B2/365)-1)*365/B2</f>
        <v>3.1007899748336825E-2</v>
      </c>
      <c r="C8" s="51">
        <f t="shared" ref="C8:G8" si="5">((1+$I8)^(C2/365)-1)*365/C2</f>
        <v>3.1017119513989746E-2</v>
      </c>
      <c r="D8" s="51">
        <f t="shared" si="5"/>
        <v>3.103820699217404E-2</v>
      </c>
      <c r="E8" s="51">
        <f t="shared" si="5"/>
        <v>3.1077797552172309E-2</v>
      </c>
      <c r="F8" s="51">
        <f t="shared" si="5"/>
        <v>3.1117455444773193E-2</v>
      </c>
      <c r="G8" s="51">
        <f t="shared" si="5"/>
        <v>3.1236834407789606E-2</v>
      </c>
      <c r="H8" s="52">
        <v>3.1E-2</v>
      </c>
      <c r="I8" s="69">
        <f t="shared" si="1"/>
        <v>3.1484146077251696E-2</v>
      </c>
      <c r="J8" s="70"/>
      <c r="K8" s="71">
        <f>H8-'Daily Data'!H45</f>
        <v>2.2499999999999999E-2</v>
      </c>
    </row>
    <row r="9" spans="1:11" ht="23.15" customHeight="1" x14ac:dyDescent="0.35">
      <c r="A9" s="50" t="s">
        <v>56</v>
      </c>
      <c r="B9" s="51">
        <f>((1+$I9)^(B2/365)-1)*365/B2</f>
        <v>3.1808312768565487E-2</v>
      </c>
      <c r="C9" s="51">
        <f t="shared" ref="C9:G9" si="6">((1+$I9)^(C2/365)-1)*365/C2</f>
        <v>3.1818014660799525E-2</v>
      </c>
      <c r="D9" s="51">
        <f t="shared" si="6"/>
        <v>3.1840205233434705E-2</v>
      </c>
      <c r="E9" s="51">
        <f t="shared" si="6"/>
        <v>3.1881868192445817E-2</v>
      </c>
      <c r="F9" s="51">
        <f t="shared" si="6"/>
        <v>3.1923603839523036E-2</v>
      </c>
      <c r="G9" s="51">
        <f t="shared" si="6"/>
        <v>3.2049248337316039E-2</v>
      </c>
      <c r="H9" s="52">
        <v>3.1800000000000002E-2</v>
      </c>
      <c r="I9" s="69">
        <f>(1+H9/365)^365-1</f>
        <v>3.230959251755694E-2</v>
      </c>
      <c r="J9" s="70"/>
      <c r="K9" s="71"/>
    </row>
  </sheetData>
  <conditionalFormatting sqref="A1:I9">
    <cfRule type="expression" dxfId="208" priority="1">
      <formula>_xlfn.ISFORMULA(A1)</formula>
    </cfRule>
  </conditionalFormatting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738D1-E3C3-4061-B377-25FF673B8304}">
  <dimension ref="A1:K9"/>
  <sheetViews>
    <sheetView topLeftCell="B1" zoomScale="91" workbookViewId="0">
      <selection activeCell="D37" sqref="D37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48" t="s">
        <v>14</v>
      </c>
      <c r="B1" s="11"/>
      <c r="C1" s="11"/>
      <c r="D1" s="11"/>
      <c r="E1" s="11"/>
      <c r="F1" s="11"/>
      <c r="G1" s="11"/>
      <c r="H1" s="11"/>
      <c r="I1" s="11"/>
    </row>
    <row r="2" spans="1:11" ht="23.15" customHeight="1" x14ac:dyDescent="0.35">
      <c r="A2" s="49">
        <v>45754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K2" s="78"/>
    </row>
    <row r="3" spans="1:11" ht="23.15" customHeight="1" x14ac:dyDescent="0.35">
      <c r="A3" s="50" t="s">
        <v>16</v>
      </c>
      <c r="B3" s="54">
        <v>3.39E-2</v>
      </c>
      <c r="C3" s="54">
        <v>3.4000000000000002E-2</v>
      </c>
      <c r="D3" s="54">
        <v>4.3900000000000002E-2</v>
      </c>
      <c r="E3" s="54">
        <v>0.04</v>
      </c>
      <c r="F3" s="54">
        <v>0.05</v>
      </c>
      <c r="G3" s="54">
        <v>6.4799999999999996E-2</v>
      </c>
      <c r="H3" s="52">
        <v>3.5299999999999998E-2</v>
      </c>
      <c r="I3" s="69">
        <f>(1+H3/365)^365-1</f>
        <v>3.5928673130481092E-2</v>
      </c>
      <c r="J3" s="70"/>
      <c r="K3" s="71">
        <f>H3-'Daily Data'!AR46</f>
        <v>2.93E-2</v>
      </c>
    </row>
    <row r="4" spans="1:11" ht="23.15" customHeight="1" x14ac:dyDescent="0.35">
      <c r="A4" s="50" t="s">
        <v>15</v>
      </c>
      <c r="B4" s="51">
        <f>((1+$I4)^(B2/365)-1)*365/B2</f>
        <v>2.5005137572765568E-2</v>
      </c>
      <c r="C4" s="51">
        <f t="shared" ref="C4:G4" si="0">((1+$I4)^(C2/365)-1)*365/C2</f>
        <v>2.5011133186924366E-2</v>
      </c>
      <c r="D4" s="51">
        <f t="shared" si="0"/>
        <v>2.5024844646748073E-2</v>
      </c>
      <c r="E4" s="51">
        <f t="shared" si="0"/>
        <v>2.5050580654265259E-2</v>
      </c>
      <c r="F4" s="51">
        <f t="shared" si="0"/>
        <v>2.5076351951623117E-2</v>
      </c>
      <c r="G4" s="51">
        <f t="shared" si="0"/>
        <v>2.5153878127579712E-2</v>
      </c>
      <c r="H4" s="52">
        <v>2.5000000000000001E-2</v>
      </c>
      <c r="I4" s="69">
        <f t="shared" ref="I4:I9" si="1">(1+H4/365)^365-1</f>
        <v>2.5314242726610869E-2</v>
      </c>
      <c r="J4" s="70"/>
      <c r="K4" s="71">
        <f>H4-'Daily Data'!Z46</f>
        <v>1.4200000000000001E-2</v>
      </c>
    </row>
    <row r="5" spans="1:11" ht="23.15" customHeight="1" x14ac:dyDescent="0.35">
      <c r="A5" s="50" t="s">
        <v>17</v>
      </c>
      <c r="B5" s="54">
        <v>3.8600000000000002E-2</v>
      </c>
      <c r="C5" s="51">
        <f>((1+I5)^(C2/365)-1)*365/C2</f>
        <v>3.2218470791195206E-2</v>
      </c>
      <c r="D5" s="54">
        <v>5.4800000000000001E-2</v>
      </c>
      <c r="E5" s="51">
        <f>((1+$I5)^(E2/365)-1)*365/E2</f>
        <v>3.2283942502945993E-2</v>
      </c>
      <c r="F5" s="51">
        <f t="shared" ref="F5:G5" si="2">((1+$I5)^(F2/365)-1)*365/F2</f>
        <v>3.2326737006068758E-2</v>
      </c>
      <c r="G5" s="51">
        <f t="shared" si="2"/>
        <v>3.2455574832495795E-2</v>
      </c>
      <c r="H5" s="52">
        <v>3.2199999999999999E-2</v>
      </c>
      <c r="I5" s="69">
        <f t="shared" si="1"/>
        <v>3.2722562737591776E-2</v>
      </c>
      <c r="J5" s="70"/>
      <c r="K5" s="71">
        <f>H5-'Daily Data'!BJ46</f>
        <v>2.3699999999999999E-2</v>
      </c>
    </row>
    <row r="6" spans="1:11" ht="23.15" customHeight="1" x14ac:dyDescent="0.35">
      <c r="A6" s="50" t="s">
        <v>55</v>
      </c>
      <c r="B6" s="54">
        <v>3.7499999999999999E-2</v>
      </c>
      <c r="C6" s="51">
        <f>((1+I6)^(C2/365)-1)*365/C2</f>
        <v>3.3720232087598924E-2</v>
      </c>
      <c r="D6" s="54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69">
        <f t="shared" si="1"/>
        <v>3.4272668936467188E-2</v>
      </c>
      <c r="J6" s="70"/>
      <c r="K6" s="71">
        <f>H6-2.3%</f>
        <v>1.0700000000000001E-2</v>
      </c>
    </row>
    <row r="7" spans="1:11" ht="23.15" customHeight="1" x14ac:dyDescent="0.35">
      <c r="A7" s="50" t="s">
        <v>47</v>
      </c>
      <c r="B7" s="54">
        <v>2.07E-2</v>
      </c>
      <c r="C7" s="51">
        <f>((1+I7)^(C2/365)-1)*365/C2</f>
        <v>1.9706912684064486E-2</v>
      </c>
      <c r="D7" s="54">
        <v>2.1700000000000001E-2</v>
      </c>
      <c r="E7" s="51">
        <f>((1+$I7)^(E2/365)-1)*365/E2</f>
        <v>1.9731398932948101E-2</v>
      </c>
      <c r="F7" s="51">
        <f t="shared" ref="F7:G7" si="4">((1+$I7)^(F2/365)-1)*365/F2</f>
        <v>1.9747390079277543E-2</v>
      </c>
      <c r="G7" s="51">
        <f t="shared" si="4"/>
        <v>1.9795467267421301E-2</v>
      </c>
      <c r="H7" s="52">
        <v>1.9699999999999999E-2</v>
      </c>
      <c r="I7" s="69">
        <f t="shared" si="1"/>
        <v>1.9894783341781519E-2</v>
      </c>
      <c r="J7" s="70"/>
      <c r="K7" s="71">
        <f>H7-0.93%</f>
        <v>1.0399999999999998E-2</v>
      </c>
    </row>
    <row r="8" spans="1:11" ht="23.15" customHeight="1" x14ac:dyDescent="0.35">
      <c r="A8" s="50" t="s">
        <v>57</v>
      </c>
      <c r="B8" s="51">
        <f>((1+$I8)^(B2/365)-1)*365/B2</f>
        <v>3.1208002016684468E-2</v>
      </c>
      <c r="C8" s="51">
        <f t="shared" ref="C8:G8" si="5">((1+$I8)^(C2/365)-1)*365/C2</f>
        <v>3.121734116151758E-2</v>
      </c>
      <c r="D8" s="51">
        <f t="shared" si="5"/>
        <v>3.1238701773908639E-2</v>
      </c>
      <c r="E8" s="51">
        <f t="shared" si="5"/>
        <v>3.1278805465217829E-2</v>
      </c>
      <c r="F8" s="51">
        <f t="shared" si="5"/>
        <v>3.1318977802404467E-2</v>
      </c>
      <c r="G8" s="51">
        <f t="shared" si="5"/>
        <v>3.1439908012476682E-2</v>
      </c>
      <c r="H8" s="52">
        <v>3.1199999999999999E-2</v>
      </c>
      <c r="I8" s="69">
        <f t="shared" si="1"/>
        <v>3.1690445957877067E-2</v>
      </c>
      <c r="J8" s="70"/>
      <c r="K8" s="71">
        <f>H8-'Daily Data'!H46</f>
        <v>2.2499999999999999E-2</v>
      </c>
    </row>
    <row r="9" spans="1:11" ht="23.15" customHeight="1" x14ac:dyDescent="0.35">
      <c r="A9" s="50" t="s">
        <v>56</v>
      </c>
      <c r="B9" s="51">
        <f>((1+$I9)^(B2/365)-1)*365/B2</f>
        <v>3.340917038478116E-2</v>
      </c>
      <c r="C9" s="51">
        <f t="shared" ref="C9:G9" si="6">((1+$I9)^(C2/365)-1)*365/C2</f>
        <v>3.3419873410345406E-2</v>
      </c>
      <c r="D9" s="51">
        <f t="shared" si="6"/>
        <v>3.3444354639846442E-2</v>
      </c>
      <c r="E9" s="51">
        <f t="shared" si="6"/>
        <v>3.3490321414801537E-2</v>
      </c>
      <c r="F9" s="51">
        <f t="shared" si="6"/>
        <v>3.3536372426970877E-2</v>
      </c>
      <c r="G9" s="51">
        <f t="shared" si="6"/>
        <v>3.3675032625327374E-2</v>
      </c>
      <c r="H9" s="52">
        <v>3.3399999999999999E-2</v>
      </c>
      <c r="I9" s="69">
        <f t="shared" si="1"/>
        <v>3.3962462182619113E-2</v>
      </c>
      <c r="J9" s="70"/>
      <c r="K9" s="71"/>
    </row>
  </sheetData>
  <conditionalFormatting sqref="A1:I9">
    <cfRule type="expression" dxfId="207" priority="1">
      <formula>_xlfn.ISFORMULA(A1)</formula>
    </cfRule>
  </conditionalFormatting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DB8B0-0788-4B5C-B7C0-DA7FC0CA7445}">
  <dimension ref="A1:K9"/>
  <sheetViews>
    <sheetView workbookViewId="0">
      <selection activeCell="B21" sqref="B21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48" t="s">
        <v>14</v>
      </c>
      <c r="B1" s="11"/>
      <c r="C1" s="11"/>
      <c r="D1" s="11"/>
      <c r="E1" s="11"/>
      <c r="F1" s="11"/>
      <c r="G1" s="11"/>
      <c r="H1" s="11"/>
      <c r="I1" s="11"/>
    </row>
    <row r="2" spans="1:11" ht="23.15" customHeight="1" x14ac:dyDescent="0.35">
      <c r="A2" s="49">
        <v>46120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K2" s="60" t="s">
        <v>59</v>
      </c>
    </row>
    <row r="3" spans="1:11" ht="23.15" customHeight="1" x14ac:dyDescent="0.35">
      <c r="A3" s="50" t="s">
        <v>16</v>
      </c>
      <c r="B3" s="54">
        <v>3.39E-2</v>
      </c>
      <c r="C3" s="54">
        <v>3.49E-2</v>
      </c>
      <c r="D3" s="54">
        <v>4.3900000000000002E-2</v>
      </c>
      <c r="E3" s="54">
        <v>4.3999999999999997E-2</v>
      </c>
      <c r="F3" s="54">
        <v>6.5000000000000002E-2</v>
      </c>
      <c r="G3" s="54">
        <v>6.5000000000000002E-2</v>
      </c>
      <c r="H3" s="52">
        <v>3.6799999999999999E-2</v>
      </c>
      <c r="I3" s="69">
        <f>(1+H3/365)^365-1</f>
        <v>3.7483578454069244E-2</v>
      </c>
      <c r="J3" s="70"/>
      <c r="K3" s="71">
        <f>H3-'Daily Data'!AR47</f>
        <v>2.9600000000000001E-2</v>
      </c>
    </row>
    <row r="4" spans="1:11" ht="23.15" customHeight="1" x14ac:dyDescent="0.35">
      <c r="A4" s="50" t="s">
        <v>15</v>
      </c>
      <c r="B4" s="51">
        <f>((1+$I4)^(B2/365)-1)*365/B2</f>
        <v>2.5005137572765568E-2</v>
      </c>
      <c r="C4" s="51">
        <f t="shared" ref="C4:G4" si="0">((1+$I4)^(C2/365)-1)*365/C2</f>
        <v>2.5011133186924366E-2</v>
      </c>
      <c r="D4" s="51">
        <f t="shared" si="0"/>
        <v>2.5024844646748073E-2</v>
      </c>
      <c r="E4" s="51">
        <f t="shared" si="0"/>
        <v>2.5050580654265259E-2</v>
      </c>
      <c r="F4" s="51">
        <f t="shared" si="0"/>
        <v>2.5076351951623117E-2</v>
      </c>
      <c r="G4" s="51">
        <f t="shared" si="0"/>
        <v>2.5153878127579712E-2</v>
      </c>
      <c r="H4" s="52">
        <v>2.5000000000000001E-2</v>
      </c>
      <c r="I4" s="69">
        <f t="shared" ref="I4:I9" si="1">(1+H4/365)^365-1</f>
        <v>2.5314242726610869E-2</v>
      </c>
      <c r="J4" s="70"/>
      <c r="K4" s="71">
        <f>H4-'Daily Data'!Z47</f>
        <v>1.3400000000000002E-2</v>
      </c>
    </row>
    <row r="5" spans="1:11" ht="23.15" customHeight="1" x14ac:dyDescent="0.35">
      <c r="A5" s="50" t="s">
        <v>17</v>
      </c>
      <c r="B5" s="54">
        <v>4.02E-2</v>
      </c>
      <c r="C5" s="51">
        <f>((1+I5)^(C2/365)-1)*365/C2</f>
        <v>3.3620112171935869E-2</v>
      </c>
      <c r="D5" s="54">
        <v>5.4800000000000001E-2</v>
      </c>
      <c r="E5" s="51">
        <f>((1+$I5)^(E2/365)-1)*365/E2</f>
        <v>3.3691407316138212E-2</v>
      </c>
      <c r="F5" s="51">
        <f t="shared" ref="F5:G5" si="2">((1+$I5)^(F2/365)-1)*365/F2</f>
        <v>3.3738012740671279E-2</v>
      </c>
      <c r="G5" s="51">
        <f t="shared" si="2"/>
        <v>3.3878345364413684E-2</v>
      </c>
      <c r="H5" s="52">
        <v>3.3599999999999998E-2</v>
      </c>
      <c r="I5" s="69">
        <f t="shared" si="1"/>
        <v>3.4169256374043444E-2</v>
      </c>
      <c r="J5" s="70"/>
      <c r="K5" s="71">
        <f>H5-'Daily Data'!BJ47</f>
        <v>2.47E-2</v>
      </c>
    </row>
    <row r="6" spans="1:11" ht="23.15" customHeight="1" x14ac:dyDescent="0.35">
      <c r="A6" s="50" t="s">
        <v>55</v>
      </c>
      <c r="B6" s="54">
        <v>3.7499999999999999E-2</v>
      </c>
      <c r="C6" s="51">
        <f>((1+I6)^(C2/365)-1)*365/C2</f>
        <v>3.3720232087598924E-2</v>
      </c>
      <c r="D6" s="54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69">
        <f t="shared" si="1"/>
        <v>3.4272668936467188E-2</v>
      </c>
      <c r="J6" s="70"/>
      <c r="K6" s="71">
        <f>H6-2.3%</f>
        <v>1.0700000000000001E-2</v>
      </c>
    </row>
    <row r="7" spans="1:11" ht="23.15" customHeight="1" x14ac:dyDescent="0.35">
      <c r="A7" s="50" t="s">
        <v>47</v>
      </c>
      <c r="B7" s="54">
        <v>2.24E-2</v>
      </c>
      <c r="C7" s="51">
        <f>((1+I7)^(C2/365)-1)*365/C2</f>
        <v>2.1308081297234143E-2</v>
      </c>
      <c r="D7" s="54">
        <v>2.3400000000000001E-2</v>
      </c>
      <c r="E7" s="51">
        <f>((1+$I7)^(E2/365)-1)*365/E2</f>
        <v>2.1336709500005418E-2</v>
      </c>
      <c r="F7" s="51">
        <f t="shared" ref="F7:G7" si="4">((1+$I7)^(F2/365)-1)*365/F2</f>
        <v>2.1355407694295298E-2</v>
      </c>
      <c r="G7" s="51">
        <f t="shared" si="4"/>
        <v>2.1411633460598094E-2</v>
      </c>
      <c r="H7" s="52">
        <v>2.1299999999999999E-2</v>
      </c>
      <c r="I7" s="69">
        <f t="shared" si="1"/>
        <v>2.152782936460218E-2</v>
      </c>
      <c r="J7" s="70"/>
      <c r="K7" s="71">
        <f>H7-1.02%</f>
        <v>1.1099999999999999E-2</v>
      </c>
    </row>
    <row r="8" spans="1:11" ht="23.15" customHeight="1" x14ac:dyDescent="0.35">
      <c r="A8" s="50" t="s">
        <v>57</v>
      </c>
      <c r="B8" s="51">
        <f>((1+$I8)^(B2/365)-1)*365/B2</f>
        <v>3.3609280547048134E-2</v>
      </c>
      <c r="C8" s="51">
        <f t="shared" ref="C8:G8" si="5">((1+$I8)^(C2/365)-1)*365/C2</f>
        <v>3.3620112171935869E-2</v>
      </c>
      <c r="D8" s="51">
        <f t="shared" si="5"/>
        <v>3.3644887653183776E-2</v>
      </c>
      <c r="E8" s="51">
        <f t="shared" si="5"/>
        <v>3.3691407316138212E-2</v>
      </c>
      <c r="F8" s="51">
        <f t="shared" si="5"/>
        <v>3.3738012740671279E-2</v>
      </c>
      <c r="G8" s="51">
        <f t="shared" si="5"/>
        <v>3.3878345364413684E-2</v>
      </c>
      <c r="H8" s="52">
        <v>3.3599999999999998E-2</v>
      </c>
      <c r="I8" s="69">
        <f t="shared" si="1"/>
        <v>3.4169256374043444E-2</v>
      </c>
      <c r="J8" s="70"/>
      <c r="K8" s="71">
        <f>H8-'Daily Data'!H47</f>
        <v>2.3599999999999996E-2</v>
      </c>
    </row>
    <row r="9" spans="1:11" ht="23.15" customHeight="1" x14ac:dyDescent="0.35">
      <c r="A9" s="50" t="s">
        <v>56</v>
      </c>
      <c r="B9" s="51">
        <f>((1+$I9)^(B2/365)-1)*365/B2</f>
        <v>3.491001263658168E-2</v>
      </c>
      <c r="C9" s="51">
        <f t="shared" ref="C9:G9" si="6">((1+$I9)^(C2/365)-1)*365/C2</f>
        <v>3.4921698887096272E-2</v>
      </c>
      <c r="D9" s="51">
        <f t="shared" si="6"/>
        <v>3.4948429907738977E-2</v>
      </c>
      <c r="E9" s="51">
        <f t="shared" si="6"/>
        <v>3.4998624130466095E-2</v>
      </c>
      <c r="F9" s="51">
        <f t="shared" si="6"/>
        <v>3.5048914474249737E-2</v>
      </c>
      <c r="G9" s="51">
        <f t="shared" si="6"/>
        <v>3.52003643051041E-2</v>
      </c>
      <c r="H9" s="52">
        <v>3.49E-2</v>
      </c>
      <c r="I9" s="69">
        <f t="shared" si="1"/>
        <v>3.5514424352408591E-2</v>
      </c>
      <c r="J9" s="70"/>
      <c r="K9" s="71"/>
    </row>
  </sheetData>
  <conditionalFormatting sqref="A1:I9">
    <cfRule type="expression" dxfId="206" priority="1">
      <formula>_xlfn.ISFORMULA(A1)</formula>
    </cfRule>
  </conditionalFormatting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76939-E96C-4331-9B81-DEE0E7072053}">
  <dimension ref="A1:K9"/>
  <sheetViews>
    <sheetView workbookViewId="0">
      <selection activeCell="A6" sqref="A6:XFD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48" t="s">
        <v>14</v>
      </c>
      <c r="B1" s="11"/>
      <c r="C1" s="11"/>
      <c r="D1" s="11"/>
      <c r="E1" s="11"/>
      <c r="F1" s="11"/>
      <c r="G1" s="11"/>
      <c r="H1" s="11"/>
      <c r="I1" s="11"/>
    </row>
    <row r="2" spans="1:11" ht="23.15" customHeight="1" x14ac:dyDescent="0.35">
      <c r="A2" s="49">
        <v>46121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K2" s="60" t="s">
        <v>59</v>
      </c>
    </row>
    <row r="3" spans="1:11" ht="23.15" customHeight="1" x14ac:dyDescent="0.35">
      <c r="A3" s="50" t="s">
        <v>16</v>
      </c>
      <c r="B3" s="54">
        <v>0.03</v>
      </c>
      <c r="C3" s="54">
        <v>0.03</v>
      </c>
      <c r="D3" s="54">
        <v>4.3900000000000002E-2</v>
      </c>
      <c r="E3" s="54">
        <v>4.2500000000000003E-2</v>
      </c>
      <c r="F3" s="54">
        <v>5.2499999999999998E-2</v>
      </c>
      <c r="G3" s="54">
        <v>6.59E-2</v>
      </c>
      <c r="H3" s="52">
        <v>3.2899999999999999E-2</v>
      </c>
      <c r="I3" s="69">
        <f t="shared" ref="I3:I9" si="0">(1+H3/365)^365-1</f>
        <v>3.3445657100777071E-2</v>
      </c>
      <c r="J3" s="70"/>
      <c r="K3" s="71">
        <f>'Daily Data'!AR48</f>
        <v>6.7000000000000002E-3</v>
      </c>
    </row>
    <row r="4" spans="1:11" ht="23.15" customHeight="1" x14ac:dyDescent="0.35">
      <c r="A4" s="50" t="s">
        <v>15</v>
      </c>
      <c r="B4" s="51">
        <f>((1+$I4)^(B2/365)-1)*365/B2</f>
        <v>2.5005137572765568E-2</v>
      </c>
      <c r="C4" s="51">
        <f t="shared" ref="C4:G4" si="1">((1+$I4)^(C2/365)-1)*365/C2</f>
        <v>2.5011133186924366E-2</v>
      </c>
      <c r="D4" s="51">
        <f t="shared" si="1"/>
        <v>2.5024844646748073E-2</v>
      </c>
      <c r="E4" s="51">
        <f t="shared" si="1"/>
        <v>2.5050580654265259E-2</v>
      </c>
      <c r="F4" s="51">
        <f t="shared" si="1"/>
        <v>2.5076351951623117E-2</v>
      </c>
      <c r="G4" s="51">
        <f t="shared" si="1"/>
        <v>2.5153878127579712E-2</v>
      </c>
      <c r="H4" s="52">
        <v>2.5000000000000001E-2</v>
      </c>
      <c r="I4" s="69">
        <f t="shared" si="0"/>
        <v>2.5314242726610869E-2</v>
      </c>
      <c r="J4" s="70"/>
      <c r="K4" s="71">
        <f>H4-'Daily Data'!Z48</f>
        <v>1.3200000000000002E-2</v>
      </c>
    </row>
    <row r="5" spans="1:11" ht="23.15" customHeight="1" x14ac:dyDescent="0.35">
      <c r="A5" s="50" t="s">
        <v>17</v>
      </c>
      <c r="B5" s="54">
        <v>3.7499999999999999E-2</v>
      </c>
      <c r="C5" s="51">
        <f>((1+$I5)^(C2/365)-1)*365/C2</f>
        <v>2.8114065879042336E-2</v>
      </c>
      <c r="D5" s="54">
        <v>5.4800000000000001E-2</v>
      </c>
      <c r="E5" s="51">
        <f>((1+$I5)^(E2/365)-1)*365/E2</f>
        <v>2.8163912885332154E-2</v>
      </c>
      <c r="F5" s="51">
        <f t="shared" ref="F5:G5" si="2">((1+$I5)^(F2/365)-1)*365/F2</f>
        <v>2.8196485282603719E-2</v>
      </c>
      <c r="G5" s="51">
        <f t="shared" si="2"/>
        <v>2.8294504132474804E-2</v>
      </c>
      <c r="H5" s="52">
        <v>2.81E-2</v>
      </c>
      <c r="I5" s="69">
        <f t="shared" si="0"/>
        <v>2.8497416706523726E-2</v>
      </c>
      <c r="J5" s="70"/>
      <c r="K5" s="71">
        <f>H5-'Daily Data'!BJ48</f>
        <v>2.0799999999999999E-2</v>
      </c>
    </row>
    <row r="6" spans="1:11" ht="23.15" customHeight="1" x14ac:dyDescent="0.35">
      <c r="A6" s="50" t="s">
        <v>55</v>
      </c>
      <c r="B6" s="54">
        <v>3.7499999999999999E-2</v>
      </c>
      <c r="C6" s="51">
        <f>((1+I6)^(C2/365)-1)*365/C2</f>
        <v>3.3720232087598924E-2</v>
      </c>
      <c r="D6" s="54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69">
        <f t="shared" si="0"/>
        <v>3.4272668936467188E-2</v>
      </c>
      <c r="J6" s="70"/>
      <c r="K6" s="71">
        <f>H6-2.3%</f>
        <v>1.0700000000000001E-2</v>
      </c>
    </row>
    <row r="7" spans="1:11" ht="23.15" customHeight="1" x14ac:dyDescent="0.35">
      <c r="A7" s="50" t="s">
        <v>47</v>
      </c>
      <c r="B7" s="54">
        <v>2.2800000000000001E-2</v>
      </c>
      <c r="C7" s="51">
        <f>((1+I7)^(C2/365)-1)*365/C2</f>
        <v>2.1708387706840884E-2</v>
      </c>
      <c r="D7" s="54">
        <v>2.3900000000000001E-2</v>
      </c>
      <c r="E7" s="51">
        <f>((1+$I7)^(E2/365)-1)*365/E2</f>
        <v>2.1738102014333516E-2</v>
      </c>
      <c r="F7" s="51">
        <f t="shared" ref="F7:G7" si="4">((1+$I7)^(F2/365)-1)*365/F2</f>
        <v>2.1757510124933641E-2</v>
      </c>
      <c r="G7" s="51">
        <f t="shared" si="4"/>
        <v>2.1815873182762256E-2</v>
      </c>
      <c r="H7" s="52">
        <v>2.1700000000000001E-2</v>
      </c>
      <c r="I7" s="69">
        <f t="shared" si="0"/>
        <v>2.1936498152339556E-2</v>
      </c>
      <c r="J7" s="70"/>
      <c r="K7" s="71">
        <f>H7-1.18%</f>
        <v>9.9000000000000008E-3</v>
      </c>
    </row>
    <row r="8" spans="1:11" ht="23.15" customHeight="1" x14ac:dyDescent="0.35">
      <c r="A8" s="50" t="s">
        <v>57</v>
      </c>
      <c r="B8" s="51">
        <f>((1+$I8)^(B2/365)-1)*365/B2</f>
        <v>2.7606261830231009E-2</v>
      </c>
      <c r="C8" s="51">
        <f t="shared" ref="C8:G8" si="5">((1+$I8)^(C2/365)-1)*365/C2</f>
        <v>2.7613569693030509E-2</v>
      </c>
      <c r="D8" s="51">
        <f t="shared" si="5"/>
        <v>2.7630283066844674E-2</v>
      </c>
      <c r="E8" s="51">
        <f t="shared" si="5"/>
        <v>2.7661657006941637E-2</v>
      </c>
      <c r="F8" s="51">
        <f t="shared" si="5"/>
        <v>2.7693078446810349E-2</v>
      </c>
      <c r="G8" s="51">
        <f t="shared" si="5"/>
        <v>2.7787628574820866E-2</v>
      </c>
      <c r="H8" s="52">
        <v>2.76E-2</v>
      </c>
      <c r="I8" s="69">
        <f t="shared" si="0"/>
        <v>2.7983335754216743E-2</v>
      </c>
      <c r="J8" s="70"/>
      <c r="K8" s="71">
        <f>H8-'Daily Data'!H48</f>
        <v>1.95E-2</v>
      </c>
    </row>
    <row r="9" spans="1:11" ht="23.15" customHeight="1" x14ac:dyDescent="0.35">
      <c r="A9" s="50" t="s">
        <v>56</v>
      </c>
      <c r="B9" s="51">
        <f>((1+$I9)^(B2/365)-1)*365/B2</f>
        <v>3.5310243486665574E-2</v>
      </c>
      <c r="C9" s="51">
        <f t="shared" ref="C9:G9" si="6">((1+$I9)^(C2/365)-1)*365/C2</f>
        <v>3.5322199230594258E-2</v>
      </c>
      <c r="D9" s="51">
        <f t="shared" si="6"/>
        <v>3.5349546917789576E-2</v>
      </c>
      <c r="E9" s="51">
        <f t="shared" si="6"/>
        <v>3.540089995069181E-2</v>
      </c>
      <c r="F9" s="51">
        <f t="shared" si="6"/>
        <v>3.5452352452440085E-2</v>
      </c>
      <c r="G9" s="51">
        <f t="shared" si="6"/>
        <v>3.5607308940792497E-2</v>
      </c>
      <c r="H9" s="52">
        <v>3.5299999999999998E-2</v>
      </c>
      <c r="I9" s="69">
        <f t="shared" si="0"/>
        <v>3.5928673130481092E-2</v>
      </c>
      <c r="J9" s="70"/>
      <c r="K9" s="71"/>
    </row>
  </sheetData>
  <conditionalFormatting sqref="A1:I9">
    <cfRule type="expression" dxfId="205" priority="1">
      <formula>_xlfn.ISFORMULA(A1)</formula>
    </cfRule>
  </conditionalFormatting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E3027-0F03-4AC0-84E6-0AF3E1412E34}">
  <dimension ref="A1:K9"/>
  <sheetViews>
    <sheetView topLeftCell="E1" workbookViewId="0">
      <selection sqref="A1: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48" t="s">
        <v>14</v>
      </c>
      <c r="B1" s="11"/>
      <c r="C1" s="11"/>
      <c r="D1" s="11"/>
      <c r="E1" s="11"/>
      <c r="F1" s="11"/>
      <c r="G1" s="11"/>
      <c r="H1" s="11"/>
      <c r="I1" s="11"/>
    </row>
    <row r="2" spans="1:11" ht="23.15" customHeight="1" x14ac:dyDescent="0.35">
      <c r="A2" s="49">
        <v>46122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K2" s="60" t="s">
        <v>59</v>
      </c>
    </row>
    <row r="3" spans="1:11" ht="23.15" customHeight="1" x14ac:dyDescent="0.35">
      <c r="A3" s="50" t="s">
        <v>16</v>
      </c>
      <c r="B3" s="54">
        <v>0.03</v>
      </c>
      <c r="C3" s="54">
        <v>3.49E-2</v>
      </c>
      <c r="D3" s="54">
        <v>4.3999999999999997E-2</v>
      </c>
      <c r="E3" s="54">
        <v>4.3900000000000002E-2</v>
      </c>
      <c r="F3" s="54">
        <v>6.3899999999999998E-2</v>
      </c>
      <c r="G3" s="54">
        <v>6.4899999999999999E-2</v>
      </c>
      <c r="H3" s="52">
        <v>3.2899999999999999E-2</v>
      </c>
      <c r="I3" s="69">
        <f t="shared" ref="I3:I9" si="0">((1+H3/365)^365-1)</f>
        <v>3.3445657100777071E-2</v>
      </c>
      <c r="J3" s="70"/>
      <c r="K3" s="71">
        <f>H3-0.81%</f>
        <v>2.4799999999999996E-2</v>
      </c>
    </row>
    <row r="4" spans="1:11" ht="23.15" customHeight="1" x14ac:dyDescent="0.35">
      <c r="A4" s="50" t="s">
        <v>15</v>
      </c>
      <c r="B4" s="51">
        <f>((1+$I4)^(B2/365)-1)*365/B2</f>
        <v>2.5005137572765568E-2</v>
      </c>
      <c r="C4" s="51">
        <f t="shared" ref="C4:G4" si="1">((1+$I4)^(C2/365)-1)*365/C2</f>
        <v>2.5011133186924366E-2</v>
      </c>
      <c r="D4" s="51">
        <f t="shared" si="1"/>
        <v>2.5024844646748073E-2</v>
      </c>
      <c r="E4" s="51">
        <f t="shared" si="1"/>
        <v>2.5050580654265259E-2</v>
      </c>
      <c r="F4" s="51">
        <f t="shared" si="1"/>
        <v>2.5076351951623117E-2</v>
      </c>
      <c r="G4" s="51">
        <f t="shared" si="1"/>
        <v>2.5153878127579712E-2</v>
      </c>
      <c r="H4" s="52">
        <v>2.5000000000000001E-2</v>
      </c>
      <c r="I4" s="69">
        <f t="shared" si="0"/>
        <v>2.5314242726610869E-2</v>
      </c>
      <c r="J4" s="70"/>
      <c r="K4" s="71">
        <f>'10.04.2026'!H4-'Daily Data'!Z49</f>
        <v>1.3200000000000002E-2</v>
      </c>
    </row>
    <row r="5" spans="1:11" ht="23.15" customHeight="1" x14ac:dyDescent="0.35">
      <c r="A5" s="50" t="s">
        <v>17</v>
      </c>
      <c r="B5" s="54">
        <v>3.6999999999999998E-2</v>
      </c>
      <c r="C5" s="51">
        <f>((1+I5)^(C2/365)-1)*365/C2</f>
        <v>2.791386633517404E-2</v>
      </c>
      <c r="D5" s="54">
        <v>5.4800000000000001E-2</v>
      </c>
      <c r="E5" s="51">
        <f>((1+$I5)^(E2/365)-1)*365/E2</f>
        <v>2.7963005663145801E-2</v>
      </c>
      <c r="F5" s="51">
        <f t="shared" ref="F5:G5" si="2">((1+$I5)^(F2/365)-1)*365/F2</f>
        <v>2.7995115183913229E-2</v>
      </c>
      <c r="G5" s="51">
        <f t="shared" si="2"/>
        <v>2.8091738995796145E-2</v>
      </c>
      <c r="H5" s="52">
        <v>2.7900000000000001E-2</v>
      </c>
      <c r="I5" s="69">
        <f t="shared" si="0"/>
        <v>2.8291753567093458E-2</v>
      </c>
      <c r="J5" s="70"/>
      <c r="K5" s="71">
        <f>'Daily Data'!BJ49</f>
        <v>7.3000000000000001E-3</v>
      </c>
    </row>
    <row r="6" spans="1:11" ht="23.15" customHeight="1" x14ac:dyDescent="0.35">
      <c r="A6" s="50" t="s">
        <v>55</v>
      </c>
      <c r="B6" s="54">
        <v>3.7499999999999999E-2</v>
      </c>
      <c r="C6" s="51">
        <f>((1+I6)^(C2/365)-1)*365/C2</f>
        <v>3.3720232087598924E-2</v>
      </c>
      <c r="D6" s="54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69">
        <f t="shared" si="0"/>
        <v>3.4272668936467188E-2</v>
      </c>
      <c r="J6" s="70"/>
      <c r="K6" s="71">
        <f>H6-2.3%</f>
        <v>1.0700000000000001E-2</v>
      </c>
    </row>
    <row r="7" spans="1:11" ht="23.15" customHeight="1" x14ac:dyDescent="0.35">
      <c r="A7" s="50" t="s">
        <v>47</v>
      </c>
      <c r="B7" s="54">
        <v>2.12E-2</v>
      </c>
      <c r="C7" s="51">
        <f>((1+I7)^(C2/365)-1)*365/C2</f>
        <v>2.0207268074566933E-2</v>
      </c>
      <c r="D7" s="54">
        <v>2.2200000000000001E-2</v>
      </c>
      <c r="E7" s="51">
        <f>((1+$I7)^(E2/365)-1)*365/E2</f>
        <v>2.0233013888749707E-2</v>
      </c>
      <c r="F7" s="51">
        <f t="shared" ref="F7:G7" si="4">((1+$I7)^(F2/365)-1)*365/F2</f>
        <v>2.0249828198551183E-2</v>
      </c>
      <c r="G7" s="51">
        <f t="shared" si="4"/>
        <v>2.0300382991409294E-2</v>
      </c>
      <c r="H7" s="52">
        <v>2.0199999999999999E-2</v>
      </c>
      <c r="I7" s="69">
        <f t="shared" si="0"/>
        <v>2.040483035665841E-2</v>
      </c>
      <c r="J7" s="70"/>
      <c r="K7" s="71">
        <f>H7-0.81%</f>
        <v>1.2099999999999998E-2</v>
      </c>
    </row>
    <row r="8" spans="1:11" ht="23.15" customHeight="1" x14ac:dyDescent="0.35">
      <c r="A8" s="50" t="s">
        <v>57</v>
      </c>
      <c r="B8" s="51">
        <f>((1+$I8)^(B2/365)-1)*365/B2</f>
        <v>2.6805904064948365E-2</v>
      </c>
      <c r="C8" s="51">
        <f t="shared" ref="C8:G8" si="5">((1+$I8)^(C2/365)-1)*365/C2</f>
        <v>2.6812794332687431E-2</v>
      </c>
      <c r="D8" s="51">
        <f t="shared" si="5"/>
        <v>2.6828552385075605E-2</v>
      </c>
      <c r="E8" s="51">
        <f t="shared" si="5"/>
        <v>2.6858132024380182E-2</v>
      </c>
      <c r="F8" s="51">
        <f t="shared" si="5"/>
        <v>2.68877551474602E-2</v>
      </c>
      <c r="G8" s="51">
        <f t="shared" si="5"/>
        <v>2.6976886139128541E-2</v>
      </c>
      <c r="H8" s="52">
        <v>2.6800000000000001E-2</v>
      </c>
      <c r="I8" s="69">
        <f t="shared" si="0"/>
        <v>2.7161339183711553E-2</v>
      </c>
      <c r="J8" s="70"/>
      <c r="K8" s="71">
        <f>H8-'Daily Data'!H49</f>
        <v>1.9099999999999999E-2</v>
      </c>
    </row>
    <row r="9" spans="1:11" ht="23.15" customHeight="1" x14ac:dyDescent="0.35">
      <c r="A9" s="50" t="s">
        <v>56</v>
      </c>
      <c r="B9" s="51">
        <f>((1+$I9)^(B2/365)-1)*365/B2</f>
        <v>3.1107950800242885E-2</v>
      </c>
      <c r="C9" s="51">
        <f t="shared" ref="C9:G9" si="6">((1+$I9)^(C2/365)-1)*365/C2</f>
        <v>3.1117230159457634E-2</v>
      </c>
      <c r="D9" s="51">
        <f t="shared" si="6"/>
        <v>3.1138453984796127E-2</v>
      </c>
      <c r="E9" s="51">
        <f t="shared" si="6"/>
        <v>3.1178300696434385E-2</v>
      </c>
      <c r="F9" s="51">
        <f t="shared" si="6"/>
        <v>3.1218215395197819E-2</v>
      </c>
      <c r="G9" s="51">
        <f t="shared" si="6"/>
        <v>3.1338368720569248E-2</v>
      </c>
      <c r="H9" s="52">
        <v>3.1099999999999999E-2</v>
      </c>
      <c r="I9" s="69">
        <f t="shared" si="0"/>
        <v>3.1587290874597329E-2</v>
      </c>
      <c r="J9" s="70"/>
      <c r="K9" s="71"/>
    </row>
  </sheetData>
  <conditionalFormatting sqref="A1:I9">
    <cfRule type="expression" dxfId="204" priority="1">
      <formula>_xlfn.ISFORMULA(A1)</formula>
    </cfRule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336A3-F866-4125-A52A-7CBA100FB8E1}">
  <dimension ref="A1:K10"/>
  <sheetViews>
    <sheetView workbookViewId="0">
      <selection activeCell="C21" sqref="C21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48" t="s">
        <v>14</v>
      </c>
      <c r="B1" s="11"/>
      <c r="C1" s="11"/>
      <c r="D1" s="11"/>
      <c r="E1" s="11"/>
      <c r="F1" s="11"/>
      <c r="G1" s="11"/>
      <c r="H1" s="11"/>
      <c r="I1" s="11"/>
    </row>
    <row r="2" spans="1:11" ht="23.15" customHeight="1" x14ac:dyDescent="0.35">
      <c r="A2" s="49">
        <v>46122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K2" s="60" t="s">
        <v>59</v>
      </c>
    </row>
    <row r="3" spans="1:11" ht="23.15" customHeight="1" x14ac:dyDescent="0.35">
      <c r="A3" s="50" t="s">
        <v>16</v>
      </c>
      <c r="B3" s="54">
        <v>2.9899999999999999E-2</v>
      </c>
      <c r="C3" s="54">
        <v>3.44E-2</v>
      </c>
      <c r="D3" s="54">
        <v>3.49E-2</v>
      </c>
      <c r="E3" s="54">
        <v>4.3799999999999999E-2</v>
      </c>
      <c r="F3" s="54">
        <v>0.05</v>
      </c>
      <c r="G3" s="54">
        <v>5.5E-2</v>
      </c>
      <c r="H3" s="52">
        <v>3.2800000000000003E-2</v>
      </c>
      <c r="I3" s="69">
        <f>(1+H3/365)^365-1</f>
        <v>3.334232700144435E-2</v>
      </c>
      <c r="J3" s="70"/>
      <c r="K3" s="71">
        <f>H3-'Daily Data'!AR50</f>
        <v>2.6200000000000001E-2</v>
      </c>
    </row>
    <row r="4" spans="1:11" ht="23.15" customHeight="1" x14ac:dyDescent="0.35">
      <c r="A4" s="50" t="s">
        <v>15</v>
      </c>
      <c r="B4" s="51">
        <f>((1+$I4)^(B2/365)-1)*365/B2</f>
        <v>2.5005137572765568E-2</v>
      </c>
      <c r="C4" s="51">
        <f t="shared" ref="C4:G4" si="0">((1+$I4)^(C2/365)-1)*365/C2</f>
        <v>2.5011133186924366E-2</v>
      </c>
      <c r="D4" s="51">
        <f t="shared" si="0"/>
        <v>2.5024844646748073E-2</v>
      </c>
      <c r="E4" s="51">
        <f t="shared" si="0"/>
        <v>2.5050580654265259E-2</v>
      </c>
      <c r="F4" s="51">
        <f t="shared" si="0"/>
        <v>2.5076351951623117E-2</v>
      </c>
      <c r="G4" s="51">
        <f t="shared" si="0"/>
        <v>2.5153878127579712E-2</v>
      </c>
      <c r="H4" s="52">
        <v>2.5000000000000001E-2</v>
      </c>
      <c r="I4" s="69">
        <f>(1+H4/365)^365-1</f>
        <v>2.5314242726610869E-2</v>
      </c>
      <c r="J4" s="70"/>
      <c r="K4" s="71">
        <f>H4-'Daily Data'!Z50</f>
        <v>1.3200000000000002E-2</v>
      </c>
    </row>
    <row r="5" spans="1:11" ht="23.15" customHeight="1" x14ac:dyDescent="0.35">
      <c r="A5" s="50" t="s">
        <v>17</v>
      </c>
      <c r="B5" s="54">
        <v>3.5700000000000003E-2</v>
      </c>
      <c r="C5" s="51">
        <f>((1+I5)^(C2/365)-1)*365/C2</f>
        <v>2.8214166185754581E-2</v>
      </c>
      <c r="D5" s="54">
        <v>5.4800000000000001E-2</v>
      </c>
      <c r="E5" s="51">
        <f>((1+$I5)^(E2/365)-1)*365/E2</f>
        <v>2.8264368931956569E-2</v>
      </c>
      <c r="F5" s="51">
        <f t="shared" ref="F5:G5" si="1">((1+$I5)^(F2/365)-1)*365/F2</f>
        <v>2.8297174014351119E-2</v>
      </c>
      <c r="G5" s="51">
        <f t="shared" si="1"/>
        <v>2.839589415838965E-2</v>
      </c>
      <c r="H5" s="52">
        <v>2.8199999999999999E-2</v>
      </c>
      <c r="I5" s="69">
        <f t="shared" ref="I5:I9" si="2">(1+H5/365)^365-1</f>
        <v>2.8600263658591585E-2</v>
      </c>
      <c r="J5" s="70"/>
      <c r="K5" s="71">
        <f>H5-'Daily Data'!BJ50</f>
        <v>2.0799999999999999E-2</v>
      </c>
    </row>
    <row r="6" spans="1:11" ht="23.15" customHeight="1" x14ac:dyDescent="0.35">
      <c r="A6" s="50" t="s">
        <v>55</v>
      </c>
      <c r="B6" s="54">
        <v>3.7499999999999999E-2</v>
      </c>
      <c r="C6" s="51">
        <f>((1+I6)^(C2/365)-1)*365/C2</f>
        <v>3.3720232087598924E-2</v>
      </c>
      <c r="D6" s="54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69">
        <f t="shared" si="2"/>
        <v>3.4272668936467188E-2</v>
      </c>
      <c r="J6" s="70"/>
      <c r="K6" s="71">
        <f>H6-2.3%</f>
        <v>1.0700000000000001E-2</v>
      </c>
    </row>
    <row r="7" spans="1:11" ht="23.15" customHeight="1" x14ac:dyDescent="0.35">
      <c r="A7" s="50" t="s">
        <v>47</v>
      </c>
      <c r="B7" s="54">
        <v>2.2800000000000001E-2</v>
      </c>
      <c r="C7" s="51">
        <f>((1+I7)^(C2/365)-1)*365/C2</f>
        <v>2.1508233789209425E-2</v>
      </c>
      <c r="D7" s="54">
        <v>2.3800000000000002E-2</v>
      </c>
      <c r="E7" s="51">
        <f>((1+$I7)^(E2/365)-1)*365/E2</f>
        <v>2.1537402513229942E-2</v>
      </c>
      <c r="F7" s="51">
        <f t="shared" ref="F7:G7" si="4">((1+$I7)^(F2/365)-1)*365/F2</f>
        <v>2.1556454007559442E-2</v>
      </c>
      <c r="G7" s="51">
        <f t="shared" si="4"/>
        <v>2.1613743410085418E-2</v>
      </c>
      <c r="H7" s="52">
        <v>2.1499999999999998E-2</v>
      </c>
      <c r="I7" s="69">
        <f t="shared" si="2"/>
        <v>2.1732143382214852E-2</v>
      </c>
      <c r="J7" s="70"/>
      <c r="K7" s="71">
        <f>H7-1.08%</f>
        <v>1.0699999999999998E-2</v>
      </c>
    </row>
    <row r="8" spans="1:11" ht="23.15" customHeight="1" x14ac:dyDescent="0.35">
      <c r="A8" s="50" t="s">
        <v>57</v>
      </c>
      <c r="B8" s="51">
        <f>((1+$I8)^(B2/365)-1)*365/B2</f>
        <v>2.6405729129006201E-2</v>
      </c>
      <c r="C8" s="51">
        <f t="shared" ref="C8:G8" si="5">((1+$I8)^(C2/365)-1)*365/C2</f>
        <v>2.6412415208068109E-2</v>
      </c>
      <c r="D8" s="51">
        <f t="shared" si="5"/>
        <v>2.6427706152159319E-2</v>
      </c>
      <c r="E8" s="51">
        <f t="shared" si="5"/>
        <v>2.6456408494041721E-2</v>
      </c>
      <c r="F8" s="51">
        <f t="shared" si="5"/>
        <v>2.648515239959881E-2</v>
      </c>
      <c r="G8" s="51">
        <f t="shared" si="5"/>
        <v>2.6571634176018648E-2</v>
      </c>
      <c r="H8" s="52">
        <v>2.64E-2</v>
      </c>
      <c r="I8" s="69">
        <f t="shared" si="2"/>
        <v>2.6750586738331306E-2</v>
      </c>
      <c r="J8" s="70"/>
      <c r="K8" s="71">
        <f>H8-'Daily Data'!H50</f>
        <v>1.9E-2</v>
      </c>
    </row>
    <row r="9" spans="1:11" ht="23.15" customHeight="1" x14ac:dyDescent="0.35">
      <c r="A9" s="50" t="s">
        <v>56</v>
      </c>
      <c r="B9" s="51">
        <f>((1+$I9)^(B2/365)-1)*365/B2</f>
        <v>3.1107950800242885E-2</v>
      </c>
      <c r="C9" s="51">
        <f t="shared" ref="C9:G9" si="6">((1+$I9)^(C2/365)-1)*365/C2</f>
        <v>3.1117230159457634E-2</v>
      </c>
      <c r="D9" s="51">
        <f t="shared" si="6"/>
        <v>3.1138453984796127E-2</v>
      </c>
      <c r="E9" s="51">
        <f t="shared" si="6"/>
        <v>3.1178300696434385E-2</v>
      </c>
      <c r="F9" s="51">
        <f t="shared" si="6"/>
        <v>3.1218215395197819E-2</v>
      </c>
      <c r="G9" s="51">
        <f t="shared" si="6"/>
        <v>3.1338368720569248E-2</v>
      </c>
      <c r="H9" s="52">
        <v>3.1099999999999999E-2</v>
      </c>
      <c r="I9" s="69">
        <f t="shared" si="2"/>
        <v>3.1587290874597329E-2</v>
      </c>
      <c r="J9" s="70"/>
      <c r="K9" s="71"/>
    </row>
    <row r="10" spans="1:11" x14ac:dyDescent="0.35">
      <c r="B10" s="28">
        <f>AVERAGE(B3:B9)</f>
        <v>2.9774116786002097E-2</v>
      </c>
      <c r="C10" s="28">
        <f t="shared" ref="C10:H10" si="7">AVERAGE(C3:C9)</f>
        <v>2.8626201516716153E-2</v>
      </c>
      <c r="D10" s="28">
        <f t="shared" si="7"/>
        <v>3.6584429254814789E-2</v>
      </c>
      <c r="E10" s="28">
        <f t="shared" si="7"/>
        <v>3.0011287713484346E-2</v>
      </c>
      <c r="F10" s="28">
        <f t="shared" si="7"/>
        <v>3.0924597764733854E-2</v>
      </c>
      <c r="G10" s="28">
        <f t="shared" si="7"/>
        <v>3.172193254345692E-2</v>
      </c>
      <c r="H10" s="28">
        <f t="shared" si="7"/>
        <v>2.8385714285714285E-2</v>
      </c>
    </row>
  </sheetData>
  <conditionalFormatting sqref="A1:I9">
    <cfRule type="expression" dxfId="203" priority="1">
      <formula>_xlfn.ISFORMULA(A1)</formula>
    </cfRule>
  </conditionalFormatting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AC46A-93CF-4251-9001-DC94B157F9A5}">
  <dimension ref="A1:K10"/>
  <sheetViews>
    <sheetView workbookViewId="0">
      <selection activeCell="B16" sqref="B1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48" t="s">
        <v>14</v>
      </c>
      <c r="B1" s="11"/>
      <c r="C1" s="11"/>
      <c r="D1" s="11"/>
      <c r="E1" s="11"/>
      <c r="F1" s="11"/>
      <c r="G1" s="11"/>
      <c r="H1" s="11"/>
      <c r="I1" s="11"/>
    </row>
    <row r="2" spans="1:11" ht="23.15" customHeight="1" x14ac:dyDescent="0.35">
      <c r="A2" s="49">
        <v>46122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K2" s="60" t="s">
        <v>59</v>
      </c>
    </row>
    <row r="3" spans="1:11" ht="23.15" customHeight="1" x14ac:dyDescent="0.35">
      <c r="A3" s="50" t="s">
        <v>16</v>
      </c>
      <c r="B3" s="54">
        <v>2.9899999999999999E-2</v>
      </c>
      <c r="C3" s="54">
        <v>3.44E-2</v>
      </c>
      <c r="D3" s="54">
        <v>3.49E-2</v>
      </c>
      <c r="E3" s="54">
        <v>4.3900000000000002E-2</v>
      </c>
      <c r="F3" s="54">
        <v>0.05</v>
      </c>
      <c r="G3" s="54">
        <v>5.5E-2</v>
      </c>
      <c r="H3" s="52">
        <v>3.2930000000000001E-2</v>
      </c>
      <c r="I3" s="69">
        <f>(1+H3/365)^365-1</f>
        <v>3.3476658139969251E-2</v>
      </c>
      <c r="J3" s="70"/>
      <c r="K3" s="71">
        <f>H3-'Daily Data'!AR51</f>
        <v>2.6530000000000001E-2</v>
      </c>
    </row>
    <row r="4" spans="1:11" ht="23.15" customHeight="1" x14ac:dyDescent="0.35">
      <c r="A4" s="50" t="s">
        <v>15</v>
      </c>
      <c r="B4" s="51">
        <f>((1+$I4)^(B2/365)-1)*365/B2</f>
        <v>2.5005137572765568E-2</v>
      </c>
      <c r="C4" s="51">
        <f t="shared" ref="C4:G4" si="0">((1+$I4)^(C2/365)-1)*365/C2</f>
        <v>2.5011133186924366E-2</v>
      </c>
      <c r="D4" s="51">
        <f t="shared" si="0"/>
        <v>2.5024844646748073E-2</v>
      </c>
      <c r="E4" s="51">
        <f t="shared" si="0"/>
        <v>2.5050580654265259E-2</v>
      </c>
      <c r="F4" s="51">
        <f t="shared" si="0"/>
        <v>2.5076351951623117E-2</v>
      </c>
      <c r="G4" s="51">
        <f t="shared" si="0"/>
        <v>2.5153878127579712E-2</v>
      </c>
      <c r="H4" s="52">
        <v>2.5000000000000001E-2</v>
      </c>
      <c r="I4" s="69">
        <f t="shared" ref="I4:I9" si="1">(1+H4/365)^365-1</f>
        <v>2.5314242726610869E-2</v>
      </c>
      <c r="J4" s="70"/>
      <c r="K4" s="71">
        <f>H4-'Daily Data'!Z51</f>
        <v>1.3300000000000001E-2</v>
      </c>
    </row>
    <row r="5" spans="1:11" ht="23.15" customHeight="1" x14ac:dyDescent="0.35">
      <c r="A5" s="50" t="s">
        <v>17</v>
      </c>
      <c r="B5" s="54">
        <v>3.5700000000000003E-2</v>
      </c>
      <c r="C5" s="51">
        <f>((1+I5)^(C2/365)-1)*365/C2</f>
        <v>2.7012986033863436E-2</v>
      </c>
      <c r="D5" s="54">
        <v>5.4800000000000001E-2</v>
      </c>
      <c r="E5" s="51">
        <f>((1+$I5)^(E2/365)-1)*365/E2</f>
        <v>2.7059003529465182E-2</v>
      </c>
      <c r="F5" s="51">
        <f t="shared" ref="F5:G5" si="2">((1+$I5)^(F2/365)-1)*365/F2</f>
        <v>2.7089071246125033E-2</v>
      </c>
      <c r="G5" s="51">
        <f t="shared" si="2"/>
        <v>2.7179541931450679E-2</v>
      </c>
      <c r="H5" s="52">
        <v>2.7E-2</v>
      </c>
      <c r="I5" s="69">
        <f t="shared" si="1"/>
        <v>2.7366776854136576E-2</v>
      </c>
      <c r="J5" s="70"/>
      <c r="K5" s="71">
        <f>H5-'Daily Data'!BJ51</f>
        <v>1.9900000000000001E-2</v>
      </c>
    </row>
    <row r="6" spans="1:11" ht="23.15" customHeight="1" x14ac:dyDescent="0.35">
      <c r="A6" s="50" t="s">
        <v>55</v>
      </c>
      <c r="B6" s="54">
        <v>3.7499999999999999E-2</v>
      </c>
      <c r="C6" s="51">
        <f>((1+I6)^(C2/365)-1)*365/C2</f>
        <v>3.3720232087598924E-2</v>
      </c>
      <c r="D6" s="54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69">
        <f t="shared" si="1"/>
        <v>3.4272668936467188E-2</v>
      </c>
      <c r="J6" s="70"/>
      <c r="K6" s="71">
        <f>H6-2.3%</f>
        <v>1.0700000000000001E-2</v>
      </c>
    </row>
    <row r="7" spans="1:11" ht="23.15" customHeight="1" x14ac:dyDescent="0.35">
      <c r="A7" s="50" t="s">
        <v>47</v>
      </c>
      <c r="B7" s="54">
        <v>2.23E-2</v>
      </c>
      <c r="C7" s="51">
        <f>((1+I7)^(C2/365)-1)*365/C2</f>
        <v>2.1308081297234143E-2</v>
      </c>
      <c r="D7" s="54">
        <v>2.3300000000000001E-2</v>
      </c>
      <c r="E7" s="51">
        <f>((1+$I7)^(E2/365)-1)*365/E2</f>
        <v>2.1336709500005418E-2</v>
      </c>
      <c r="F7" s="51">
        <f t="shared" ref="F7:G7" si="4">((1+$I7)^(F2/365)-1)*365/F2</f>
        <v>2.1355407694295298E-2</v>
      </c>
      <c r="G7" s="51">
        <f t="shared" si="4"/>
        <v>2.1411633460598094E-2</v>
      </c>
      <c r="H7" s="52">
        <v>2.1299999999999999E-2</v>
      </c>
      <c r="I7" s="69">
        <f t="shared" si="1"/>
        <v>2.152782936460218E-2</v>
      </c>
      <c r="J7" s="70"/>
      <c r="K7" s="71">
        <f>H7-1.08%</f>
        <v>1.0499999999999999E-2</v>
      </c>
    </row>
    <row r="8" spans="1:11" ht="23.15" customHeight="1" x14ac:dyDescent="0.35">
      <c r="A8" s="50" t="s">
        <v>57</v>
      </c>
      <c r="B8" s="51">
        <f>((1+$I8)^(B2/365)-1)*365/B2</f>
        <v>2.650577261626081E-2</v>
      </c>
      <c r="C8" s="51">
        <f t="shared" ref="C8:G8" si="5">((1+$I8)^(C2/365)-1)*365/C2</f>
        <v>2.6512509454446293E-2</v>
      </c>
      <c r="D8" s="51">
        <f t="shared" si="5"/>
        <v>2.6527916516109307E-2</v>
      </c>
      <c r="E8" s="51">
        <f t="shared" si="5"/>
        <v>2.6556836941645196E-2</v>
      </c>
      <c r="F8" s="51">
        <f t="shared" si="5"/>
        <v>2.6585799405461893E-2</v>
      </c>
      <c r="G8" s="51">
        <f t="shared" si="5"/>
        <v>2.6672939714643285E-2</v>
      </c>
      <c r="H8" s="52">
        <v>2.6499999999999999E-2</v>
      </c>
      <c r="I8" s="69">
        <f t="shared" si="1"/>
        <v>2.6853259490220882E-2</v>
      </c>
      <c r="J8" s="70"/>
      <c r="K8" s="71">
        <f>H8-'Daily Data'!H51</f>
        <v>1.9E-2</v>
      </c>
    </row>
    <row r="9" spans="1:11" ht="23.15" customHeight="1" x14ac:dyDescent="0.35">
      <c r="A9" s="50" t="s">
        <v>56</v>
      </c>
      <c r="B9" s="51">
        <f>((1+$I9)^(B2/365)-1)*365/B2</f>
        <v>3.1107950800242885E-2</v>
      </c>
      <c r="C9" s="51">
        <f t="shared" ref="C9:G9" si="6">((1+$I9)^(C2/365)-1)*365/C2</f>
        <v>3.1117230159457634E-2</v>
      </c>
      <c r="D9" s="51">
        <f t="shared" si="6"/>
        <v>3.1138453984796127E-2</v>
      </c>
      <c r="E9" s="51">
        <f t="shared" si="6"/>
        <v>3.1178300696434385E-2</v>
      </c>
      <c r="F9" s="51">
        <f t="shared" si="6"/>
        <v>3.1218215395197819E-2</v>
      </c>
      <c r="G9" s="51">
        <f t="shared" si="6"/>
        <v>3.1338368720569248E-2</v>
      </c>
      <c r="H9" s="52">
        <v>3.1099999999999999E-2</v>
      </c>
      <c r="I9" s="69">
        <f t="shared" si="1"/>
        <v>3.1587290874597329E-2</v>
      </c>
      <c r="J9" s="70"/>
      <c r="K9" s="71"/>
    </row>
    <row r="10" spans="1:11" x14ac:dyDescent="0.35">
      <c r="B10" s="28">
        <f>AVERAGE(B3:B9)</f>
        <v>2.9716980141324182E-2</v>
      </c>
      <c r="C10" s="28">
        <f t="shared" ref="C10:H10" si="7">AVERAGE(C3:C9)</f>
        <v>2.844031031707497E-2</v>
      </c>
      <c r="D10" s="28">
        <f t="shared" si="7"/>
        <v>3.6527316449664789E-2</v>
      </c>
      <c r="E10" s="28">
        <f t="shared" si="7"/>
        <v>2.9839054860896858E-2</v>
      </c>
      <c r="F10" s="28">
        <f t="shared" si="7"/>
        <v>3.0737668896787116E-2</v>
      </c>
      <c r="G10" s="28">
        <f t="shared" si="7"/>
        <v>3.1533767309485254E-2</v>
      </c>
      <c r="H10" s="28">
        <f t="shared" si="7"/>
        <v>2.8218571428571426E-2</v>
      </c>
    </row>
  </sheetData>
  <conditionalFormatting sqref="A1:I9">
    <cfRule type="expression" dxfId="202" priority="1">
      <formula>_xlfn.ISFORMULA(A1)</formula>
    </cfRule>
  </conditionalFormatting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5128D-2313-4387-8121-2313CA710EE1}">
  <dimension ref="A1:K10"/>
  <sheetViews>
    <sheetView workbookViewId="0">
      <selection activeCell="B10" sqref="B10:H10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48" t="s">
        <v>14</v>
      </c>
      <c r="B1" s="11"/>
      <c r="C1" s="11"/>
      <c r="D1" s="11"/>
      <c r="E1" s="11"/>
      <c r="F1" s="11"/>
      <c r="G1" s="11"/>
      <c r="H1" s="11"/>
      <c r="I1" s="11"/>
    </row>
    <row r="2" spans="1:11" ht="23.15" customHeight="1" x14ac:dyDescent="0.35">
      <c r="A2" s="49">
        <v>46122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K2" s="60" t="s">
        <v>59</v>
      </c>
    </row>
    <row r="3" spans="1:11" ht="23.15" customHeight="1" x14ac:dyDescent="0.35">
      <c r="A3" s="50" t="s">
        <v>16</v>
      </c>
      <c r="B3" s="54">
        <v>2.9899999999999999E-2</v>
      </c>
      <c r="C3" s="54">
        <v>3.44E-2</v>
      </c>
      <c r="D3" s="54">
        <v>3.49E-2</v>
      </c>
      <c r="E3" s="54">
        <v>4.3900000000000002E-2</v>
      </c>
      <c r="F3" s="54">
        <v>0.05</v>
      </c>
      <c r="G3" s="54">
        <v>5.5E-2</v>
      </c>
      <c r="H3" s="52">
        <v>3.2899999999999999E-2</v>
      </c>
      <c r="I3" s="69">
        <f>(1+H3/365)^365-1</f>
        <v>3.3445657100777071E-2</v>
      </c>
      <c r="J3" s="70"/>
      <c r="K3" s="71">
        <f>H3-'Daily Data'!AR52</f>
        <v>2.6299999999999997E-2</v>
      </c>
    </row>
    <row r="4" spans="1:11" ht="23.15" customHeight="1" x14ac:dyDescent="0.35">
      <c r="A4" s="50" t="s">
        <v>15</v>
      </c>
      <c r="B4" s="51">
        <f>((1+$I4)^(B2/365)-1)*365/B2</f>
        <v>2.5005137572765568E-2</v>
      </c>
      <c r="C4" s="51">
        <f t="shared" ref="C4:G4" si="0">((1+$I4)^(C2/365)-1)*365/C2</f>
        <v>2.5011133186924366E-2</v>
      </c>
      <c r="D4" s="51">
        <f t="shared" si="0"/>
        <v>2.5024844646748073E-2</v>
      </c>
      <c r="E4" s="51">
        <f t="shared" si="0"/>
        <v>2.5050580654265259E-2</v>
      </c>
      <c r="F4" s="51">
        <f t="shared" si="0"/>
        <v>2.5076351951623117E-2</v>
      </c>
      <c r="G4" s="51">
        <f t="shared" si="0"/>
        <v>2.5153878127579712E-2</v>
      </c>
      <c r="H4" s="52">
        <v>2.5000000000000001E-2</v>
      </c>
      <c r="I4" s="69">
        <f t="shared" ref="I4:I9" si="1">(1+H4/365)^365-1</f>
        <v>2.5314242726610869E-2</v>
      </c>
      <c r="J4" s="70"/>
      <c r="K4" s="71">
        <f>H4-'Daily Data'!Z52</f>
        <v>1.3300000000000001E-2</v>
      </c>
    </row>
    <row r="5" spans="1:11" ht="23.15" customHeight="1" x14ac:dyDescent="0.35">
      <c r="A5" s="50" t="s">
        <v>17</v>
      </c>
      <c r="B5" s="54">
        <v>3.5700000000000003E-2</v>
      </c>
      <c r="C5" s="51">
        <f>((1+I5)^(C2/365)-1)*365/C2</f>
        <v>2.7113082419203485E-2</v>
      </c>
      <c r="D5" s="54">
        <v>5.4800000000000001E-2</v>
      </c>
      <c r="E5" s="51">
        <f>((1+$I5)^(E2/365)-1)*365/E2</f>
        <v>2.715944171711478E-2</v>
      </c>
      <c r="F5" s="51">
        <f t="shared" ref="F5:G5" si="2">((1+$I5)^(F2/365)-1)*365/F2</f>
        <v>2.7189732976884338E-2</v>
      </c>
      <c r="G5" s="51">
        <f t="shared" si="2"/>
        <v>2.7280877281188751E-2</v>
      </c>
      <c r="H5" s="52">
        <v>2.7099999999999999E-2</v>
      </c>
      <c r="I5" s="69">
        <f t="shared" si="1"/>
        <v>2.7469511054885043E-2</v>
      </c>
      <c r="J5" s="70"/>
      <c r="K5" s="71">
        <f>H5-'Daily Data'!BJ52</f>
        <v>1.9999999999999997E-2</v>
      </c>
    </row>
    <row r="6" spans="1:11" ht="23.15" customHeight="1" x14ac:dyDescent="0.35">
      <c r="A6" s="50" t="s">
        <v>55</v>
      </c>
      <c r="B6" s="54">
        <v>3.7499999999999999E-2</v>
      </c>
      <c r="C6" s="51">
        <f>((1+I6)^(C2/365)-1)*365/C2</f>
        <v>3.3720232087598924E-2</v>
      </c>
      <c r="D6" s="54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69">
        <f t="shared" si="1"/>
        <v>3.4272668936467188E-2</v>
      </c>
      <c r="J6" s="70"/>
      <c r="K6" s="71">
        <f>H6-2.3%</f>
        <v>1.0700000000000001E-2</v>
      </c>
    </row>
    <row r="7" spans="1:11" ht="23.15" customHeight="1" x14ac:dyDescent="0.35">
      <c r="A7" s="50" t="s">
        <v>47</v>
      </c>
      <c r="B7" s="54">
        <v>2.2100000000000002E-2</v>
      </c>
      <c r="C7" s="51">
        <f>((1+$I7)^(C2/365)-1)*365/C2</f>
        <v>2.1137952799943745E-2</v>
      </c>
      <c r="D7" s="54">
        <v>2.3199999999999998E-2</v>
      </c>
      <c r="E7" s="51">
        <f>((1+$I7)^(E2/365)-1)*365/E2</f>
        <v>2.1166125539664443E-2</v>
      </c>
      <c r="F7" s="51">
        <f t="shared" ref="F7:G7" si="4">((1+$I7)^(F2/365)-1)*365/F2</f>
        <v>2.118452603610917E-2</v>
      </c>
      <c r="G7" s="51">
        <f t="shared" si="4"/>
        <v>2.1239855588032326E-2</v>
      </c>
      <c r="H7" s="52">
        <v>2.1129999999999999E-2</v>
      </c>
      <c r="I7" s="69">
        <f t="shared" si="1"/>
        <v>2.1354194485199818E-2</v>
      </c>
      <c r="J7" s="70"/>
      <c r="K7" s="71">
        <f>H7-0.85%</f>
        <v>1.2629999999999999E-2</v>
      </c>
    </row>
    <row r="8" spans="1:11" ht="23.15" customHeight="1" x14ac:dyDescent="0.35">
      <c r="A8" s="50" t="s">
        <v>57</v>
      </c>
      <c r="B8" s="51">
        <f>((1+$I8)^(B2/365)-1)*365/B2</f>
        <v>2.650577261626081E-2</v>
      </c>
      <c r="C8" s="51">
        <f t="shared" ref="C8:G8" si="5">((1+$I8)^(C2/365)-1)*365/C2</f>
        <v>2.6512509454446293E-2</v>
      </c>
      <c r="D8" s="51">
        <f t="shared" si="5"/>
        <v>2.6527916516109307E-2</v>
      </c>
      <c r="E8" s="51">
        <f t="shared" si="5"/>
        <v>2.6556836941645196E-2</v>
      </c>
      <c r="F8" s="51">
        <f t="shared" si="5"/>
        <v>2.6585799405461893E-2</v>
      </c>
      <c r="G8" s="51">
        <f t="shared" si="5"/>
        <v>2.6672939714643285E-2</v>
      </c>
      <c r="H8" s="52">
        <v>2.6499999999999999E-2</v>
      </c>
      <c r="I8" s="69">
        <f t="shared" si="1"/>
        <v>2.6853259490220882E-2</v>
      </c>
      <c r="J8" s="70"/>
      <c r="K8" s="71">
        <f>H8-'Daily Data'!H52</f>
        <v>1.9E-2</v>
      </c>
    </row>
    <row r="9" spans="1:11" ht="23.15" customHeight="1" x14ac:dyDescent="0.35">
      <c r="A9" s="50" t="s">
        <v>56</v>
      </c>
      <c r="B9" s="51">
        <f>((1+$I9)^(B2/365)-1)*365/B2</f>
        <v>3.1107950800242885E-2</v>
      </c>
      <c r="C9" s="51">
        <f t="shared" ref="C9:G9" si="6">((1+$I9)^(C2/365)-1)*365/C2</f>
        <v>3.1117230159457634E-2</v>
      </c>
      <c r="D9" s="51">
        <f t="shared" si="6"/>
        <v>3.1138453984796127E-2</v>
      </c>
      <c r="E9" s="51">
        <f t="shared" si="6"/>
        <v>3.1178300696434385E-2</v>
      </c>
      <c r="F9" s="51">
        <f t="shared" si="6"/>
        <v>3.1218215395197819E-2</v>
      </c>
      <c r="G9" s="51">
        <f t="shared" si="6"/>
        <v>3.1338368720569248E-2</v>
      </c>
      <c r="H9" s="52">
        <v>3.1099999999999999E-2</v>
      </c>
      <c r="I9" s="69">
        <f t="shared" si="1"/>
        <v>3.1587290874597329E-2</v>
      </c>
      <c r="J9" s="70"/>
      <c r="K9" s="71"/>
    </row>
    <row r="10" spans="1:11" x14ac:dyDescent="0.35">
      <c r="B10" s="28">
        <f>AVERAGE(B3:B9)</f>
        <v>2.9688408712752752E-2</v>
      </c>
      <c r="C10" s="28">
        <f t="shared" ref="C10:H10" si="7">AVERAGE(C3:C9)</f>
        <v>2.8430305729653493E-2</v>
      </c>
      <c r="D10" s="28">
        <f t="shared" si="7"/>
        <v>3.6513030735379079E-2</v>
      </c>
      <c r="E10" s="28">
        <f t="shared" si="7"/>
        <v>2.9829034036226661E-2</v>
      </c>
      <c r="F10" s="28">
        <f t="shared" si="7"/>
        <v>3.072763747858329E-2</v>
      </c>
      <c r="G10" s="28">
        <f t="shared" si="7"/>
        <v>3.1523704091938436E-2</v>
      </c>
      <c r="H10" s="28">
        <f t="shared" si="7"/>
        <v>2.8204285714285713E-2</v>
      </c>
    </row>
  </sheetData>
  <conditionalFormatting sqref="A1:I9">
    <cfRule type="expression" dxfId="201" priority="1">
      <formula>_xlfn.ISFORMULA(A1)</formula>
    </cfRule>
  </conditionalFormatting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3295E-1F54-4AD3-8288-DC895BAC8CBA}">
  <dimension ref="A1:K10"/>
  <sheetViews>
    <sheetView workbookViewId="0">
      <selection activeCell="B10" sqref="B10:H10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46126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0.03</v>
      </c>
      <c r="C3" s="54">
        <v>3.4000000000000002E-2</v>
      </c>
      <c r="D3" s="54">
        <v>3.5000000000000003E-2</v>
      </c>
      <c r="E3" s="54">
        <v>4.3900000000000002E-2</v>
      </c>
      <c r="F3" s="54">
        <v>6.4699999999999994E-2</v>
      </c>
      <c r="G3" s="54">
        <v>6.5000000000000002E-2</v>
      </c>
      <c r="H3" s="52">
        <v>3.2899999999999999E-2</v>
      </c>
      <c r="I3" s="73">
        <f>(1+H3/365)^365-1</f>
        <v>3.3445657100777071E-2</v>
      </c>
      <c r="J3" s="74"/>
      <c r="K3" s="67">
        <f>H3-'Daily Data'!AR53</f>
        <v>2.5599999999999998E-2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Data'!Z53</f>
        <v>1.2700000000000001E-2</v>
      </c>
    </row>
    <row r="5" spans="1:11" ht="23.15" customHeight="1" x14ac:dyDescent="0.5">
      <c r="A5" s="50" t="s">
        <v>17</v>
      </c>
      <c r="B5" s="56">
        <v>3.5700000000000003E-2</v>
      </c>
      <c r="C5" s="55">
        <f>((1+I5)^(C2/365)-1)*365/C2</f>
        <v>2.8514469244696868E-2</v>
      </c>
      <c r="D5" s="56">
        <v>5.4800000000000001E-2</v>
      </c>
      <c r="E5" s="55">
        <f>((1+$I5)^(E2/365)-1)*365/E2</f>
        <v>2.8565746813953425E-2</v>
      </c>
      <c r="F5" s="55">
        <f t="shared" ref="F5:G5" si="2">((1+$I5)^(F2/365)-1)*365/F2</f>
        <v>2.8599254939608972E-2</v>
      </c>
      <c r="G5" s="55">
        <f t="shared" si="2"/>
        <v>2.8700094069031949E-2</v>
      </c>
      <c r="H5" s="52">
        <v>2.8500000000000001E-2</v>
      </c>
      <c r="I5" s="73">
        <f t="shared" si="1"/>
        <v>2.8908866056128746E-2</v>
      </c>
      <c r="J5" s="74"/>
      <c r="K5" s="67">
        <f>H5-'Daily Data'!BJ53</f>
        <v>2.1000000000000001E-2</v>
      </c>
    </row>
    <row r="6" spans="1:11" ht="23.15" customHeight="1" x14ac:dyDescent="0.4">
      <c r="A6" s="50" t="s">
        <v>55</v>
      </c>
      <c r="B6" s="54">
        <v>3.7499999999999999E-2</v>
      </c>
      <c r="C6" s="51">
        <f>((1+I6)^(C2/365)-1)*365/C2</f>
        <v>3.3720232087598924E-2</v>
      </c>
      <c r="D6" s="54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4">
        <v>2.01E-2</v>
      </c>
      <c r="C7" s="51">
        <f>((1+I7)^(C2/365)-1)*365/C2</f>
        <v>1.9206566203437019E-2</v>
      </c>
      <c r="D7" s="54">
        <v>2.1100000000000001E-2</v>
      </c>
      <c r="E7" s="51">
        <f>((1+$I7)^(E2/365)-1)*365/E2</f>
        <v>1.9229824514799581E-2</v>
      </c>
      <c r="F7" s="51">
        <f t="shared" ref="F7:G7" si="4">((1+$I7)^(F2/365)-1)*365/F2</f>
        <v>1.924501320911419E-2</v>
      </c>
      <c r="G7" s="51">
        <f t="shared" si="4"/>
        <v>1.9290675329672449E-2</v>
      </c>
      <c r="H7" s="52">
        <v>1.9199999999999998E-2</v>
      </c>
      <c r="I7" s="73">
        <f t="shared" si="1"/>
        <v>1.9384990574597305E-2</v>
      </c>
      <c r="J7" s="74"/>
      <c r="K7" s="67">
        <f>H7-1.08%</f>
        <v>8.3999999999999977E-3</v>
      </c>
    </row>
    <row r="8" spans="1:11" ht="23.15" customHeight="1" x14ac:dyDescent="0.4">
      <c r="A8" s="50" t="s">
        <v>57</v>
      </c>
      <c r="B8" s="51">
        <f>((1+$I8)^(B2/365)-1)*365/B2</f>
        <v>2.8506676896215315E-2</v>
      </c>
      <c r="C8" s="51">
        <f t="shared" ref="C8:G8" si="5">((1+$I8)^(C2/365)-1)*365/C2</f>
        <v>2.8514469244696868E-2</v>
      </c>
      <c r="D8" s="51">
        <f t="shared" si="5"/>
        <v>2.8532290993570169E-2</v>
      </c>
      <c r="E8" s="51">
        <f t="shared" si="5"/>
        <v>2.8565746813953425E-2</v>
      </c>
      <c r="F8" s="51">
        <f t="shared" si="5"/>
        <v>2.8599254939608972E-2</v>
      </c>
      <c r="G8" s="51">
        <f t="shared" si="5"/>
        <v>2.8700094069031949E-2</v>
      </c>
      <c r="H8" s="52">
        <v>2.8500000000000001E-2</v>
      </c>
      <c r="I8" s="73">
        <f t="shared" si="1"/>
        <v>2.8908866056128746E-2</v>
      </c>
      <c r="J8" s="74"/>
      <c r="K8" s="67">
        <f>H8-'Daily Data'!H53</f>
        <v>1.9900000000000001E-2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  <row r="10" spans="1:11" x14ac:dyDescent="0.35">
      <c r="B10" s="28">
        <f>AVERAGE(B3:B9)</f>
        <v>2.9702823609889111E-2</v>
      </c>
      <c r="C10" s="28">
        <f t="shared" ref="C10:H10" si="7">AVERAGE(C3:C9)</f>
        <v>2.8583442875258814E-2</v>
      </c>
      <c r="D10" s="28">
        <f t="shared" si="7"/>
        <v>3.6513655660730622E-2</v>
      </c>
      <c r="E10" s="28">
        <f t="shared" si="7"/>
        <v>3.0040307456838378E-2</v>
      </c>
      <c r="F10" s="28">
        <f t="shared" si="7"/>
        <v>3.3039561002851388E-2</v>
      </c>
      <c r="G10" s="28">
        <f t="shared" si="7"/>
        <v>3.3166159932491578E-2</v>
      </c>
      <c r="H10" s="28">
        <f t="shared" si="7"/>
        <v>2.8414285714285715E-2</v>
      </c>
    </row>
  </sheetData>
  <conditionalFormatting sqref="A1:J9">
    <cfRule type="expression" dxfId="200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A973F-48B6-4D48-A47F-C557426CF8A8}">
  <dimension ref="A1:K10"/>
  <sheetViews>
    <sheetView zoomScale="85" zoomScaleNormal="85" workbookViewId="0">
      <selection activeCell="C17" sqref="C17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46127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4.2000000000000003E-2</v>
      </c>
      <c r="C3" s="54">
        <v>3.2000000000000001E-2</v>
      </c>
      <c r="D3" s="54">
        <v>3.5000000000000003E-2</v>
      </c>
      <c r="E3" s="54">
        <v>4.3499999999999997E-2</v>
      </c>
      <c r="F3" s="54">
        <v>6.4600000000000005E-2</v>
      </c>
      <c r="G3" s="54">
        <v>6.5000000000000002E-2</v>
      </c>
      <c r="H3" s="52">
        <v>3.2899999999999999E-2</v>
      </c>
      <c r="I3" s="73">
        <f>(1+H3/365)^365-1</f>
        <v>3.3445657100777071E-2</v>
      </c>
      <c r="J3" s="74"/>
      <c r="K3" s="67">
        <f>H3-'Daily Data'!AR54</f>
        <v>2.52E-2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Data'!Z54</f>
        <v>1.2900000000000002E-2</v>
      </c>
    </row>
    <row r="5" spans="1:11" ht="23.15" customHeight="1" x14ac:dyDescent="0.5">
      <c r="A5" s="50" t="s">
        <v>17</v>
      </c>
      <c r="B5" s="56">
        <v>3.5700000000000003E-2</v>
      </c>
      <c r="C5" s="55">
        <f>((1+I5)^(C2/365)-1)*365/C2</f>
        <v>2.7713668217315055E-2</v>
      </c>
      <c r="D5" s="56">
        <v>5.4800000000000001E-2</v>
      </c>
      <c r="E5" s="55">
        <f>((1+$I5)^(E2/365)-1)*365/E2</f>
        <v>2.7762104935491045E-2</v>
      </c>
      <c r="F5" s="55">
        <f t="shared" ref="F5:G5" si="2">((1+$I5)^(F2/365)-1)*365/F2</f>
        <v>2.7793754904522662E-2</v>
      </c>
      <c r="G5" s="55">
        <f t="shared" si="2"/>
        <v>2.7888993744320009E-2</v>
      </c>
      <c r="H5" s="52">
        <v>2.7699999999999999E-2</v>
      </c>
      <c r="I5" s="73">
        <f t="shared" si="1"/>
        <v>2.8086131440423268E-2</v>
      </c>
      <c r="J5" s="74"/>
      <c r="K5" s="67">
        <f>'15.04.2026'!H5-'Daily Data'!BJ54</f>
        <v>2.0799999999999999E-2</v>
      </c>
    </row>
    <row r="6" spans="1:11" ht="23.15" customHeight="1" x14ac:dyDescent="0.4">
      <c r="A6" s="50" t="s">
        <v>55</v>
      </c>
      <c r="B6" s="54">
        <v>3.7499999999999999E-2</v>
      </c>
      <c r="C6" s="51">
        <f>((1+I6)^(C2/365)-1)*365/C2</f>
        <v>3.7725321103891055E-2</v>
      </c>
      <c r="D6" s="54">
        <v>0.06</v>
      </c>
      <c r="E6" s="51">
        <f>((1+$I6)^(E2/365)-1)*365/E2</f>
        <v>3.7815101107635661E-2</v>
      </c>
      <c r="F6" s="51">
        <f t="shared" ref="F6:G6" si="3">((1+$I6)^(F2/365)-1)*365/F2</f>
        <v>3.7873806743672578E-2</v>
      </c>
      <c r="G6" s="51">
        <f t="shared" si="3"/>
        <v>3.8050653690731094E-2</v>
      </c>
      <c r="H6" s="52">
        <v>3.7699999999999997E-2</v>
      </c>
      <c r="I6" s="73">
        <f t="shared" si="1"/>
        <v>3.8417638613382321E-2</v>
      </c>
      <c r="J6" s="74"/>
      <c r="K6" s="67">
        <f>H6-2.3%</f>
        <v>1.4699999999999998E-2</v>
      </c>
    </row>
    <row r="7" spans="1:11" ht="23.15" customHeight="1" x14ac:dyDescent="0.4">
      <c r="A7" s="50" t="s">
        <v>47</v>
      </c>
      <c r="B7" s="54">
        <v>1.9599999999999999E-2</v>
      </c>
      <c r="C7" s="51">
        <f>((1+I7)^(C2/365)-1)*365/C2</f>
        <v>1.8706228632562962E-2</v>
      </c>
      <c r="D7" s="54">
        <v>2.06E-2</v>
      </c>
      <c r="E7" s="51">
        <f>((1+I7)^(E2/365)-1)*365/E2</f>
        <v>1.8728290631110922E-2</v>
      </c>
      <c r="F7" s="51">
        <f>((1+$I7)^(F2/365)-1)*365/F2</f>
        <v>1.8742697580706631E-2</v>
      </c>
      <c r="G7" s="51">
        <f>((1+$I7)^(G2/365)-1)*365/G2</f>
        <v>1.8786007148013973E-2</v>
      </c>
      <c r="H7" s="52">
        <v>1.8700000000000001E-2</v>
      </c>
      <c r="I7" s="73">
        <f t="shared" si="1"/>
        <v>1.8875451928745957E-2</v>
      </c>
      <c r="J7" s="74"/>
      <c r="K7" s="67">
        <f>H7-0.9%</f>
        <v>9.7000000000000003E-3</v>
      </c>
    </row>
    <row r="8" spans="1:11" ht="23.15" customHeight="1" x14ac:dyDescent="0.4">
      <c r="A8" s="50" t="s">
        <v>57</v>
      </c>
      <c r="B8" s="51">
        <f>((1+$I8)^(B2/365)-1)*365/B2</f>
        <v>2.7206081631976988E-2</v>
      </c>
      <c r="C8" s="51">
        <f t="shared" ref="C8:G8" si="4">((1+$I8)^(C2/365)-1)*365/C2</f>
        <v>2.721317916094455E-2</v>
      </c>
      <c r="D8" s="51">
        <f t="shared" si="4"/>
        <v>2.7229411356470796E-2</v>
      </c>
      <c r="E8" s="51">
        <f t="shared" si="4"/>
        <v>2.7259881528093017E-2</v>
      </c>
      <c r="F8" s="51">
        <f t="shared" si="4"/>
        <v>2.7290397161898836E-2</v>
      </c>
      <c r="G8" s="51">
        <f t="shared" si="4"/>
        <v>2.7382217600190828E-2</v>
      </c>
      <c r="H8" s="52">
        <v>2.7199999999999998E-2</v>
      </c>
      <c r="I8" s="73">
        <f t="shared" si="1"/>
        <v>2.7572255500570853E-2</v>
      </c>
      <c r="J8" s="74"/>
      <c r="K8" s="67">
        <f>H8-'Daily Data'!H54</f>
        <v>1.9299999999999998E-2</v>
      </c>
    </row>
    <row r="9" spans="1:11" ht="23.15" customHeight="1" x14ac:dyDescent="0.5">
      <c r="A9" s="50" t="s">
        <v>56</v>
      </c>
      <c r="B9" s="55">
        <f>((1+I9)^(B2/365)-1)*365/B2</f>
        <v>3.1107950800242885E-2</v>
      </c>
      <c r="C9" s="55">
        <f t="shared" ref="C9:G9" si="5">((1+J9)^(C2/365)-1)*365/C2</f>
        <v>0</v>
      </c>
      <c r="D9" s="55">
        <f t="shared" si="5"/>
        <v>0</v>
      </c>
      <c r="E9" s="55">
        <f t="shared" si="5"/>
        <v>0</v>
      </c>
      <c r="F9" s="55">
        <f t="shared" si="5"/>
        <v>0</v>
      </c>
      <c r="G9" s="55">
        <f t="shared" si="5"/>
        <v>0</v>
      </c>
      <c r="H9" s="52">
        <v>3.1099999999999999E-2</v>
      </c>
      <c r="I9" s="73">
        <f t="shared" si="1"/>
        <v>3.1587290874597329E-2</v>
      </c>
      <c r="J9" s="74"/>
      <c r="K9" s="68"/>
    </row>
    <row r="10" spans="1:11" ht="21" x14ac:dyDescent="0.35">
      <c r="A10" s="83" t="s">
        <v>62</v>
      </c>
      <c r="B10" s="82">
        <f>AVERAGE(B3:B9)</f>
        <v>3.115988142928364E-2</v>
      </c>
      <c r="C10" s="82">
        <f t="shared" ref="C10:I10" si="6">AVERAGE(C3:C9)</f>
        <v>2.4052790043091139E-2</v>
      </c>
      <c r="D10" s="82">
        <f t="shared" si="6"/>
        <v>3.18077508576027E-2</v>
      </c>
      <c r="E10" s="82">
        <f t="shared" si="6"/>
        <v>2.5730851265227984E-2</v>
      </c>
      <c r="F10" s="82">
        <f t="shared" si="6"/>
        <v>2.8768144048917692E-2</v>
      </c>
      <c r="G10" s="82">
        <f t="shared" si="6"/>
        <v>2.8894535758690804E-2</v>
      </c>
      <c r="H10" s="82">
        <f t="shared" si="6"/>
        <v>2.861428571428571E-2</v>
      </c>
      <c r="I10" s="82">
        <f t="shared" si="6"/>
        <v>2.904266688358681E-2</v>
      </c>
    </row>
  </sheetData>
  <conditionalFormatting sqref="A1:J9 A10">
    <cfRule type="expression" dxfId="199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30BE0-5361-4236-B759-D5C263D71056}">
  <dimension ref="A1:K9"/>
  <sheetViews>
    <sheetView topLeftCell="C1" workbookViewId="0">
      <selection activeCell="K9" sqref="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46128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0.03</v>
      </c>
      <c r="C3" s="54">
        <v>3.2000000000000001E-2</v>
      </c>
      <c r="D3" s="54">
        <v>4.2900000000000001E-2</v>
      </c>
      <c r="E3" s="54">
        <v>4.3499999999999997E-2</v>
      </c>
      <c r="F3" s="54">
        <v>6.4899999999999999E-2</v>
      </c>
      <c r="G3" s="54">
        <v>6.5000000000000002E-2</v>
      </c>
      <c r="H3" s="52">
        <v>3.2899999999999999E-2</v>
      </c>
      <c r="I3" s="73">
        <f>(1+H3/365)^365-1</f>
        <v>3.3445657100777071E-2</v>
      </c>
      <c r="J3" s="74"/>
      <c r="K3" s="67">
        <f>H3-'Daily Data'!AR55</f>
        <v>2.52E-2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Data'!Z55</f>
        <v>1.2600000000000002E-2</v>
      </c>
    </row>
    <row r="5" spans="1:11" ht="23.15" customHeight="1" x14ac:dyDescent="0.5">
      <c r="A5" s="50" t="s">
        <v>17</v>
      </c>
      <c r="B5" s="56">
        <v>3.5700000000000003E-2</v>
      </c>
      <c r="C5" s="55">
        <f>((1+I5)^(C2/365)-1)*365/C2</f>
        <v>2.751347152523961E-2</v>
      </c>
      <c r="D5" s="56">
        <v>5.4800000000000001E-2</v>
      </c>
      <c r="E5" s="55">
        <f>((1+$I5)^(E2/365)-1)*365/E2</f>
        <v>2.7561210701938343E-2</v>
      </c>
      <c r="F5" s="55">
        <f t="shared" ref="F5:G5" si="2">((1+$I5)^(F2/365)-1)*365/F2</f>
        <v>2.7592404443735931E-2</v>
      </c>
      <c r="G5" s="55">
        <f t="shared" si="2"/>
        <v>2.7686268375885618E-2</v>
      </c>
      <c r="H5" s="52">
        <v>2.75E-2</v>
      </c>
      <c r="I5" s="73">
        <f t="shared" si="1"/>
        <v>2.7880550318131858E-2</v>
      </c>
      <c r="J5" s="74"/>
      <c r="K5" s="67">
        <f>H5-'Daily Data'!BJ55</f>
        <v>2.07E-2</v>
      </c>
    </row>
    <row r="6" spans="1:11" ht="23.15" customHeight="1" x14ac:dyDescent="0.4">
      <c r="A6" s="50" t="s">
        <v>55</v>
      </c>
      <c r="B6" s="54">
        <v>3.7499999999999999E-2</v>
      </c>
      <c r="C6" s="51">
        <f>((1+I6)^(C2/365)-1)*365/C2</f>
        <v>3.3720232087598924E-2</v>
      </c>
      <c r="D6" s="54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4">
        <v>0.02</v>
      </c>
      <c r="C7" s="51">
        <f>((1+I7)^(C2/365)-1)*365/C2</f>
        <v>1.9106497976434694E-2</v>
      </c>
      <c r="D7" s="54">
        <v>2.1000000000000001E-2</v>
      </c>
      <c r="E7" s="51">
        <f>((1+$I7)^(E2/365)-1)*365/E2</f>
        <v>1.9129514495355309E-2</v>
      </c>
      <c r="F7" s="51">
        <f t="shared" ref="F7:G7" si="4">((1+$I7)^(F2/365)-1)*365/F2</f>
        <v>1.9144545184274515E-2</v>
      </c>
      <c r="G7" s="51">
        <f t="shared" si="4"/>
        <v>1.9189731793765021E-2</v>
      </c>
      <c r="H7" s="52">
        <v>1.9099999999999999E-2</v>
      </c>
      <c r="I7" s="73">
        <f t="shared" si="1"/>
        <v>1.9283062519709127E-2</v>
      </c>
      <c r="J7" s="74"/>
      <c r="K7" s="67">
        <f>H7-0.91%</f>
        <v>9.9999999999999985E-3</v>
      </c>
    </row>
    <row r="8" spans="1:11" ht="23.15" customHeight="1" x14ac:dyDescent="0.4">
      <c r="A8" s="50" t="s">
        <v>57</v>
      </c>
      <c r="B8" s="51">
        <f>((1+$I8)^(B2/365)-1)*365/B2</f>
        <v>2.7406171402247135E-2</v>
      </c>
      <c r="C8" s="51">
        <f t="shared" ref="C8:G8" si="5">((1+$I8)^(C2/365)-1)*365/C2</f>
        <v>2.7413373714052343E-2</v>
      </c>
      <c r="D8" s="51">
        <f t="shared" si="5"/>
        <v>2.7429845619310389E-2</v>
      </c>
      <c r="E8" s="51">
        <f t="shared" si="5"/>
        <v>2.7460766020571663E-2</v>
      </c>
      <c r="F8" s="51">
        <f t="shared" si="5"/>
        <v>2.7491732895357952E-2</v>
      </c>
      <c r="G8" s="51">
        <f t="shared" si="5"/>
        <v>2.7584913147389555E-2</v>
      </c>
      <c r="H8" s="52">
        <v>2.7400000000000001E-2</v>
      </c>
      <c r="I8" s="73">
        <f t="shared" si="1"/>
        <v>2.7777775131269555E-2</v>
      </c>
      <c r="J8" s="74"/>
      <c r="K8" s="67">
        <f>H8-'Daily Data'!H55</f>
        <v>1.9300000000000001E-2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198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17D28-D20E-40D1-9876-600B5A707310}">
  <dimension ref="A1:K9"/>
  <sheetViews>
    <sheetView zoomScale="70" zoomScaleNormal="70" workbookViewId="0">
      <selection activeCell="K6" sqref="K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46129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4.2999999999999997E-2</v>
      </c>
      <c r="C3" s="54">
        <v>3.2000000000000001E-2</v>
      </c>
      <c r="D3" s="54">
        <v>4.2000000000000003E-2</v>
      </c>
      <c r="E3" s="54">
        <v>4.3499999999999997E-2</v>
      </c>
      <c r="F3" s="54">
        <v>6.4000000000000001E-2</v>
      </c>
      <c r="G3" s="54">
        <v>5.5100000000000003E-2</v>
      </c>
      <c r="H3" s="52">
        <v>3.2899999999999999E-2</v>
      </c>
      <c r="I3" s="73">
        <f>(1+H3/365)^365-1</f>
        <v>3.3445657100777071E-2</v>
      </c>
      <c r="J3" s="74"/>
      <c r="K3" s="67">
        <f>H3-'Daily Data'!AR56</f>
        <v>2.5399999999999999E-2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Data'!Z56</f>
        <v>1.2300000000000002E-2</v>
      </c>
    </row>
    <row r="5" spans="1:11" ht="23.15" customHeight="1" x14ac:dyDescent="0.5">
      <c r="A5" s="50" t="s">
        <v>17</v>
      </c>
      <c r="B5" s="56">
        <v>3.5700000000000003E-2</v>
      </c>
      <c r="C5" s="55">
        <f>((1+I5)^(C2/365)-1)*365/C2</f>
        <v>2.7313276259254522E-2</v>
      </c>
      <c r="D5" s="56">
        <v>5.4800000000000001E-2</v>
      </c>
      <c r="E5" s="55">
        <f>((1+$I5)^(E2/365)-1)*365/E2</f>
        <v>2.7360322962594403E-2</v>
      </c>
      <c r="F5" s="55">
        <f t="shared" ref="F5:G5" si="2">((1+$I5)^(F2/365)-1)*365/F2</f>
        <v>2.7391063801394545E-2</v>
      </c>
      <c r="G5" s="55">
        <f t="shared" si="2"/>
        <v>2.7483562888867545E-2</v>
      </c>
      <c r="H5" s="52">
        <v>2.7300000000000001E-2</v>
      </c>
      <c r="I5" s="73">
        <f t="shared" si="1"/>
        <v>2.7675010192383942E-2</v>
      </c>
      <c r="J5" s="74"/>
      <c r="K5" s="67">
        <f>H5-'Daily Data'!BJ56</f>
        <v>1.9400000000000001E-2</v>
      </c>
    </row>
    <row r="6" spans="1:11" ht="23.15" customHeight="1" x14ac:dyDescent="0.4">
      <c r="A6" s="50" t="s">
        <v>55</v>
      </c>
      <c r="B6" s="54">
        <v>3.7499999999999999E-2</v>
      </c>
      <c r="C6" s="51">
        <f>((1+I6)^(C2/365)-1)*365/C2</f>
        <v>3.3720232087598924E-2</v>
      </c>
      <c r="D6" s="54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4">
        <v>2.0199999999999999E-2</v>
      </c>
      <c r="C7" s="51">
        <f>((1+I7)^(C2/365)-1)*365/C2</f>
        <v>1.9306634786747736E-2</v>
      </c>
      <c r="D7" s="54">
        <v>2.12E-2</v>
      </c>
      <c r="E7" s="51">
        <f>((1+$I7)^(E2/365)-1)*365/E2</f>
        <v>1.9330136155538229E-2</v>
      </c>
      <c r="F7" s="51">
        <f t="shared" ref="F7:G7" si="4">((1+$I7)^(F2/365)-1)*365/F2</f>
        <v>1.9345483683538982E-2</v>
      </c>
      <c r="G7" s="51">
        <f t="shared" si="4"/>
        <v>1.9391623815737669E-2</v>
      </c>
      <c r="H7" s="52">
        <v>1.9300000000000001E-2</v>
      </c>
      <c r="I7" s="73">
        <f t="shared" si="1"/>
        <v>1.9486928794252067E-2</v>
      </c>
      <c r="J7" s="74"/>
      <c r="K7" s="67">
        <f>H7-1.08%</f>
        <v>8.5000000000000006E-3</v>
      </c>
    </row>
    <row r="8" spans="1:11" ht="23.15" customHeight="1" x14ac:dyDescent="0.4">
      <c r="A8" s="50" t="s">
        <v>57</v>
      </c>
      <c r="B8" s="51">
        <f>((1+$I8)^(B2/365)-1)*365/B2</f>
        <v>2.7906398705557538E-2</v>
      </c>
      <c r="C8" s="51">
        <f t="shared" ref="C8:G8" si="5">((1+$I8)^(C2/365)-1)*365/C2</f>
        <v>2.791386633517404E-2</v>
      </c>
      <c r="D8" s="51">
        <f t="shared" si="5"/>
        <v>2.7930945209710362E-2</v>
      </c>
      <c r="E8" s="51">
        <f t="shared" si="5"/>
        <v>2.7963005663145801E-2</v>
      </c>
      <c r="F8" s="51">
        <f t="shared" si="5"/>
        <v>2.7995115183913229E-2</v>
      </c>
      <c r="G8" s="51">
        <f t="shared" si="5"/>
        <v>2.8091738995796145E-2</v>
      </c>
      <c r="H8" s="52">
        <v>2.7900000000000001E-2</v>
      </c>
      <c r="I8" s="73">
        <f t="shared" si="1"/>
        <v>2.8291753567093458E-2</v>
      </c>
      <c r="J8" s="74"/>
      <c r="K8" s="67">
        <f>H8-'Daily Data'!H56</f>
        <v>1.9500000000000003E-2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197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3F2FA-CC65-4AD3-B78A-2F0172C1B511}">
  <dimension ref="A1:K9"/>
  <sheetViews>
    <sheetView workbookViewId="0">
      <selection activeCell="K9" sqref="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46130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0.03</v>
      </c>
      <c r="C3" s="54">
        <v>3.44E-2</v>
      </c>
      <c r="D3" s="54">
        <v>3.5000000000000003E-2</v>
      </c>
      <c r="E3" s="54">
        <v>5.5E-2</v>
      </c>
      <c r="F3" s="54">
        <v>5.8900000000000001E-2</v>
      </c>
      <c r="G3" s="54">
        <v>5.5E-2</v>
      </c>
      <c r="H3" s="52">
        <v>3.2899999999999999E-2</v>
      </c>
      <c r="I3" s="73">
        <f>(1+H3/365)^365-1</f>
        <v>3.3445657100777071E-2</v>
      </c>
      <c r="J3" s="74"/>
      <c r="K3" s="67">
        <f>H3-'Daily Data'!AR57</f>
        <v>2.5799999999999997E-2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Data'!Z57</f>
        <v>1.2100000000000001E-2</v>
      </c>
    </row>
    <row r="5" spans="1:11" ht="23.15" customHeight="1" x14ac:dyDescent="0.5">
      <c r="A5" s="50" t="s">
        <v>17</v>
      </c>
      <c r="B5" s="56">
        <v>3.5700000000000003E-2</v>
      </c>
      <c r="C5" s="56">
        <f t="shared" ref="C5:G5" si="2">((1+$I5)^(C2/365)-1)*365/C2</f>
        <v>2.791386633517404E-2</v>
      </c>
      <c r="D5" s="56">
        <v>5.4800000000000001E-2</v>
      </c>
      <c r="E5" s="56">
        <f t="shared" si="2"/>
        <v>2.7963005663145801E-2</v>
      </c>
      <c r="F5" s="56">
        <f t="shared" si="2"/>
        <v>2.7995115183913229E-2</v>
      </c>
      <c r="G5" s="56">
        <f t="shared" si="2"/>
        <v>2.8091738995796145E-2</v>
      </c>
      <c r="H5" s="52">
        <v>2.7900000000000001E-2</v>
      </c>
      <c r="I5" s="73">
        <f t="shared" si="1"/>
        <v>2.8291753567093458E-2</v>
      </c>
      <c r="J5" s="74"/>
      <c r="K5" s="67">
        <f>H5-'Daily Data'!BJ57</f>
        <v>1.9800000000000002E-2</v>
      </c>
    </row>
    <row r="6" spans="1:11" ht="23.15" customHeight="1" x14ac:dyDescent="0.4">
      <c r="A6" s="50" t="s">
        <v>55</v>
      </c>
      <c r="B6" s="54">
        <v>3.7499999999999999E-2</v>
      </c>
      <c r="C6" s="54">
        <f t="shared" ref="C6:G6" si="3">((1+$I6)^(C2/365)-1)*365/C2</f>
        <v>3.3720232087598924E-2</v>
      </c>
      <c r="D6" s="54">
        <v>0.06</v>
      </c>
      <c r="E6" s="54">
        <f t="shared" si="3"/>
        <v>3.3791952704462558E-2</v>
      </c>
      <c r="F6" s="54">
        <f t="shared" si="3"/>
        <v>3.3838836584806672E-2</v>
      </c>
      <c r="G6" s="54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4">
        <v>2.0899999999999998E-2</v>
      </c>
      <c r="C7" s="51">
        <f t="shared" ref="C7:G7" si="4">((1+$I7)^(C2/365)-1)*365/C2</f>
        <v>2.0007124849186049E-2</v>
      </c>
      <c r="D7" s="54">
        <v>2.1899999999999999E-2</v>
      </c>
      <c r="E7" s="51">
        <f t="shared" si="4"/>
        <v>2.0032363041720885E-2</v>
      </c>
      <c r="F7" s="51">
        <f t="shared" si="4"/>
        <v>2.0048845600492471E-2</v>
      </c>
      <c r="G7" s="51">
        <f t="shared" si="4"/>
        <v>2.0098401845550402E-2</v>
      </c>
      <c r="H7" s="52">
        <v>0.02</v>
      </c>
      <c r="I7" s="73">
        <f t="shared" si="1"/>
        <v>2.0200781032909898E-2</v>
      </c>
      <c r="J7" s="74"/>
      <c r="K7" s="67">
        <f>H7-1.08%</f>
        <v>9.1999999999999998E-3</v>
      </c>
    </row>
    <row r="8" spans="1:11" ht="23.15" customHeight="1" x14ac:dyDescent="0.4">
      <c r="A8" s="50" t="s">
        <v>57</v>
      </c>
      <c r="B8" s="51">
        <f>((1+$I8)^(B2/365)-1)*365/B2</f>
        <v>2.750621653395394E-2</v>
      </c>
      <c r="C8" s="51">
        <f t="shared" ref="C8:G8" si="5">((1+$I8)^(C2/365)-1)*365/C2</f>
        <v>2.751347152523961E-2</v>
      </c>
      <c r="D8" s="51">
        <f t="shared" si="5"/>
        <v>2.7530063944917416E-2</v>
      </c>
      <c r="E8" s="51">
        <f t="shared" si="5"/>
        <v>2.7561210701938343E-2</v>
      </c>
      <c r="F8" s="51">
        <f t="shared" si="5"/>
        <v>2.7592404443735931E-2</v>
      </c>
      <c r="G8" s="51">
        <f t="shared" si="5"/>
        <v>2.7686268375885618E-2</v>
      </c>
      <c r="H8" s="52">
        <v>2.75E-2</v>
      </c>
      <c r="I8" s="73">
        <f t="shared" si="1"/>
        <v>2.7880550318131858E-2</v>
      </c>
      <c r="J8" s="74"/>
      <c r="K8" s="67">
        <f>H8-'Daily Data'!H57</f>
        <v>1.95E-2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196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455F4-1EC2-49DE-97C4-3BE0393A97FE}">
  <dimension ref="A1:K9"/>
  <sheetViews>
    <sheetView topLeftCell="B1" workbookViewId="0">
      <selection activeCell="K9" sqref="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46131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0.03</v>
      </c>
      <c r="C3" s="54">
        <v>3.44E-2</v>
      </c>
      <c r="D3" s="54">
        <v>3.5000000000000003E-2</v>
      </c>
      <c r="E3" s="54">
        <v>5.5E-2</v>
      </c>
      <c r="F3" s="54">
        <v>5.8900000000000001E-2</v>
      </c>
      <c r="G3" s="54">
        <v>5.5E-2</v>
      </c>
      <c r="H3" s="52">
        <v>3.2899999999999999E-2</v>
      </c>
      <c r="I3" s="73">
        <f>(1+H3/365)^365-1</f>
        <v>3.3445657100777071E-2</v>
      </c>
      <c r="J3" s="74"/>
      <c r="K3" s="67">
        <f>H3-'Daily Data'!AR58</f>
        <v>2.5799999999999997E-2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Data'!Z58</f>
        <v>1.2100000000000001E-2</v>
      </c>
    </row>
    <row r="5" spans="1:11" ht="23.15" customHeight="1" x14ac:dyDescent="0.5">
      <c r="A5" s="50" t="s">
        <v>17</v>
      </c>
      <c r="B5" s="56">
        <v>3.5700000000000003E-2</v>
      </c>
      <c r="C5" s="56">
        <f t="shared" ref="C5:G5" si="2">((1+$I5)^(C2/365)-1)*365/C2</f>
        <v>2.7613569693030509E-2</v>
      </c>
      <c r="D5" s="56">
        <v>5.4800000000000001E-2</v>
      </c>
      <c r="E5" s="56">
        <f t="shared" si="2"/>
        <v>2.7661657006941637E-2</v>
      </c>
      <c r="F5" s="56">
        <f t="shared" si="2"/>
        <v>2.7693078446810349E-2</v>
      </c>
      <c r="G5" s="56">
        <f t="shared" si="2"/>
        <v>2.7787628574820866E-2</v>
      </c>
      <c r="H5" s="52">
        <v>2.76E-2</v>
      </c>
      <c r="I5" s="73">
        <f t="shared" si="1"/>
        <v>2.7983335754216743E-2</v>
      </c>
      <c r="J5" s="74"/>
      <c r="K5" s="67">
        <f>H5-'Daily Data'!BJ58</f>
        <v>1.9200000000000002E-2</v>
      </c>
    </row>
    <row r="6" spans="1:11" ht="23.15" customHeight="1" x14ac:dyDescent="0.4">
      <c r="A6" s="50" t="s">
        <v>55</v>
      </c>
      <c r="B6" s="54">
        <v>3.7499999999999999E-2</v>
      </c>
      <c r="C6" s="54">
        <f t="shared" ref="C6:G6" si="3">((1+$I6)^(C2/365)-1)*365/C2</f>
        <v>3.3720232087598924E-2</v>
      </c>
      <c r="D6" s="54">
        <v>0.06</v>
      </c>
      <c r="E6" s="54">
        <f t="shared" si="3"/>
        <v>3.3791952704462558E-2</v>
      </c>
      <c r="F6" s="54">
        <f t="shared" si="3"/>
        <v>3.3838836584806672E-2</v>
      </c>
      <c r="G6" s="54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4">
        <v>2.0899999999999998E-2</v>
      </c>
      <c r="C7" s="54">
        <f t="shared" ref="C7:G7" si="4">((1+$I7)^(C2/365)-1)*365/C2</f>
        <v>2.0007124849186049E-2</v>
      </c>
      <c r="D7" s="54">
        <v>2.1899999999999999E-2</v>
      </c>
      <c r="E7" s="54">
        <f t="shared" si="4"/>
        <v>2.0032363041720885E-2</v>
      </c>
      <c r="F7" s="54">
        <f t="shared" si="4"/>
        <v>2.0048845600492471E-2</v>
      </c>
      <c r="G7" s="54">
        <f t="shared" si="4"/>
        <v>2.0098401845550402E-2</v>
      </c>
      <c r="H7" s="52">
        <v>0.02</v>
      </c>
      <c r="I7" s="73">
        <f t="shared" si="1"/>
        <v>2.0200781032909898E-2</v>
      </c>
      <c r="J7" s="74"/>
      <c r="K7" s="67">
        <f>H7-1.08%</f>
        <v>9.1999999999999998E-3</v>
      </c>
    </row>
    <row r="8" spans="1:11" ht="23.15" customHeight="1" x14ac:dyDescent="0.4">
      <c r="A8" s="50" t="s">
        <v>57</v>
      </c>
      <c r="B8" s="51">
        <f>((1+$I8)^(B2/365)-1)*365/B2</f>
        <v>2.7005992519582658E-2</v>
      </c>
      <c r="C8" s="51">
        <f t="shared" ref="C8:G8" si="5">((1+$I8)^(C2/365)-1)*365/C2</f>
        <v>2.7012986033863436E-2</v>
      </c>
      <c r="D8" s="51">
        <f t="shared" si="5"/>
        <v>2.7028980278442066E-2</v>
      </c>
      <c r="E8" s="51">
        <f t="shared" si="5"/>
        <v>2.7059003529465182E-2</v>
      </c>
      <c r="F8" s="51">
        <f t="shared" si="5"/>
        <v>2.7089071246125033E-2</v>
      </c>
      <c r="G8" s="51">
        <f t="shared" si="5"/>
        <v>2.7179541931450679E-2</v>
      </c>
      <c r="H8" s="52">
        <v>2.7E-2</v>
      </c>
      <c r="I8" s="73">
        <f t="shared" si="1"/>
        <v>2.7366776854136576E-2</v>
      </c>
      <c r="J8" s="74"/>
      <c r="K8" s="67">
        <f>H8-'Daily Data'!H58</f>
        <v>1.9099999999999999E-2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195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185A9-0BD0-4791-8C95-34E7EF9BB056}">
  <dimension ref="A1:K9"/>
  <sheetViews>
    <sheetView workbookViewId="0">
      <selection activeCell="B22" sqref="B22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46132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0.03</v>
      </c>
      <c r="C3" s="54">
        <v>3.44E-2</v>
      </c>
      <c r="D3" s="54">
        <v>3.5000000000000003E-2</v>
      </c>
      <c r="E3" s="54">
        <v>5.5E-2</v>
      </c>
      <c r="F3" s="54">
        <v>5.8900000000000001E-2</v>
      </c>
      <c r="G3" s="54">
        <v>5.5E-2</v>
      </c>
      <c r="H3" s="52">
        <v>3.2899999999999999E-2</v>
      </c>
      <c r="I3" s="73">
        <f>(1+H3/365)^365-1</f>
        <v>3.3445657100777071E-2</v>
      </c>
      <c r="J3" s="74"/>
      <c r="K3" s="67">
        <f>H3-'Daily Data'!AR59</f>
        <v>2.5700000000000001E-2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Data'!Z59</f>
        <v>1.1900000000000001E-2</v>
      </c>
    </row>
    <row r="5" spans="1:11" ht="23.15" customHeight="1" x14ac:dyDescent="0.5">
      <c r="A5" s="50" t="s">
        <v>17</v>
      </c>
      <c r="B5" s="56">
        <v>3.5700000000000003E-2</v>
      </c>
      <c r="C5" s="55">
        <f t="shared" ref="C5:G5" si="2">((1+$I5)^(C2/365)-1)*365/C2</f>
        <v>2.791386633517404E-2</v>
      </c>
      <c r="D5" s="56">
        <v>5.4800000000000001E-2</v>
      </c>
      <c r="E5" s="55">
        <f t="shared" si="2"/>
        <v>2.7963005663145801E-2</v>
      </c>
      <c r="F5" s="55">
        <f t="shared" si="2"/>
        <v>2.7995115183913229E-2</v>
      </c>
      <c r="G5" s="55">
        <f t="shared" si="2"/>
        <v>2.8091738995796145E-2</v>
      </c>
      <c r="H5" s="52">
        <v>2.7900000000000001E-2</v>
      </c>
      <c r="I5" s="73">
        <f t="shared" si="1"/>
        <v>2.8291753567093458E-2</v>
      </c>
      <c r="J5" s="74"/>
      <c r="K5" s="67">
        <f>H5-'Daily Data'!BJ59</f>
        <v>1.9700000000000002E-2</v>
      </c>
    </row>
    <row r="6" spans="1:11" ht="23.15" customHeight="1" x14ac:dyDescent="0.4">
      <c r="A6" s="50" t="s">
        <v>55</v>
      </c>
      <c r="B6" s="54">
        <v>3.7499999999999999E-2</v>
      </c>
      <c r="C6" s="51">
        <f t="shared" ref="C6:G6" si="3">((1+$I6)^(C2/365)-1)*365/C2</f>
        <v>3.3720232087598924E-2</v>
      </c>
      <c r="D6" s="54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4">
        <v>2.0899999999999998E-2</v>
      </c>
      <c r="C7" s="51">
        <f t="shared" ref="C7:G7" si="4">((1+$I7)^(C2/365)-1)*365/C2</f>
        <v>2.0007124849186049E-2</v>
      </c>
      <c r="D7" s="54">
        <v>2.1899999999999999E-2</v>
      </c>
      <c r="E7" s="51">
        <f t="shared" si="4"/>
        <v>2.0032363041720885E-2</v>
      </c>
      <c r="F7" s="51">
        <f t="shared" si="4"/>
        <v>2.0048845600492471E-2</v>
      </c>
      <c r="G7" s="51">
        <f t="shared" si="4"/>
        <v>2.0098401845550402E-2</v>
      </c>
      <c r="H7" s="52">
        <v>0.02</v>
      </c>
      <c r="I7" s="73">
        <f t="shared" si="1"/>
        <v>2.0200781032909898E-2</v>
      </c>
      <c r="J7" s="74"/>
      <c r="K7" s="67">
        <f>H7-0.92%</f>
        <v>1.0800000000000001E-2</v>
      </c>
    </row>
    <row r="8" spans="1:11" ht="23.15" customHeight="1" x14ac:dyDescent="0.4">
      <c r="A8" s="50" t="s">
        <v>57</v>
      </c>
      <c r="B8" s="51">
        <f>((1+$I8)^(B2/365)-1)*365/B2</f>
        <v>2.7005992519582658E-2</v>
      </c>
      <c r="C8" s="51">
        <f t="shared" ref="C8:G8" si="5">((1+$I8)^(C2/365)-1)*365/C2</f>
        <v>2.7012986033863436E-2</v>
      </c>
      <c r="D8" s="51">
        <f t="shared" si="5"/>
        <v>2.7028980278442066E-2</v>
      </c>
      <c r="E8" s="51">
        <f t="shared" si="5"/>
        <v>2.7059003529465182E-2</v>
      </c>
      <c r="F8" s="51">
        <f t="shared" si="5"/>
        <v>2.7089071246125033E-2</v>
      </c>
      <c r="G8" s="51">
        <f t="shared" si="5"/>
        <v>2.7179541931450679E-2</v>
      </c>
      <c r="H8" s="52">
        <v>2.7E-2</v>
      </c>
      <c r="I8" s="73">
        <f t="shared" si="1"/>
        <v>2.7366776854136576E-2</v>
      </c>
      <c r="J8" s="74"/>
      <c r="K8" s="67">
        <f>H8-'Daily Data'!H59</f>
        <v>1.9099999999999999E-2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194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4002C-376C-42C5-9335-B49848550553}">
  <dimension ref="A1:K9"/>
  <sheetViews>
    <sheetView topLeftCell="C1" workbookViewId="0">
      <selection activeCell="I19" sqref="I1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46133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4.2999999999999997E-2</v>
      </c>
      <c r="C3" s="54">
        <v>3.44E-2</v>
      </c>
      <c r="D3" s="54">
        <v>0.04</v>
      </c>
      <c r="E3" s="54">
        <v>5.5E-2</v>
      </c>
      <c r="F3" s="54">
        <v>4.5999999999999999E-2</v>
      </c>
      <c r="G3" s="54">
        <v>5.6000000000000001E-2</v>
      </c>
      <c r="H3" s="52">
        <v>3.2899999999999999E-2</v>
      </c>
      <c r="I3" s="73">
        <f>(1+H3/365)^365-1</f>
        <v>3.3445657100777071E-2</v>
      </c>
      <c r="J3" s="74"/>
      <c r="K3" s="67">
        <f>H3-'Daily Data'!AR60</f>
        <v>2.5899999999999999E-2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Data'!Z60</f>
        <v>1.2100000000000001E-2</v>
      </c>
    </row>
    <row r="5" spans="1:11" ht="23.15" customHeight="1" x14ac:dyDescent="0.5">
      <c r="A5" s="50" t="s">
        <v>17</v>
      </c>
      <c r="B5" s="56"/>
      <c r="C5" s="55">
        <f t="shared" ref="C5:G5" si="2">((1+$I5)^(C2/365)-1)*365/C2</f>
        <v>2.8013965928817948E-2</v>
      </c>
      <c r="D5" s="55"/>
      <c r="E5" s="55">
        <f t="shared" si="2"/>
        <v>2.8063458462371366E-2</v>
      </c>
      <c r="F5" s="55">
        <f t="shared" si="2"/>
        <v>2.8095799005777876E-2</v>
      </c>
      <c r="G5" s="55">
        <f t="shared" si="2"/>
        <v>2.8193119078325148E-2</v>
      </c>
      <c r="H5" s="52">
        <v>2.8000000000000001E-2</v>
      </c>
      <c r="I5" s="73">
        <f t="shared" si="1"/>
        <v>2.8394580009664327E-2</v>
      </c>
      <c r="J5" s="74"/>
      <c r="K5" s="67">
        <f>H5-'Daily Data'!BJ60</f>
        <v>1.9799999999999998E-2</v>
      </c>
    </row>
    <row r="6" spans="1:11" ht="23.15" customHeight="1" x14ac:dyDescent="0.4">
      <c r="A6" s="50" t="s">
        <v>55</v>
      </c>
      <c r="B6" s="54"/>
      <c r="C6" s="51">
        <f t="shared" ref="C6:G6" si="3">((1+$I6)^(C2/365)-1)*365/C2</f>
        <v>3.3720232087598924E-2</v>
      </c>
      <c r="D6" s="51"/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/>
      <c r="C7" s="51">
        <f t="shared" ref="C7:G7" si="4">((1+$I7)^(C2/365)-1)*365/C2</f>
        <v>2.1908543050180623E-2</v>
      </c>
      <c r="D7" s="51"/>
      <c r="E7" s="51">
        <f t="shared" si="4"/>
        <v>2.1938808003552523E-2</v>
      </c>
      <c r="F7" s="51">
        <f t="shared" si="4"/>
        <v>2.1958576046921283E-2</v>
      </c>
      <c r="G7" s="51">
        <f t="shared" si="4"/>
        <v>2.201802278059398E-2</v>
      </c>
      <c r="H7" s="52">
        <v>2.1899999999999999E-2</v>
      </c>
      <c r="I7" s="73">
        <f t="shared" si="1"/>
        <v>2.2140893683114893E-2</v>
      </c>
      <c r="J7" s="74"/>
      <c r="K7" s="67">
        <f>H7-0.92%</f>
        <v>1.2699999999999999E-2</v>
      </c>
    </row>
    <row r="8" spans="1:11" ht="23.15" customHeight="1" x14ac:dyDescent="0.4">
      <c r="A8" s="50" t="s">
        <v>57</v>
      </c>
      <c r="B8" s="51">
        <f>((1+$I8)^(B2/365)-1)*365/B2</f>
        <v>2.7406171402247135E-2</v>
      </c>
      <c r="C8" s="51">
        <f t="shared" ref="C8:G8" si="5">((1+$I8)^(C2/365)-1)*365/C2</f>
        <v>2.7413373714052343E-2</v>
      </c>
      <c r="D8" s="51">
        <f t="shared" si="5"/>
        <v>2.7429845619310389E-2</v>
      </c>
      <c r="E8" s="51">
        <f t="shared" si="5"/>
        <v>2.7460766020571663E-2</v>
      </c>
      <c r="F8" s="51">
        <f t="shared" si="5"/>
        <v>2.7491732895357952E-2</v>
      </c>
      <c r="G8" s="51">
        <f t="shared" si="5"/>
        <v>2.7584913147389555E-2</v>
      </c>
      <c r="H8" s="52">
        <v>2.7400000000000001E-2</v>
      </c>
      <c r="I8" s="73">
        <f t="shared" si="1"/>
        <v>2.7777775131269555E-2</v>
      </c>
      <c r="J8" s="74"/>
      <c r="K8" s="67">
        <f>H8-'Daily Data'!H60</f>
        <v>1.9300000000000001E-2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193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E2EDB-C41D-4B92-B761-472443CA38B6}">
  <dimension ref="A1:K9"/>
  <sheetViews>
    <sheetView topLeftCell="C1" workbookViewId="0">
      <selection activeCell="K9" sqref="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46134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3.1E-2</v>
      </c>
      <c r="C3" s="54">
        <v>3.1E-2</v>
      </c>
      <c r="D3" s="54">
        <v>4.2000000000000003E-2</v>
      </c>
      <c r="E3" s="54">
        <v>0.05</v>
      </c>
      <c r="F3" s="54">
        <v>5.8999999999999997E-2</v>
      </c>
      <c r="G3" s="54">
        <v>5.6000000000000001E-2</v>
      </c>
      <c r="H3" s="52">
        <v>3.2899999999999999E-2</v>
      </c>
      <c r="I3" s="73">
        <f>(1+H3/365)^365-1</f>
        <v>3.3445657100777071E-2</v>
      </c>
      <c r="J3" s="74"/>
      <c r="K3" s="67">
        <f>H3-'Daily Data'!AR61</f>
        <v>2.5399999999999999E-2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Data'!Z61</f>
        <v>1.2100000000000001E-2</v>
      </c>
    </row>
    <row r="5" spans="1:11" ht="23.15" customHeight="1" x14ac:dyDescent="0.5">
      <c r="A5" s="50" t="s">
        <v>17</v>
      </c>
      <c r="B5" s="56">
        <v>3.49E-2</v>
      </c>
      <c r="C5" s="55">
        <f t="shared" ref="C5:G5" si="2">((1+$I5)^(C2/365)-1)*365/C2</f>
        <v>2.7713668217315055E-2</v>
      </c>
      <c r="D5" s="55">
        <v>5.5100000000000003E-2</v>
      </c>
      <c r="E5" s="55">
        <f t="shared" si="2"/>
        <v>2.7762104935491045E-2</v>
      </c>
      <c r="F5" s="55">
        <f t="shared" si="2"/>
        <v>2.7793754904522662E-2</v>
      </c>
      <c r="G5" s="55">
        <f t="shared" si="2"/>
        <v>2.7888993744320009E-2</v>
      </c>
      <c r="H5" s="52">
        <v>2.7699999999999999E-2</v>
      </c>
      <c r="I5" s="73">
        <f t="shared" si="1"/>
        <v>2.8086131440423268E-2</v>
      </c>
      <c r="J5" s="74"/>
      <c r="K5" s="67">
        <f>H5-'Daily Data'!BJ61</f>
        <v>1.9599999999999999E-2</v>
      </c>
    </row>
    <row r="6" spans="1:11" ht="23.15" customHeight="1" x14ac:dyDescent="0.4">
      <c r="A6" s="50" t="s">
        <v>55</v>
      </c>
      <c r="B6" s="54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2.2100000000000002E-2</v>
      </c>
      <c r="C7" s="51">
        <f t="shared" ref="C7:G7" si="4">((1+$I7)^(C2/365)-1)*365/C2</f>
        <v>2.1107930230828211E-2</v>
      </c>
      <c r="D7" s="51">
        <v>2.3199999999999998E-2</v>
      </c>
      <c r="E7" s="51">
        <f t="shared" si="4"/>
        <v>2.1136022974364121E-2</v>
      </c>
      <c r="F7" s="51">
        <f t="shared" si="4"/>
        <v>2.1154371184579288E-2</v>
      </c>
      <c r="G7" s="51">
        <f t="shared" si="4"/>
        <v>2.1209543332277283E-2</v>
      </c>
      <c r="H7" s="52">
        <v>2.1100000000000001E-2</v>
      </c>
      <c r="I7" s="73">
        <f t="shared" si="1"/>
        <v>2.1323556091306539E-2</v>
      </c>
      <c r="J7" s="74"/>
      <c r="K7" s="67">
        <f>H7-0.91%</f>
        <v>1.2E-2</v>
      </c>
    </row>
    <row r="8" spans="1:11" ht="23.15" customHeight="1" x14ac:dyDescent="0.4">
      <c r="A8" s="50" t="s">
        <v>57</v>
      </c>
      <c r="B8" s="51">
        <f>((1+$I8)^(B2/365)-1)*365/B2</f>
        <v>2.750621653395394E-2</v>
      </c>
      <c r="C8" s="51">
        <f t="shared" ref="C8:G8" si="5">((1+$I8)^(C2/365)-1)*365/C2</f>
        <v>2.751347152523961E-2</v>
      </c>
      <c r="D8" s="51">
        <f t="shared" si="5"/>
        <v>2.7530063944917416E-2</v>
      </c>
      <c r="E8" s="51">
        <f t="shared" si="5"/>
        <v>2.7561210701938343E-2</v>
      </c>
      <c r="F8" s="51">
        <f t="shared" si="5"/>
        <v>2.7592404443735931E-2</v>
      </c>
      <c r="G8" s="51">
        <f t="shared" si="5"/>
        <v>2.7686268375885618E-2</v>
      </c>
      <c r="H8" s="52">
        <v>2.75E-2</v>
      </c>
      <c r="I8" s="73">
        <f t="shared" si="1"/>
        <v>2.7880550318131858E-2</v>
      </c>
      <c r="J8" s="74"/>
      <c r="K8" s="67">
        <f>H8-'Daily Data'!H61</f>
        <v>1.9299999999999998E-2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192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962B7-868E-481B-9779-BB2FE987E47A}">
  <dimension ref="A1:K9"/>
  <sheetViews>
    <sheetView topLeftCell="C1" workbookViewId="0">
      <selection sqref="A1: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46135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0.03</v>
      </c>
      <c r="C3" s="54">
        <v>3.09E-2</v>
      </c>
      <c r="D3" s="54">
        <v>4.1000000000000002E-2</v>
      </c>
      <c r="E3" s="54">
        <v>2.8000000000000001E-2</v>
      </c>
      <c r="F3" s="54">
        <v>5.8700000000000002E-2</v>
      </c>
      <c r="G3" s="54">
        <v>0.06</v>
      </c>
      <c r="H3" s="52">
        <v>3.2899999999999999E-2</v>
      </c>
      <c r="I3" s="73">
        <f>(1+H3/365)^365-1</f>
        <v>3.3445657100777071E-2</v>
      </c>
      <c r="J3" s="74"/>
      <c r="K3" s="67">
        <f>H3-'Daily Data'!H62</f>
        <v>2.4399999999999998E-2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Data'!Z62</f>
        <v>1.2500000000000001E-2</v>
      </c>
    </row>
    <row r="5" spans="1:11" ht="23.15" customHeight="1" x14ac:dyDescent="0.5">
      <c r="A5" s="50" t="s">
        <v>17</v>
      </c>
      <c r="B5" s="56">
        <v>3.49E-2</v>
      </c>
      <c r="C5" s="55">
        <f t="shared" ref="C5:G5" si="2">((1+$I5)^(C2/365)-1)*365/C2</f>
        <v>2.721317916094455E-2</v>
      </c>
      <c r="D5" s="56">
        <v>5.5100000000000003E-2</v>
      </c>
      <c r="E5" s="55">
        <f t="shared" si="2"/>
        <v>2.7259881528093017E-2</v>
      </c>
      <c r="F5" s="55">
        <f t="shared" si="2"/>
        <v>2.7290397161898836E-2</v>
      </c>
      <c r="G5" s="55">
        <f t="shared" si="2"/>
        <v>2.7382217600190828E-2</v>
      </c>
      <c r="H5" s="52">
        <v>2.7199999999999998E-2</v>
      </c>
      <c r="I5" s="73">
        <f t="shared" si="1"/>
        <v>2.7572255500570853E-2</v>
      </c>
      <c r="J5" s="74"/>
      <c r="K5" s="67">
        <f>H5-'Daily Data'!BJ63</f>
        <v>1.9599999999999999E-2</v>
      </c>
    </row>
    <row r="6" spans="1:11" ht="23.15" customHeight="1" x14ac:dyDescent="0.4">
      <c r="A6" s="50" t="s">
        <v>55</v>
      </c>
      <c r="B6" s="54">
        <v>3.7499999999999999E-2</v>
      </c>
      <c r="C6" s="51">
        <f t="shared" ref="C6:G6" si="3">((1+$I6)^(C2/365)-1)*365/C2</f>
        <v>3.3720232087598924E-2</v>
      </c>
      <c r="D6" s="54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H6-K7</f>
        <v>2.4800000000000003E-2</v>
      </c>
    </row>
    <row r="7" spans="1:11" ht="23.15" customHeight="1" x14ac:dyDescent="0.4">
      <c r="A7" s="50" t="s">
        <v>47</v>
      </c>
      <c r="B7" s="54">
        <v>2.07E-2</v>
      </c>
      <c r="C7" s="51">
        <f t="shared" ref="C7:G7" si="4">((1+$I7)^(C2/365)-1)*365/C2</f>
        <v>1.9706912684064486E-2</v>
      </c>
      <c r="D7" s="54">
        <v>2.1700000000000001E-2</v>
      </c>
      <c r="E7" s="51">
        <f t="shared" si="4"/>
        <v>1.9731398932948101E-2</v>
      </c>
      <c r="F7" s="51">
        <f t="shared" si="4"/>
        <v>1.9747390079277543E-2</v>
      </c>
      <c r="G7" s="51">
        <f t="shared" si="4"/>
        <v>1.9795467267421301E-2</v>
      </c>
      <c r="H7" s="52">
        <v>1.9699999999999999E-2</v>
      </c>
      <c r="I7" s="73">
        <f t="shared" si="1"/>
        <v>1.9894783341781519E-2</v>
      </c>
      <c r="J7" s="74"/>
      <c r="K7" s="67">
        <f>H7-1.08%</f>
        <v>8.8999999999999982E-3</v>
      </c>
    </row>
    <row r="8" spans="1:11" ht="23.15" customHeight="1" x14ac:dyDescent="0.4">
      <c r="A8" s="50" t="s">
        <v>57</v>
      </c>
      <c r="B8" s="51">
        <f>((1+$I8)^(B2/365)-1)*365/B2</f>
        <v>2.750621653395394E-2</v>
      </c>
      <c r="C8" s="51">
        <f t="shared" ref="C8:G8" si="5">((1+$I8)^(C2/365)-1)*365/C2</f>
        <v>2.751347152523961E-2</v>
      </c>
      <c r="D8" s="51">
        <f t="shared" si="5"/>
        <v>2.7530063944917416E-2</v>
      </c>
      <c r="E8" s="51">
        <f t="shared" si="5"/>
        <v>2.7561210701938343E-2</v>
      </c>
      <c r="F8" s="51">
        <f t="shared" si="5"/>
        <v>2.7592404443735931E-2</v>
      </c>
      <c r="G8" s="51">
        <f t="shared" si="5"/>
        <v>2.7686268375885618E-2</v>
      </c>
      <c r="H8" s="52">
        <v>2.75E-2</v>
      </c>
      <c r="I8" s="73">
        <f t="shared" si="1"/>
        <v>2.7880550318131858E-2</v>
      </c>
      <c r="J8" s="74"/>
      <c r="K8" s="67">
        <f>H8-'Daily Data'!H62</f>
        <v>1.9E-2</v>
      </c>
    </row>
    <row r="9" spans="1:11" ht="23.15" customHeight="1" x14ac:dyDescent="0.5">
      <c r="A9" s="50" t="s">
        <v>56</v>
      </c>
      <c r="B9" s="55">
        <f>((1+$I9)^(B2/365)-1)*365/B2</f>
        <v>2.9507153703264923E-2</v>
      </c>
      <c r="C9" s="55">
        <f t="shared" ref="C9:G9" si="6">((1+$I9)^(C2/365)-1)*365/C2</f>
        <v>2.9515502614004818E-2</v>
      </c>
      <c r="D9" s="55">
        <f t="shared" si="6"/>
        <v>2.953459766818926E-2</v>
      </c>
      <c r="E9" s="55">
        <f t="shared" si="6"/>
        <v>2.957044530350909E-2</v>
      </c>
      <c r="F9" s="55">
        <f t="shared" si="6"/>
        <v>2.9606350952279013E-2</v>
      </c>
      <c r="G9" s="55">
        <f t="shared" si="6"/>
        <v>2.9714417036530872E-2</v>
      </c>
      <c r="H9" s="52">
        <v>2.9499999999999998E-2</v>
      </c>
      <c r="I9" s="73">
        <f t="shared" si="1"/>
        <v>2.9938207723953836E-2</v>
      </c>
      <c r="J9" s="74"/>
      <c r="K9" s="68"/>
    </row>
  </sheetData>
  <conditionalFormatting sqref="A1:J9">
    <cfRule type="expression" dxfId="191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A0946-F8C8-4C0E-ACA7-BA056E956E6D}">
  <sheetPr>
    <pageSetUpPr fitToPage="1"/>
  </sheetPr>
  <dimension ref="A1:K9"/>
  <sheetViews>
    <sheetView topLeftCell="C1" zoomScale="85" zoomScaleNormal="85" workbookViewId="0">
      <selection activeCell="G27" sqref="G27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46136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0.03</v>
      </c>
      <c r="C3" s="54">
        <v>3.09E-2</v>
      </c>
      <c r="D3" s="54">
        <v>4.1000000000000002E-2</v>
      </c>
      <c r="E3" s="54">
        <v>2.8000000000000001E-2</v>
      </c>
      <c r="F3" s="54">
        <v>5.8700000000000002E-2</v>
      </c>
      <c r="G3" s="54">
        <v>0.06</v>
      </c>
      <c r="H3" s="52">
        <v>3.2899999999999999E-2</v>
      </c>
      <c r="I3" s="73">
        <f>(1+H3/365)^365-1</f>
        <v>3.3445657100777071E-2</v>
      </c>
      <c r="J3" s="74"/>
      <c r="K3" s="67">
        <f>H3-'Daily Data'!AR63</f>
        <v>2.5899999999999999E-2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Data'!Z63</f>
        <v>1.2500000000000001E-2</v>
      </c>
    </row>
    <row r="5" spans="1:11" ht="23.15" customHeight="1" x14ac:dyDescent="0.5">
      <c r="A5" s="50" t="s">
        <v>17</v>
      </c>
      <c r="B5" s="56">
        <v>3.49E-2</v>
      </c>
      <c r="C5" s="55">
        <f t="shared" ref="C5:G5" si="2">((1+$I5)^(C2/365)-1)*365/C2</f>
        <v>2.721317916094455E-2</v>
      </c>
      <c r="D5" s="56">
        <v>5.5100000000000003E-2</v>
      </c>
      <c r="E5" s="55">
        <f t="shared" si="2"/>
        <v>2.7259881528093017E-2</v>
      </c>
      <c r="F5" s="55">
        <f t="shared" si="2"/>
        <v>2.7290397161898836E-2</v>
      </c>
      <c r="G5" s="55">
        <f t="shared" si="2"/>
        <v>2.7382217600190828E-2</v>
      </c>
      <c r="H5" s="52">
        <v>2.7199999999999998E-2</v>
      </c>
      <c r="I5" s="73">
        <f t="shared" si="1"/>
        <v>2.7572255500570853E-2</v>
      </c>
      <c r="J5" s="74"/>
      <c r="K5" s="67">
        <f>'24.04.2026'!H5-'Daily Data'!BJ63</f>
        <v>1.9599999999999999E-2</v>
      </c>
    </row>
    <row r="6" spans="1:11" ht="23.15" customHeight="1" x14ac:dyDescent="0.4">
      <c r="A6" s="50" t="s">
        <v>55</v>
      </c>
      <c r="B6" s="54">
        <v>3.7499999999999999E-2</v>
      </c>
      <c r="C6" s="51">
        <f t="shared" ref="C6:G6" si="3">((1+$I6)^(C2/365)-1)*365/C2</f>
        <v>3.3720232087598924E-2</v>
      </c>
      <c r="D6" s="54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4">
        <v>2.07E-2</v>
      </c>
      <c r="C7" s="51">
        <f t="shared" ref="C7:G7" si="4">((1+$I7)^(C2/365)-1)*365/C2</f>
        <v>1.9706912684064486E-2</v>
      </c>
      <c r="D7" s="54">
        <v>2.1700000000000001E-2</v>
      </c>
      <c r="E7" s="51">
        <f t="shared" si="4"/>
        <v>1.9731398932948101E-2</v>
      </c>
      <c r="F7" s="51">
        <f t="shared" si="4"/>
        <v>1.9747390079277543E-2</v>
      </c>
      <c r="G7" s="51">
        <f t="shared" si="4"/>
        <v>1.9795467267421301E-2</v>
      </c>
      <c r="H7" s="52">
        <v>1.9699999999999999E-2</v>
      </c>
      <c r="I7" s="73">
        <f t="shared" si="1"/>
        <v>1.9894783341781519E-2</v>
      </c>
      <c r="J7" s="74"/>
      <c r="K7" s="67">
        <f>H7-1.08%</f>
        <v>8.8999999999999982E-3</v>
      </c>
    </row>
    <row r="8" spans="1:11" ht="23.15" customHeight="1" x14ac:dyDescent="0.4">
      <c r="A8" s="50" t="s">
        <v>57</v>
      </c>
      <c r="B8" s="51">
        <f>((1+$I8)^(B2/365)-1)*365/B2</f>
        <v>2.730612643489061E-2</v>
      </c>
      <c r="C8" s="51">
        <f t="shared" ref="C8:G8" si="5">((1+$I8)^(C2/365)-1)*365/C2</f>
        <v>2.7313276259254522E-2</v>
      </c>
      <c r="D8" s="51">
        <f t="shared" si="5"/>
        <v>2.7329628089791263E-2</v>
      </c>
      <c r="E8" s="51">
        <f t="shared" si="5"/>
        <v>2.7360322962594403E-2</v>
      </c>
      <c r="F8" s="51">
        <f t="shared" si="5"/>
        <v>2.7391063801394545E-2</v>
      </c>
      <c r="G8" s="51">
        <f t="shared" si="5"/>
        <v>2.7483562888867545E-2</v>
      </c>
      <c r="H8" s="52">
        <v>2.7300000000000001E-2</v>
      </c>
      <c r="I8" s="73">
        <f t="shared" si="1"/>
        <v>2.7675010192383942E-2</v>
      </c>
      <c r="J8" s="74"/>
      <c r="K8" s="67">
        <f>H8-'Daily Data'!H63</f>
        <v>1.9300000000000001E-2</v>
      </c>
    </row>
    <row r="9" spans="1:11" ht="23.15" customHeight="1" x14ac:dyDescent="0.5">
      <c r="A9" s="50" t="s">
        <v>56</v>
      </c>
      <c r="B9" s="55">
        <f>((1+$I9)^(B2/365)-1)*365/B2</f>
        <v>2.9507153703264923E-2</v>
      </c>
      <c r="C9" s="55">
        <f t="shared" ref="C9:G9" si="6">((1+$I9)^(C2/365)-1)*365/C2</f>
        <v>2.9515502614004818E-2</v>
      </c>
      <c r="D9" s="55">
        <f t="shared" si="6"/>
        <v>2.953459766818926E-2</v>
      </c>
      <c r="E9" s="55">
        <f t="shared" si="6"/>
        <v>2.957044530350909E-2</v>
      </c>
      <c r="F9" s="55">
        <f t="shared" si="6"/>
        <v>2.9606350952279013E-2</v>
      </c>
      <c r="G9" s="55">
        <f t="shared" si="6"/>
        <v>2.9714417036530872E-2</v>
      </c>
      <c r="H9" s="52">
        <v>2.9499999999999998E-2</v>
      </c>
      <c r="I9" s="73">
        <f t="shared" si="1"/>
        <v>2.9938207723953836E-2</v>
      </c>
      <c r="J9" s="74"/>
      <c r="K9" s="68"/>
    </row>
  </sheetData>
  <conditionalFormatting sqref="A1:J9">
    <cfRule type="expression" dxfId="190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pageSetup paperSize="9" scale="42" orientation="landscape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664B0-C712-43D3-A8F7-53AB834669F0}">
  <dimension ref="A1:K9"/>
  <sheetViews>
    <sheetView topLeftCell="B1" workbookViewId="0">
      <selection activeCell="K7" sqref="K7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46137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0.03</v>
      </c>
      <c r="C3" s="54">
        <v>3.09E-2</v>
      </c>
      <c r="D3" s="54">
        <v>4.1000000000000002E-2</v>
      </c>
      <c r="E3" s="54">
        <v>2.8000000000000001E-2</v>
      </c>
      <c r="F3" s="54">
        <v>5.8700000000000002E-2</v>
      </c>
      <c r="G3" s="54">
        <v>0.06</v>
      </c>
      <c r="H3" s="52">
        <v>3.2899999999999999E-2</v>
      </c>
      <c r="I3" s="73">
        <f>(1+H3/365)^365-1</f>
        <v>3.3445657100777071E-2</v>
      </c>
      <c r="J3" s="74"/>
      <c r="K3" s="67">
        <f>'Daily Data'!AR64</f>
        <v>6.7000000000000002E-3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Data'!Z64</f>
        <v>1.2700000000000001E-2</v>
      </c>
    </row>
    <row r="5" spans="1:11" ht="23.15" customHeight="1" x14ac:dyDescent="0.5">
      <c r="A5" s="50" t="s">
        <v>17</v>
      </c>
      <c r="B5" s="56">
        <v>3.49E-2</v>
      </c>
      <c r="C5" s="55">
        <f t="shared" ref="C5:G5" si="2">((1+$I5)^(C2/365)-1)*365/C2</f>
        <v>2.791386633517404E-2</v>
      </c>
      <c r="D5" s="56">
        <v>5.5100000000000003E-2</v>
      </c>
      <c r="E5" s="55">
        <f t="shared" si="2"/>
        <v>2.7963005663145801E-2</v>
      </c>
      <c r="F5" s="55">
        <f t="shared" si="2"/>
        <v>2.7995115183913229E-2</v>
      </c>
      <c r="G5" s="55">
        <f t="shared" si="2"/>
        <v>2.8091738995796145E-2</v>
      </c>
      <c r="H5" s="52">
        <v>2.7900000000000001E-2</v>
      </c>
      <c r="I5" s="73">
        <f t="shared" si="1"/>
        <v>2.8291753567093458E-2</v>
      </c>
      <c r="J5" s="74"/>
      <c r="K5" s="67">
        <f>H5-'Daily Data'!BJ64</f>
        <v>2.01E-2</v>
      </c>
    </row>
    <row r="6" spans="1:11" ht="23.15" customHeight="1" x14ac:dyDescent="0.4">
      <c r="A6" s="50" t="s">
        <v>55</v>
      </c>
      <c r="B6" s="54">
        <v>3.7499999999999999E-2</v>
      </c>
      <c r="C6" s="51">
        <f t="shared" ref="C6:G6" si="3">((1+$I6)^(C2/365)-1)*365/C2</f>
        <v>3.3720232087598924E-2</v>
      </c>
      <c r="D6" s="54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4">
        <v>2.1899999999999999E-2</v>
      </c>
      <c r="C7" s="51">
        <f t="shared" ref="C7:G7" si="4">((1+$I7)^(C2/365)-1)*365/C2</f>
        <v>2.090778059017687E-2</v>
      </c>
      <c r="D7" s="54">
        <v>2.3E-2</v>
      </c>
      <c r="E7" s="51">
        <f t="shared" si="4"/>
        <v>2.0935342936297952E-2</v>
      </c>
      <c r="F7" s="51">
        <f t="shared" si="4"/>
        <v>2.0953344478137657E-2</v>
      </c>
      <c r="G7" s="51">
        <f t="shared" si="4"/>
        <v>2.1007473023389494E-2</v>
      </c>
      <c r="H7" s="52">
        <v>2.0899999999999998E-2</v>
      </c>
      <c r="I7" s="73">
        <f t="shared" si="1"/>
        <v>2.1119323554426916E-2</v>
      </c>
      <c r="J7" s="74"/>
      <c r="K7" s="67">
        <f>H7-0.93%</f>
        <v>1.1599999999999997E-2</v>
      </c>
    </row>
    <row r="8" spans="1:11" ht="23.15" customHeight="1" x14ac:dyDescent="0.4">
      <c r="A8" s="50" t="s">
        <v>57</v>
      </c>
      <c r="B8" s="51">
        <f>((1+$I8)^(B2/365)-1)*365/B2</f>
        <v>2.7706307290950978E-2</v>
      </c>
      <c r="C8" s="51">
        <f t="shared" ref="C8:G8" si="5">((1+$I8)^(C2/365)-1)*365/C2</f>
        <v>2.7713668217315055E-2</v>
      </c>
      <c r="D8" s="51">
        <f t="shared" si="5"/>
        <v>2.77305029849787E-2</v>
      </c>
      <c r="E8" s="51">
        <f t="shared" si="5"/>
        <v>2.7762104935491045E-2</v>
      </c>
      <c r="F8" s="51">
        <f t="shared" si="5"/>
        <v>2.7793754904522662E-2</v>
      </c>
      <c r="G8" s="51">
        <f t="shared" si="5"/>
        <v>2.7888993744320009E-2</v>
      </c>
      <c r="H8" s="52">
        <v>2.7699999999999999E-2</v>
      </c>
      <c r="I8" s="73">
        <f t="shared" si="1"/>
        <v>2.8086131440423268E-2</v>
      </c>
      <c r="J8" s="74"/>
      <c r="K8" s="67">
        <f>H8-'Daily Data'!H64</f>
        <v>1.9499999999999997E-2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189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88AC3-95AF-4A48-BE98-C5E33EE40E11}">
  <dimension ref="A1:K9"/>
  <sheetViews>
    <sheetView topLeftCell="A2" workbookViewId="0">
      <selection activeCell="D5" sqref="D5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46138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0.03</v>
      </c>
      <c r="C3" s="54">
        <v>3.09E-2</v>
      </c>
      <c r="D3" s="54">
        <v>4.1000000000000002E-2</v>
      </c>
      <c r="E3" s="54">
        <v>2.8000000000000001E-2</v>
      </c>
      <c r="F3" s="54">
        <v>5.8700000000000002E-2</v>
      </c>
      <c r="G3" s="54">
        <v>0.06</v>
      </c>
      <c r="H3" s="52">
        <v>3.2899999999999999E-2</v>
      </c>
      <c r="I3" s="73">
        <f>((1+H3/365)^365-1)</f>
        <v>3.3445657100777071E-2</v>
      </c>
      <c r="J3" s="74"/>
      <c r="K3" s="67">
        <f>H3-'Daily Data'!AR65</f>
        <v>2.6199999999999998E-2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((1+H4/365)^365-1)</f>
        <v>2.5314242726610869E-2</v>
      </c>
      <c r="J4" s="74"/>
      <c r="K4" s="67">
        <f>H4-'Daily Data'!AR65</f>
        <v>1.83E-2</v>
      </c>
    </row>
    <row r="5" spans="1:11" ht="23.15" customHeight="1" x14ac:dyDescent="0.5">
      <c r="A5" s="50" t="s">
        <v>17</v>
      </c>
      <c r="B5" s="56">
        <v>3.49E-2</v>
      </c>
      <c r="C5" s="55">
        <f t="shared" ref="C5:G5" si="2">((1+$I5)^(C2/365)-1)*365/C2</f>
        <v>2.8114065879042336E-2</v>
      </c>
      <c r="D5" s="56">
        <v>5.5100000000000003E-2</v>
      </c>
      <c r="E5" s="55">
        <f t="shared" si="2"/>
        <v>2.8163912885332154E-2</v>
      </c>
      <c r="F5" s="55">
        <f t="shared" si="2"/>
        <v>2.8196485282603719E-2</v>
      </c>
      <c r="G5" s="55">
        <f t="shared" si="2"/>
        <v>2.8294504132474804E-2</v>
      </c>
      <c r="H5" s="52">
        <v>2.81E-2</v>
      </c>
      <c r="I5" s="73">
        <f t="shared" si="1"/>
        <v>2.8497416706523726E-2</v>
      </c>
      <c r="J5" s="74"/>
      <c r="K5" s="67">
        <f>H5-'Daily Data'!BJ65</f>
        <v>2.0299999999999999E-2</v>
      </c>
    </row>
    <row r="6" spans="1:11" ht="23.15" customHeight="1" x14ac:dyDescent="0.4">
      <c r="A6" s="50" t="s">
        <v>55</v>
      </c>
      <c r="B6" s="54">
        <v>3.7499999999999999E-2</v>
      </c>
      <c r="C6" s="51">
        <f t="shared" ref="C6:G6" si="3">((1+$I6)^(C2/365)-1)*365/C2</f>
        <v>3.3720232087598924E-2</v>
      </c>
      <c r="D6" s="54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4">
        <v>2.1899999999999999E-2</v>
      </c>
      <c r="C7" s="51">
        <f t="shared" ref="C7:G7" si="4">((1+$I7)^(C2/365)-1)*365/C2</f>
        <v>2.090778059017687E-2</v>
      </c>
      <c r="D7" s="54">
        <v>2.3099999999999999E-2</v>
      </c>
      <c r="E7" s="51">
        <f t="shared" si="4"/>
        <v>2.0935342936297952E-2</v>
      </c>
      <c r="F7" s="51">
        <f t="shared" si="4"/>
        <v>2.0953344478137657E-2</v>
      </c>
      <c r="G7" s="51">
        <f t="shared" si="4"/>
        <v>2.1007473023389494E-2</v>
      </c>
      <c r="H7" s="52">
        <v>2.0899999999999998E-2</v>
      </c>
      <c r="I7" s="73">
        <f t="shared" si="1"/>
        <v>2.1119323554426916E-2</v>
      </c>
      <c r="J7" s="74"/>
      <c r="K7" s="67">
        <f>H7-1.08%</f>
        <v>1.0099999999999998E-2</v>
      </c>
    </row>
    <row r="8" spans="1:11" ht="23.15" customHeight="1" x14ac:dyDescent="0.4">
      <c r="A8" s="50" t="s">
        <v>57</v>
      </c>
      <c r="B8" s="51">
        <f>((1+$I8)^(B2/365)-1)*365/B2</f>
        <v>2.7706307290950978E-2</v>
      </c>
      <c r="C8" s="51">
        <f t="shared" ref="C8:G8" si="5">((1+$I8)^(C2/365)-1)*365/C2</f>
        <v>2.7713668217315055E-2</v>
      </c>
      <c r="D8" s="51">
        <f t="shared" si="5"/>
        <v>2.77305029849787E-2</v>
      </c>
      <c r="E8" s="51">
        <f t="shared" si="5"/>
        <v>2.7762104935491045E-2</v>
      </c>
      <c r="F8" s="51">
        <f t="shared" si="5"/>
        <v>2.7793754904522662E-2</v>
      </c>
      <c r="G8" s="51">
        <f t="shared" si="5"/>
        <v>2.7888993744320009E-2</v>
      </c>
      <c r="H8" s="52">
        <v>2.7699999999999999E-2</v>
      </c>
      <c r="I8" s="73">
        <f t="shared" si="1"/>
        <v>2.8086131440423268E-2</v>
      </c>
      <c r="J8" s="74"/>
      <c r="K8" s="67">
        <f>H8-'Daily Data'!H66</f>
        <v>1.9400000000000001E-2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188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3A495-0ABB-4D50-9BD6-1C995FF8BF1D}">
  <dimension ref="A1:K9"/>
  <sheetViews>
    <sheetView topLeftCell="C1" workbookViewId="0">
      <selection sqref="A1: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46139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0.03</v>
      </c>
      <c r="C3" s="54">
        <v>3.09E-2</v>
      </c>
      <c r="D3" s="54">
        <v>4.1000000000000002E-2</v>
      </c>
      <c r="E3" s="54">
        <v>2.8000000000000001E-2</v>
      </c>
      <c r="F3" s="54">
        <v>5.8700000000000002E-2</v>
      </c>
      <c r="G3" s="54">
        <v>0.06</v>
      </c>
      <c r="H3" s="52">
        <v>3.2899999999999999E-2</v>
      </c>
      <c r="I3" s="73">
        <f>(1+H3/365)^365-1</f>
        <v>3.3445657100777071E-2</v>
      </c>
      <c r="J3" s="74"/>
      <c r="K3" s="67">
        <f>H3-'Daily Data'!AR66</f>
        <v>2.5899999999999999E-2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Data'!Z66</f>
        <v>1.2800000000000001E-2</v>
      </c>
    </row>
    <row r="5" spans="1:11" ht="23.15" customHeight="1" x14ac:dyDescent="0.5">
      <c r="A5" s="50" t="s">
        <v>17</v>
      </c>
      <c r="B5" s="56">
        <v>3.49E-2</v>
      </c>
      <c r="C5" s="55">
        <f t="shared" ref="C5:G5" si="2">((1+$I5)^(C2/365)-1)*365/C2</f>
        <v>2.8414367868607897E-2</v>
      </c>
      <c r="D5" s="56">
        <v>5.5100000000000003E-2</v>
      </c>
      <c r="E5" s="55">
        <f t="shared" si="2"/>
        <v>2.8465285896267883E-2</v>
      </c>
      <c r="F5" s="55">
        <f t="shared" si="2"/>
        <v>2.8498558842821323E-2</v>
      </c>
      <c r="G5" s="55">
        <f t="shared" si="2"/>
        <v>2.8598689126452321E-2</v>
      </c>
      <c r="H5" s="52">
        <v>2.8400000000000002E-2</v>
      </c>
      <c r="I5" s="73">
        <f t="shared" si="1"/>
        <v>2.8805988332401222E-2</v>
      </c>
      <c r="J5" s="74"/>
      <c r="K5" s="67">
        <f>H5-'Daily Data'!BJ66</f>
        <v>2.0400000000000001E-2</v>
      </c>
    </row>
    <row r="6" spans="1:11" ht="23.15" customHeight="1" x14ac:dyDescent="0.4">
      <c r="A6" s="50" t="s">
        <v>55</v>
      </c>
      <c r="B6" s="54">
        <v>3.7499999999999999E-2</v>
      </c>
      <c r="C6" s="51">
        <f t="shared" ref="C6:G6" si="3">((1+$I6)^(C2/365)-1)*365/C2</f>
        <v>3.3720232087598924E-2</v>
      </c>
      <c r="D6" s="54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4">
        <v>2.1899999999999999E-2</v>
      </c>
      <c r="C7" s="51">
        <f t="shared" ref="C7:G7" si="4">((1+$I7)^(C2/365)-1)*365/C2</f>
        <v>2.090778059017687E-2</v>
      </c>
      <c r="D7" s="54">
        <v>2.3E-2</v>
      </c>
      <c r="E7" s="51">
        <f t="shared" si="4"/>
        <v>2.0935342936297952E-2</v>
      </c>
      <c r="F7" s="51">
        <f t="shared" si="4"/>
        <v>2.0953344478137657E-2</v>
      </c>
      <c r="G7" s="51">
        <f t="shared" si="4"/>
        <v>2.1007473023389494E-2</v>
      </c>
      <c r="H7" s="52">
        <v>2.0899999999999998E-2</v>
      </c>
      <c r="I7" s="73">
        <f t="shared" si="1"/>
        <v>2.1119323554426916E-2</v>
      </c>
      <c r="J7" s="74"/>
      <c r="K7" s="67">
        <f>H7-0.93%</f>
        <v>1.1599999999999997E-2</v>
      </c>
    </row>
    <row r="8" spans="1:11" ht="23.15" customHeight="1" x14ac:dyDescent="0.4">
      <c r="A8" s="50" t="s">
        <v>57</v>
      </c>
      <c r="B8" s="51">
        <f>((1+$I8)^(B2/365)-1)*365/B2</f>
        <v>2.7806352915951762E-2</v>
      </c>
      <c r="C8" s="51">
        <f t="shared" ref="C8:G8" si="5">((1+$I8)^(C2/365)-1)*365/C2</f>
        <v>2.7813767097925362E-2</v>
      </c>
      <c r="D8" s="51">
        <f t="shared" si="5"/>
        <v>2.7830723699162802E-2</v>
      </c>
      <c r="E8" s="51">
        <f t="shared" si="5"/>
        <v>2.7862554487448787E-2</v>
      </c>
      <c r="F8" s="51">
        <f t="shared" si="5"/>
        <v>2.7894433816769322E-2</v>
      </c>
      <c r="G8" s="51">
        <f t="shared" si="5"/>
        <v>2.7990363884462747E-2</v>
      </c>
      <c r="H8" s="52">
        <v>2.7799999999999998E-2</v>
      </c>
      <c r="I8" s="73">
        <f t="shared" si="1"/>
        <v>2.8188937377605638E-2</v>
      </c>
      <c r="J8" s="74"/>
      <c r="K8" s="67">
        <f>H8-'Daily Data'!H66</f>
        <v>1.9499999999999997E-2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187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24784-A315-484D-A216-7D27408723A0}">
  <dimension ref="A1:K10"/>
  <sheetViews>
    <sheetView topLeftCell="C1" zoomScale="90" zoomScaleNormal="90" workbookViewId="0">
      <selection sqref="A1: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46140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2.9399999999999999E-2</v>
      </c>
      <c r="C3" s="54">
        <v>2.75E-2</v>
      </c>
      <c r="D3" s="54">
        <v>3.2500000000000001E-2</v>
      </c>
      <c r="E3" s="54">
        <v>4.99E-2</v>
      </c>
      <c r="F3" s="54">
        <v>5.9400000000000001E-2</v>
      </c>
      <c r="G3" s="54">
        <v>3.4000000000000002E-2</v>
      </c>
      <c r="H3" s="52">
        <v>3.2899999999999999E-2</v>
      </c>
      <c r="I3" s="73">
        <f>(1+H3/365)^365-1</f>
        <v>3.3445657100777071E-2</v>
      </c>
      <c r="J3" s="74"/>
      <c r="K3" s="67">
        <f>H3-'Daily Data'!AR67</f>
        <v>2.64E-2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Data'!Z67</f>
        <v>1.2800000000000001E-2</v>
      </c>
    </row>
    <row r="5" spans="1:11" ht="23.15" customHeight="1" x14ac:dyDescent="0.5">
      <c r="A5" s="50" t="s">
        <v>17</v>
      </c>
      <c r="B5" s="56"/>
      <c r="C5" s="55">
        <f t="shared" ref="C5:G5" si="2">((1+$I5)^(C2/365)-1)*365/C2</f>
        <v>2.861457097742421E-2</v>
      </c>
      <c r="D5" s="56"/>
      <c r="E5" s="55">
        <f t="shared" si="2"/>
        <v>2.8666209355555194E-2</v>
      </c>
      <c r="F5" s="55">
        <f t="shared" si="2"/>
        <v>2.8699953491705399E-2</v>
      </c>
      <c r="G5" s="55">
        <f t="shared" si="2"/>
        <v>2.8801503984497451E-2</v>
      </c>
      <c r="H5" s="52">
        <v>2.86E-2</v>
      </c>
      <c r="I5" s="73">
        <f t="shared" si="1"/>
        <v>2.9011754039298232E-2</v>
      </c>
      <c r="J5" s="74"/>
      <c r="K5" s="67">
        <f>H5-'Daily Data'!BJ67</f>
        <v>2.0400000000000001E-2</v>
      </c>
    </row>
    <row r="6" spans="1:11" ht="23.15" customHeight="1" x14ac:dyDescent="0.4">
      <c r="A6" s="50" t="s">
        <v>55</v>
      </c>
      <c r="B6" s="54"/>
      <c r="C6" s="51">
        <f t="shared" ref="C6:G6" si="3">((1+$I6)^(C2/365)-1)*365/C2</f>
        <v>3.3720232087598924E-2</v>
      </c>
      <c r="D6" s="54"/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4"/>
      <c r="C7" s="51">
        <f t="shared" ref="C7:G7" si="4">((1+$I7)^(C2/365)-1)*365/C2</f>
        <v>2.1708387706840884E-2</v>
      </c>
      <c r="D7" s="54"/>
      <c r="E7" s="51">
        <f t="shared" si="4"/>
        <v>2.1738102014333516E-2</v>
      </c>
      <c r="F7" s="51">
        <f t="shared" si="4"/>
        <v>2.1757510124933641E-2</v>
      </c>
      <c r="G7" s="51">
        <f t="shared" si="4"/>
        <v>2.1815873182762256E-2</v>
      </c>
      <c r="H7" s="52">
        <v>2.1700000000000001E-2</v>
      </c>
      <c r="I7" s="73">
        <f t="shared" si="1"/>
        <v>2.1936498152339556E-2</v>
      </c>
      <c r="J7" s="74"/>
      <c r="K7" s="67">
        <f>H7-0.95%</f>
        <v>1.2200000000000001E-2</v>
      </c>
    </row>
    <row r="8" spans="1:11" ht="23.15" customHeight="1" x14ac:dyDescent="0.4">
      <c r="A8" s="50" t="s">
        <v>57</v>
      </c>
      <c r="B8" s="51">
        <f>((1+$I8)^(B2/365)-1)*365/B2</f>
        <v>2.7906398705557538E-2</v>
      </c>
      <c r="C8" s="51">
        <f t="shared" ref="C8:G8" si="5">((1+$I8)^(C2/365)-1)*365/C2</f>
        <v>2.791386633517404E-2</v>
      </c>
      <c r="D8" s="51">
        <f t="shared" si="5"/>
        <v>2.7930945209710362E-2</v>
      </c>
      <c r="E8" s="51">
        <f t="shared" si="5"/>
        <v>2.7963005663145801E-2</v>
      </c>
      <c r="F8" s="51">
        <f t="shared" si="5"/>
        <v>2.7995115183913229E-2</v>
      </c>
      <c r="G8" s="51">
        <f t="shared" si="5"/>
        <v>2.8091738995796145E-2</v>
      </c>
      <c r="H8" s="52">
        <v>2.7900000000000001E-2</v>
      </c>
      <c r="I8" s="73">
        <f t="shared" si="1"/>
        <v>2.8291753567093458E-2</v>
      </c>
      <c r="J8" s="74"/>
      <c r="K8" s="67">
        <f>H8-'Daily Data'!H67</f>
        <v>1.9500000000000003E-2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  <row r="10" spans="1:11" ht="21" x14ac:dyDescent="0.35">
      <c r="I10" s="73"/>
    </row>
  </sheetData>
  <conditionalFormatting sqref="A1:J3 A4:H9 J4:J9 I4:I10">
    <cfRule type="expression" dxfId="186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BCCE4-974D-475D-ACEC-0E2AFFA7C214}">
  <dimension ref="A1:K9"/>
  <sheetViews>
    <sheetView topLeftCell="C1" workbookViewId="0">
      <selection sqref="A1: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46141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2.7E-2</v>
      </c>
      <c r="C3" s="54">
        <v>2.7400000000000001E-2</v>
      </c>
      <c r="D3" s="54">
        <v>3.0499999999999999E-2</v>
      </c>
      <c r="E3" s="54">
        <v>4.4400000000000002E-2</v>
      </c>
      <c r="F3" s="54">
        <v>5.7799999999999997E-2</v>
      </c>
      <c r="G3" s="54">
        <v>5.5E-2</v>
      </c>
      <c r="H3" s="52">
        <v>3.2899999999999999E-2</v>
      </c>
      <c r="I3" s="73">
        <f>(1+H3/365)^365-1</f>
        <v>3.3445657100777071E-2</v>
      </c>
      <c r="J3" s="74"/>
      <c r="K3" s="67">
        <f>H3-'Daily Data'!AR68</f>
        <v>2.5399999999999999E-2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Data'!Z68</f>
        <v>1.2600000000000002E-2</v>
      </c>
    </row>
    <row r="5" spans="1:11" ht="23.15" customHeight="1" x14ac:dyDescent="0.5">
      <c r="A5" s="50" t="s">
        <v>17</v>
      </c>
      <c r="B5" s="55"/>
      <c r="C5" s="55">
        <f t="shared" ref="C5:G5" si="2">((1+$I5)^(C2/365)-1)*365/C2</f>
        <v>3.0216247184851448E-2</v>
      </c>
      <c r="D5" s="55"/>
      <c r="E5" s="55">
        <f t="shared" si="2"/>
        <v>3.0273830874697632E-2</v>
      </c>
      <c r="F5" s="55">
        <f t="shared" si="2"/>
        <v>3.0311464275388368E-2</v>
      </c>
      <c r="G5" s="55">
        <f t="shared" si="2"/>
        <v>3.0424739121945526E-2</v>
      </c>
      <c r="H5" s="52">
        <v>3.0200000000000001E-2</v>
      </c>
      <c r="I5" s="73">
        <f t="shared" si="1"/>
        <v>3.0659357866290149E-2</v>
      </c>
      <c r="J5" s="74"/>
      <c r="K5" s="67">
        <f>H5-'Daily Data'!BJ68</f>
        <v>2.1600000000000001E-2</v>
      </c>
    </row>
    <row r="6" spans="1:11" ht="23.15" customHeight="1" x14ac:dyDescent="0.4">
      <c r="A6" s="50" t="s">
        <v>55</v>
      </c>
      <c r="B6" s="51"/>
      <c r="C6" s="51">
        <f t="shared" ref="C6:G6" si="3">((1+$I6)^(C2/365)-1)*365/C2</f>
        <v>3.3720232087598924E-2</v>
      </c>
      <c r="D6" s="51"/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H6-1.2%</f>
        <v>2.1700000000000001E-2</v>
      </c>
    </row>
    <row r="7" spans="1:11" ht="23.15" customHeight="1" x14ac:dyDescent="0.4">
      <c r="A7" s="50" t="s">
        <v>47</v>
      </c>
      <c r="B7" s="51"/>
      <c r="C7" s="51">
        <f t="shared" ref="C7:G7" si="4">((1+$I7)^(C2/365)-1)*365/C2</f>
        <v>2.4010260232618413E-2</v>
      </c>
      <c r="D7" s="51"/>
      <c r="E7" s="51">
        <f t="shared" si="4"/>
        <v>2.4046612660404476E-2</v>
      </c>
      <c r="F7" s="51">
        <f t="shared" si="4"/>
        <v>2.4070360298483404E-2</v>
      </c>
      <c r="G7" s="51">
        <f t="shared" si="4"/>
        <v>2.4141790986210568E-2</v>
      </c>
      <c r="H7" s="52">
        <v>2.4E-2</v>
      </c>
      <c r="I7" s="73">
        <f t="shared" si="1"/>
        <v>2.4289509719223279E-2</v>
      </c>
      <c r="J7" s="74"/>
      <c r="K7" s="67">
        <f>H7-1.05%</f>
        <v>1.35E-2</v>
      </c>
    </row>
    <row r="8" spans="1:11" ht="23.15" customHeight="1" x14ac:dyDescent="0.4">
      <c r="A8" s="50" t="s">
        <v>57</v>
      </c>
      <c r="B8" s="51">
        <f>((1+$I8)^(B2/365)-1)*365/B2</f>
        <v>2.9907349030706052E-2</v>
      </c>
      <c r="C8" s="51">
        <f t="shared" ref="C8:G8" si="5">((1+$I8)^(C2/365)-1)*365/C2</f>
        <v>2.9915925943969159E-2</v>
      </c>
      <c r="D8" s="51">
        <f t="shared" si="5"/>
        <v>2.9935542634702439E-2</v>
      </c>
      <c r="E8" s="51">
        <f t="shared" si="5"/>
        <v>2.9972370170845902E-2</v>
      </c>
      <c r="F8" s="51">
        <f t="shared" si="5"/>
        <v>3.0009258115333635E-2</v>
      </c>
      <c r="G8" s="51">
        <f t="shared" si="5"/>
        <v>3.0120285514699162E-2</v>
      </c>
      <c r="H8" s="52">
        <v>2.9899999999999999E-2</v>
      </c>
      <c r="I8" s="73">
        <f t="shared" si="1"/>
        <v>3.0350231880070799E-2</v>
      </c>
      <c r="J8" s="74"/>
      <c r="K8" s="67">
        <f>H8-'Daily Data'!H68</f>
        <v>2.0299999999999999E-2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185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1F84E-A3EB-4639-8D15-05F5ED0FF1A4}">
  <dimension ref="A1:K9"/>
  <sheetViews>
    <sheetView zoomScale="80" zoomScaleNormal="80" workbookViewId="0">
      <selection activeCell="B8" sqref="B8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46142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2.6499999999999999E-2</v>
      </c>
      <c r="C3" s="54">
        <v>2.7E-2</v>
      </c>
      <c r="D3" s="54">
        <v>2.9499999999999998E-2</v>
      </c>
      <c r="E3" s="54">
        <v>4.3999999999999997E-2</v>
      </c>
      <c r="F3" s="54">
        <v>5.7599999999999998E-2</v>
      </c>
      <c r="G3" s="54">
        <v>3.2000000000000001E-2</v>
      </c>
      <c r="H3" s="52">
        <v>3.2899999999999999E-2</v>
      </c>
      <c r="I3" s="73">
        <f>(1+H3/365)^365-1</f>
        <v>3.3445657100777071E-2</v>
      </c>
      <c r="J3" s="74"/>
      <c r="K3" s="67">
        <f>H3-'Daily Data'!AR69</f>
        <v>2.5399999999999999E-2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Data'!Z69</f>
        <v>1.2600000000000002E-2</v>
      </c>
    </row>
    <row r="5" spans="1:11" ht="23.15" customHeight="1" x14ac:dyDescent="0.5">
      <c r="A5" s="50" t="s">
        <v>17</v>
      </c>
      <c r="B5" s="55">
        <v>3.5400000000000001E-2</v>
      </c>
      <c r="C5" s="55">
        <f t="shared" ref="C5:G5" si="2">((1+$I5)^(C2/365)-1)*365/C2</f>
        <v>2.9515502614004818E-2</v>
      </c>
      <c r="D5" s="55">
        <v>5.5100000000000003E-2</v>
      </c>
      <c r="E5" s="55">
        <f t="shared" si="2"/>
        <v>2.957044530350909E-2</v>
      </c>
      <c r="F5" s="55">
        <f t="shared" si="2"/>
        <v>2.9606350952279013E-2</v>
      </c>
      <c r="G5" s="55">
        <f t="shared" si="2"/>
        <v>2.9714417036530872E-2</v>
      </c>
      <c r="H5" s="52">
        <v>2.9499999999999998E-2</v>
      </c>
      <c r="I5" s="73">
        <f t="shared" si="1"/>
        <v>2.9938207723953836E-2</v>
      </c>
      <c r="J5" s="74"/>
      <c r="K5" s="67">
        <f>H5-'Daily Data'!BJ69</f>
        <v>2.1100000000000001E-2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2.4299999999999999E-2</v>
      </c>
      <c r="C7" s="51">
        <f t="shared" ref="C7:G7" si="4">((1+$I7)^(C2/365)-1)*365/C2</f>
        <v>2.3209587533257667E-2</v>
      </c>
      <c r="D7" s="51">
        <v>2.5499999999999998E-2</v>
      </c>
      <c r="E7" s="51">
        <f t="shared" si="4"/>
        <v>2.3243555094752066E-2</v>
      </c>
      <c r="F7" s="51">
        <f t="shared" si="4"/>
        <v>2.3265743559169324E-2</v>
      </c>
      <c r="G7" s="51">
        <f t="shared" si="4"/>
        <v>2.3332478537392582E-2</v>
      </c>
      <c r="H7" s="52">
        <v>2.3199999999999998E-2</v>
      </c>
      <c r="I7" s="73">
        <f t="shared" si="1"/>
        <v>2.3470458733289679E-2</v>
      </c>
      <c r="J7" s="74"/>
      <c r="K7" s="67">
        <f>H7-1.01%</f>
        <v>1.3099999999999999E-2</v>
      </c>
    </row>
    <row r="8" spans="1:11" ht="23.15" customHeight="1" x14ac:dyDescent="0.4">
      <c r="A8" s="50" t="s">
        <v>57</v>
      </c>
      <c r="B8" s="51">
        <f>((1+$I8)^(B2/365)-1)*365/B2</f>
        <v>2.9207008934516918E-2</v>
      </c>
      <c r="C8" s="51">
        <f t="shared" ref="C8:G8" si="5">((1+$I8)^(C2/365)-1)*365/C2</f>
        <v>2.9215188859992698E-2</v>
      </c>
      <c r="D8" s="51">
        <f t="shared" si="5"/>
        <v>2.9233897304799861E-2</v>
      </c>
      <c r="E8" s="51">
        <f t="shared" si="5"/>
        <v>2.9269018705551892E-2</v>
      </c>
      <c r="F8" s="51">
        <f t="shared" si="5"/>
        <v>2.9304196365779224E-2</v>
      </c>
      <c r="G8" s="51">
        <f t="shared" si="5"/>
        <v>2.9410067918132683E-2</v>
      </c>
      <c r="H8" s="52">
        <v>2.92E-2</v>
      </c>
      <c r="I8" s="73">
        <f t="shared" si="1"/>
        <v>2.9629297440349367E-2</v>
      </c>
      <c r="J8" s="74"/>
      <c r="K8" s="67">
        <f>H8-'Daily Data'!H69</f>
        <v>2.01E-2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184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8DD74-AF09-4FA7-915C-A92EC7B9A56C}">
  <dimension ref="A1:K9"/>
  <sheetViews>
    <sheetView zoomScale="85" zoomScaleNormal="85" workbookViewId="0">
      <selection activeCell="D5" activeCellId="1" sqref="B5:B7 D5:D7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46143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2.6800000000000001E-2</v>
      </c>
      <c r="C3" s="54">
        <v>2.7400000000000001E-2</v>
      </c>
      <c r="D3" s="54">
        <v>2.8000000000000001E-2</v>
      </c>
      <c r="E3" s="54">
        <v>4.3900000000000002E-2</v>
      </c>
      <c r="F3" s="54">
        <v>5.3900000000000003E-2</v>
      </c>
      <c r="G3" s="54">
        <v>0.05</v>
      </c>
      <c r="H3" s="52">
        <v>3.2899999999999999E-2</v>
      </c>
      <c r="I3" s="73">
        <f>(1+H3/365)^365-1</f>
        <v>3.3445657100777071E-2</v>
      </c>
      <c r="J3" s="74"/>
      <c r="K3" s="67">
        <f>H3-'Daily Data'!AR70</f>
        <v>2.6199999999999998E-2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Data'!Z70</f>
        <v>1.2600000000000002E-2</v>
      </c>
    </row>
    <row r="5" spans="1:11" ht="23.15" customHeight="1" x14ac:dyDescent="0.5">
      <c r="A5" s="50" t="s">
        <v>17</v>
      </c>
      <c r="B5" s="56">
        <v>3.49E-2</v>
      </c>
      <c r="C5" s="55">
        <f t="shared" ref="C5:G5" si="2">((1+$I5)^(C2/365)-1)*365/C2</f>
        <v>2.9815819576702873E-2</v>
      </c>
      <c r="D5" s="56">
        <v>5.5100000000000003E-2</v>
      </c>
      <c r="E5" s="55">
        <f t="shared" si="2"/>
        <v>2.9871886517863155E-2</v>
      </c>
      <c r="F5" s="55">
        <f t="shared" si="2"/>
        <v>2.9908527640715526E-2</v>
      </c>
      <c r="G5" s="55">
        <f t="shared" si="2"/>
        <v>3.0018810931547121E-2</v>
      </c>
      <c r="H5" s="52">
        <v>2.98E-2</v>
      </c>
      <c r="I5" s="73">
        <f t="shared" si="1"/>
        <v>3.0247210433201888E-2</v>
      </c>
      <c r="J5" s="74"/>
      <c r="K5" s="67">
        <f>H5-'Daily Data'!BJ70</f>
        <v>2.1299999999999999E-2</v>
      </c>
    </row>
    <row r="6" spans="1:11" ht="23.15" customHeight="1" x14ac:dyDescent="0.5">
      <c r="A6" s="50" t="s">
        <v>55</v>
      </c>
      <c r="B6" s="56">
        <v>3.7499999999999999E-2</v>
      </c>
      <c r="C6" s="55">
        <f t="shared" ref="C6:G6" si="3">((1+$I6)^(C2/365)-1)*365/C2</f>
        <v>3.3720232087598924E-2</v>
      </c>
      <c r="D6" s="56">
        <v>0.06</v>
      </c>
      <c r="E6" s="55">
        <f t="shared" si="3"/>
        <v>3.3791952704462558E-2</v>
      </c>
      <c r="F6" s="55">
        <f t="shared" si="3"/>
        <v>3.3838836584806672E-2</v>
      </c>
      <c r="G6" s="55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6">
        <v>2.63E-2</v>
      </c>
      <c r="C7" s="55">
        <f t="shared" ref="C7:G7" si="4">((1+$I7)^(C2/365)-1)*365/C2</f>
        <v>2.4510692254110272E-2</v>
      </c>
      <c r="D7" s="56">
        <v>2.75E-2</v>
      </c>
      <c r="E7" s="55">
        <f t="shared" si="4"/>
        <v>2.4548576373024433E-2</v>
      </c>
      <c r="F7" s="55">
        <f t="shared" si="4"/>
        <v>2.457332546501876E-2</v>
      </c>
      <c r="G7" s="55">
        <f t="shared" si="4"/>
        <v>2.4647772518713307E-2</v>
      </c>
      <c r="H7" s="52">
        <v>2.4500000000000001E-2</v>
      </c>
      <c r="I7" s="73">
        <f t="shared" si="1"/>
        <v>2.4801748490785425E-2</v>
      </c>
      <c r="J7" s="74"/>
      <c r="K7" s="67">
        <f>H7-0.94%</f>
        <v>1.5100000000000002E-2</v>
      </c>
    </row>
    <row r="8" spans="1:11" ht="23.15" customHeight="1" x14ac:dyDescent="0.5">
      <c r="A8" s="50" t="s">
        <v>57</v>
      </c>
      <c r="B8" s="55">
        <f>((1+$I8)^(B2/365)-1)*365/B2</f>
        <v>2.9707251038128626E-2</v>
      </c>
      <c r="C8" s="55">
        <f t="shared" ref="C8:G8" si="5">((1+$I8)^(C2/365)-1)*365/C2</f>
        <v>2.97157135659997E-2</v>
      </c>
      <c r="D8" s="55">
        <f t="shared" si="5"/>
        <v>2.9735068558820243E-2</v>
      </c>
      <c r="E8" s="55">
        <f t="shared" si="5"/>
        <v>2.9771404489047876E-2</v>
      </c>
      <c r="F8" s="55">
        <f t="shared" si="5"/>
        <v>2.9807799622090583E-2</v>
      </c>
      <c r="G8" s="55">
        <f t="shared" si="5"/>
        <v>2.991734132434765E-2</v>
      </c>
      <c r="H8" s="52">
        <v>2.9700000000000001E-2</v>
      </c>
      <c r="I8" s="73">
        <f t="shared" si="1"/>
        <v>3.0144199258958837E-2</v>
      </c>
      <c r="J8" s="74"/>
      <c r="K8" s="67">
        <f>H8-'Daily Data'!H70</f>
        <v>2.1000000000000001E-2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183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C2505-CC41-4CA2-9D7A-DD2D1DABD304}">
  <dimension ref="A1:K9"/>
  <sheetViews>
    <sheetView zoomScale="80" zoomScaleNormal="80" workbookViewId="0">
      <selection activeCell="D5" activeCellId="1" sqref="B5:B7 D5:D7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46144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2.6800000000000001E-2</v>
      </c>
      <c r="C3" s="54">
        <v>2.75E-2</v>
      </c>
      <c r="D3" s="54">
        <v>2.8000000000000001E-2</v>
      </c>
      <c r="E3" s="54">
        <v>4.3900000000000002E-2</v>
      </c>
      <c r="F3" s="54">
        <v>5.3900000000000003E-2</v>
      </c>
      <c r="G3" s="54">
        <v>0.05</v>
      </c>
      <c r="H3" s="52">
        <v>3.2899999999999999E-2</v>
      </c>
      <c r="I3" s="73">
        <f>(1+H3/365)^365-1</f>
        <v>3.3445657100777071E-2</v>
      </c>
      <c r="J3" s="74"/>
      <c r="K3" s="67">
        <f>H3-'Daily Data'!AR71</f>
        <v>2.6199999999999998E-2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Data'!Z71</f>
        <v>1.2500000000000001E-2</v>
      </c>
    </row>
    <row r="5" spans="1:11" ht="23.15" customHeight="1" x14ac:dyDescent="0.5">
      <c r="A5" s="50" t="s">
        <v>17</v>
      </c>
      <c r="B5" s="56">
        <v>3.49E-2</v>
      </c>
      <c r="C5" s="55">
        <f t="shared" ref="C5:G5" si="2">((1+$I5)^(C2/365)-1)*365/C2</f>
        <v>2.8314266848908365E-2</v>
      </c>
      <c r="D5" s="56">
        <v>5.5100000000000003E-2</v>
      </c>
      <c r="E5" s="55">
        <f t="shared" si="2"/>
        <v>2.8364826602223003E-2</v>
      </c>
      <c r="F5" s="55">
        <f t="shared" si="2"/>
        <v>2.8397865201035391E-2</v>
      </c>
      <c r="G5" s="55">
        <f t="shared" si="2"/>
        <v>2.8497289156265086E-2</v>
      </c>
      <c r="H5" s="52">
        <v>2.8299999999999999E-2</v>
      </c>
      <c r="I5" s="73">
        <f t="shared" si="1"/>
        <v>2.8703120866840903E-2</v>
      </c>
      <c r="J5" s="74"/>
      <c r="K5" s="67">
        <f>H5-'Daily Data'!BJ71</f>
        <v>2.0399999999999998E-2</v>
      </c>
    </row>
    <row r="6" spans="1:11" ht="23.15" customHeight="1" x14ac:dyDescent="0.4">
      <c r="A6" s="50" t="s">
        <v>55</v>
      </c>
      <c r="B6" s="54">
        <v>3.7499999999999999E-2</v>
      </c>
      <c r="C6" s="51">
        <f t="shared" ref="C6:G6" si="3">((1+$I6)^(C2/365)-1)*365/C2</f>
        <v>3.3720232087598924E-2</v>
      </c>
      <c r="D6" s="54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4">
        <v>2.63E-2</v>
      </c>
      <c r="C7" s="51">
        <f t="shared" ref="C7:G7" si="4">((1+$I7)^(C2/365)-1)*365/C2</f>
        <v>2.5611674069389738E-2</v>
      </c>
      <c r="D7" s="54">
        <v>2.75E-2</v>
      </c>
      <c r="E7" s="51">
        <f t="shared" si="4"/>
        <v>2.5653039346812418E-2</v>
      </c>
      <c r="F7" s="51">
        <f t="shared" si="4"/>
        <v>2.5680064688384588E-2</v>
      </c>
      <c r="G7" s="51">
        <f t="shared" si="4"/>
        <v>2.576136868155746E-2</v>
      </c>
      <c r="H7" s="52">
        <v>2.5600000000000001E-2</v>
      </c>
      <c r="I7" s="73">
        <f t="shared" si="1"/>
        <v>2.5929573201264544E-2</v>
      </c>
      <c r="J7" s="74"/>
      <c r="K7" s="67">
        <f>H7-0.94%</f>
        <v>1.6200000000000003E-2</v>
      </c>
    </row>
    <row r="8" spans="1:11" ht="23.15" customHeight="1" x14ac:dyDescent="0.4">
      <c r="A8" s="50" t="s">
        <v>57</v>
      </c>
      <c r="B8" s="51">
        <f>((1+$I8)^(B2/365)-1)*365/B2</f>
        <v>2.8306583508236022E-2</v>
      </c>
      <c r="C8" s="51">
        <f t="shared" ref="C8:G8" si="5">((1+$I8)^(C2/365)-1)*365/C2</f>
        <v>2.8314266848908365E-2</v>
      </c>
      <c r="D8" s="51">
        <f t="shared" si="5"/>
        <v>2.8331839214008798E-2</v>
      </c>
      <c r="E8" s="51">
        <f t="shared" si="5"/>
        <v>2.8364826602223003E-2</v>
      </c>
      <c r="F8" s="51">
        <f t="shared" si="5"/>
        <v>2.8397865201035391E-2</v>
      </c>
      <c r="G8" s="51">
        <f t="shared" si="5"/>
        <v>2.8497289156265086E-2</v>
      </c>
      <c r="H8" s="52">
        <v>2.8299999999999999E-2</v>
      </c>
      <c r="I8" s="73">
        <f t="shared" si="1"/>
        <v>2.8703120866840903E-2</v>
      </c>
      <c r="J8" s="74"/>
      <c r="K8" s="67">
        <f>H8-'Daily Data'!H71</f>
        <v>2.0199999999999999E-2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182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5D5E-D928-4AD2-B15A-9912B7DC07B2}">
  <dimension ref="A1:K9"/>
  <sheetViews>
    <sheetView zoomScale="80" zoomScaleNormal="80" workbookViewId="0">
      <selection activeCell="D5" activeCellId="1" sqref="B5:B7 D5:D7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46145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2.6499999999999999E-2</v>
      </c>
      <c r="C3" s="54">
        <v>2.75E-2</v>
      </c>
      <c r="D3" s="54">
        <v>2.8000000000000001E-2</v>
      </c>
      <c r="E3" s="54">
        <v>4.3900000000000002E-2</v>
      </c>
      <c r="F3" s="54">
        <v>5.3900000000000003E-2</v>
      </c>
      <c r="G3" s="54">
        <v>0.05</v>
      </c>
      <c r="H3" s="52">
        <v>3.2899999999999999E-2</v>
      </c>
      <c r="I3" s="73">
        <f>(1+H3/365)^365-1</f>
        <v>3.3445657100777071E-2</v>
      </c>
      <c r="J3" s="74"/>
      <c r="K3" s="67">
        <f>H3-'Daily Data'!AR72</f>
        <v>2.6199999999999998E-2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Data'!Z72</f>
        <v>1.2600000000000002E-2</v>
      </c>
    </row>
    <row r="5" spans="1:11" ht="23.15" customHeight="1" x14ac:dyDescent="0.5">
      <c r="A5" s="50" t="s">
        <v>17</v>
      </c>
      <c r="B5" s="56">
        <v>3.49E-2</v>
      </c>
      <c r="C5" s="55">
        <f t="shared" ref="C5:G5" si="2">((1+$I5)^(C2/365)-1)*365/C2</f>
        <v>2.7313276259254522E-2</v>
      </c>
      <c r="D5" s="56">
        <v>5.5100000000000003E-2</v>
      </c>
      <c r="E5" s="55">
        <f t="shared" si="2"/>
        <v>2.7360322962594403E-2</v>
      </c>
      <c r="F5" s="55">
        <f t="shared" si="2"/>
        <v>2.7391063801394545E-2</v>
      </c>
      <c r="G5" s="55">
        <f t="shared" si="2"/>
        <v>2.7483562888867545E-2</v>
      </c>
      <c r="H5" s="52">
        <v>2.7300000000000001E-2</v>
      </c>
      <c r="I5" s="73">
        <f t="shared" si="1"/>
        <v>2.7675010192383942E-2</v>
      </c>
      <c r="J5" s="74"/>
      <c r="K5" s="67">
        <f>H5-'Daily Data'!BJ72</f>
        <v>1.9500000000000003E-2</v>
      </c>
    </row>
    <row r="6" spans="1:11" ht="23.15" customHeight="1" x14ac:dyDescent="0.4">
      <c r="A6" s="50" t="s">
        <v>55</v>
      </c>
      <c r="B6" s="54">
        <v>3.7499999999999999E-2</v>
      </c>
      <c r="C6" s="51">
        <f t="shared" ref="C6:G6" si="3">((1+$I6)^(C2/365)-1)*365/C2</f>
        <v>3.3720232087598924E-2</v>
      </c>
      <c r="D6" s="54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4">
        <v>2.63E-2</v>
      </c>
      <c r="C7" s="51">
        <f t="shared" ref="C7:G7" si="4">((1+$I7)^(C2/365)-1)*365/C2</f>
        <v>2.5611674069389738E-2</v>
      </c>
      <c r="D7" s="54">
        <v>2.75E-2</v>
      </c>
      <c r="E7" s="51">
        <f t="shared" si="4"/>
        <v>2.5653039346812418E-2</v>
      </c>
      <c r="F7" s="51">
        <f t="shared" si="4"/>
        <v>2.5680064688384588E-2</v>
      </c>
      <c r="G7" s="51">
        <f t="shared" si="4"/>
        <v>2.576136868155746E-2</v>
      </c>
      <c r="H7" s="52">
        <v>2.5600000000000001E-2</v>
      </c>
      <c r="I7" s="73">
        <f t="shared" si="1"/>
        <v>2.5929573201264544E-2</v>
      </c>
      <c r="J7" s="74"/>
      <c r="K7" s="67">
        <f>H7-0.98%</f>
        <v>1.5800000000000002E-2</v>
      </c>
    </row>
    <row r="8" spans="1:11" ht="23.15" customHeight="1" x14ac:dyDescent="0.4">
      <c r="A8" s="50" t="s">
        <v>57</v>
      </c>
      <c r="B8" s="51">
        <f>((1+$I8)^(B2/365)-1)*365/B2</f>
        <v>2.8106490777993605E-2</v>
      </c>
      <c r="C8" s="51">
        <f t="shared" ref="C8:G8" si="5">((1+$I8)^(C2/365)-1)*365/C2</f>
        <v>2.8114065879042336E-2</v>
      </c>
      <c r="D8" s="51">
        <f t="shared" si="5"/>
        <v>2.8131390619379859E-2</v>
      </c>
      <c r="E8" s="51">
        <f t="shared" si="5"/>
        <v>2.8163912885332154E-2</v>
      </c>
      <c r="F8" s="51">
        <f t="shared" si="5"/>
        <v>2.8196485282603719E-2</v>
      </c>
      <c r="G8" s="51">
        <f t="shared" si="5"/>
        <v>2.8294504132474804E-2</v>
      </c>
      <c r="H8" s="52">
        <v>2.81E-2</v>
      </c>
      <c r="I8" s="73">
        <f t="shared" si="1"/>
        <v>2.8497416706523726E-2</v>
      </c>
      <c r="J8" s="74"/>
      <c r="K8" s="67">
        <f>H8-'Daily Data'!H72</f>
        <v>2.01E-2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181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ECE2A-375A-45BB-837C-D28481160CEB}">
  <dimension ref="A1:K9"/>
  <sheetViews>
    <sheetView workbookViewId="0">
      <selection sqref="A1: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46146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2.6800000000000001E-2</v>
      </c>
      <c r="C3" s="54">
        <v>2.75E-2</v>
      </c>
      <c r="D3" s="54">
        <v>2.8000000000000001E-2</v>
      </c>
      <c r="E3" s="54">
        <v>4.3900000000000002E-2</v>
      </c>
      <c r="F3" s="54">
        <v>5.3900000000000003E-2</v>
      </c>
      <c r="G3" s="54">
        <v>0.05</v>
      </c>
      <c r="H3" s="52">
        <v>3.2899999999999999E-2</v>
      </c>
      <c r="I3" s="73">
        <f>(1+H3/365)^365-1</f>
        <v>3.3445657100777071E-2</v>
      </c>
      <c r="J3" s="74"/>
      <c r="K3" s="67">
        <f>H3-'Daily Data'!AR73</f>
        <v>2.5599999999999998E-2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Data'!Z73</f>
        <v>1.2300000000000002E-2</v>
      </c>
    </row>
    <row r="5" spans="1:11" ht="23.15" customHeight="1" x14ac:dyDescent="0.5">
      <c r="A5" s="50" t="s">
        <v>17</v>
      </c>
      <c r="B5" s="56">
        <v>3.49E-2</v>
      </c>
      <c r="C5" s="55">
        <f t="shared" ref="C5:G5" si="2">((1+$I5)^(C2/365)-1)*365/C2</f>
        <v>2.8114065879042336E-2</v>
      </c>
      <c r="D5" s="56">
        <v>5.5100000000000003E-2</v>
      </c>
      <c r="E5" s="55">
        <f t="shared" si="2"/>
        <v>2.8163912885332154E-2</v>
      </c>
      <c r="F5" s="55">
        <f t="shared" si="2"/>
        <v>2.8196485282603719E-2</v>
      </c>
      <c r="G5" s="55">
        <f t="shared" si="2"/>
        <v>2.8294504132474804E-2</v>
      </c>
      <c r="H5" s="52">
        <v>2.81E-2</v>
      </c>
      <c r="I5" s="73">
        <f t="shared" si="1"/>
        <v>2.8497416706523726E-2</v>
      </c>
      <c r="J5" s="74"/>
      <c r="K5" s="67">
        <f>H5-'Daily Data'!BJ73</f>
        <v>2.01E-2</v>
      </c>
    </row>
    <row r="6" spans="1:11" ht="23.15" customHeight="1" x14ac:dyDescent="0.4">
      <c r="A6" s="50" t="s">
        <v>55</v>
      </c>
      <c r="B6" s="54">
        <v>3.7499999999999999E-2</v>
      </c>
      <c r="C6" s="51">
        <f t="shared" ref="C6:G6" si="3">((1+$I6)^(C2/365)-1)*365/C2</f>
        <v>3.3720232087598924E-2</v>
      </c>
      <c r="D6" s="54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4">
        <v>2.63E-2</v>
      </c>
      <c r="C7" s="51">
        <f t="shared" ref="C7:G7" si="4">((1+$I7)^(C2/365)-1)*365/C2</f>
        <v>2.5011133186924366E-2</v>
      </c>
      <c r="D7" s="54">
        <v>2.75E-2</v>
      </c>
      <c r="E7" s="51">
        <f t="shared" si="4"/>
        <v>2.5050580654265259E-2</v>
      </c>
      <c r="F7" s="51">
        <f t="shared" si="4"/>
        <v>2.5076351951623117E-2</v>
      </c>
      <c r="G7" s="51">
        <f t="shared" si="4"/>
        <v>2.5153878127579712E-2</v>
      </c>
      <c r="H7" s="52">
        <v>2.5000000000000001E-2</v>
      </c>
      <c r="I7" s="73">
        <f t="shared" si="1"/>
        <v>2.5314242726610869E-2</v>
      </c>
      <c r="J7" s="74"/>
      <c r="K7" s="67">
        <f>H7-0.98%</f>
        <v>1.5200000000000002E-2</v>
      </c>
    </row>
    <row r="8" spans="1:11" ht="23.15" customHeight="1" x14ac:dyDescent="0.4">
      <c r="A8" s="50" t="s">
        <v>57</v>
      </c>
      <c r="B8" s="51">
        <f>((1+$I8)^(B2/365)-1)*365/B2</f>
        <v>2.8606723836956154E-2</v>
      </c>
      <c r="C8" s="51">
        <f t="shared" ref="C8:G8" si="5">((1+$I8)^(C2/365)-1)*365/C2</f>
        <v>2.861457097742421E-2</v>
      </c>
      <c r="D8" s="51">
        <f t="shared" si="5"/>
        <v>2.8632518077824447E-2</v>
      </c>
      <c r="E8" s="51">
        <f t="shared" si="5"/>
        <v>2.8666209355555194E-2</v>
      </c>
      <c r="F8" s="51">
        <f t="shared" si="5"/>
        <v>2.8699953491705399E-2</v>
      </c>
      <c r="G8" s="51">
        <f t="shared" si="5"/>
        <v>2.8801503984497451E-2</v>
      </c>
      <c r="H8" s="52">
        <v>2.86E-2</v>
      </c>
      <c r="I8" s="73">
        <f t="shared" si="1"/>
        <v>2.9011754039298232E-2</v>
      </c>
      <c r="J8" s="74"/>
      <c r="K8" s="67">
        <f>H8-'Daily Data'!H73</f>
        <v>1.9799999999999998E-2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180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05DCD-47C0-4B80-89EE-6F899D8ADF4D}">
  <dimension ref="A1:K9"/>
  <sheetViews>
    <sheetView workbookViewId="0">
      <selection activeCell="B4" sqref="B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46147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2.5000000000000001E-2</v>
      </c>
      <c r="C3" s="54">
        <v>2.6499999999999999E-2</v>
      </c>
      <c r="D3" s="54">
        <v>2.75E-2</v>
      </c>
      <c r="E3" s="54">
        <v>4.3900000000000002E-2</v>
      </c>
      <c r="F3" s="54">
        <v>5.3699999999999998E-2</v>
      </c>
      <c r="G3" s="54">
        <v>0.05</v>
      </c>
      <c r="H3" s="52">
        <v>3.2899999999999999E-2</v>
      </c>
      <c r="I3" s="73">
        <f>(1+H3/365)^365-1</f>
        <v>3.3445657100777071E-2</v>
      </c>
      <c r="J3" s="74"/>
      <c r="K3" s="67">
        <f>H3-'Daily Data'!AR74</f>
        <v>2.5999999999999999E-2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Data'!Z74</f>
        <v>1.2700000000000001E-2</v>
      </c>
    </row>
    <row r="5" spans="1:11" ht="23.15" customHeight="1" x14ac:dyDescent="0.5">
      <c r="A5" s="50" t="s">
        <v>17</v>
      </c>
      <c r="B5" s="56">
        <v>3.49E-2</v>
      </c>
      <c r="C5" s="55">
        <f t="shared" ref="C5:G5" si="2">((1+$I5)^(C2/365)-1)*365/C2</f>
        <v>2.8814775512232469E-2</v>
      </c>
      <c r="D5" s="55">
        <v>5.5100000000000003E-2</v>
      </c>
      <c r="E5" s="55">
        <f t="shared" si="2"/>
        <v>2.8867139310035983E-2</v>
      </c>
      <c r="F5" s="55">
        <f t="shared" si="2"/>
        <v>2.8901357961484207E-2</v>
      </c>
      <c r="G5" s="55">
        <f t="shared" si="2"/>
        <v>2.9004338734472852E-2</v>
      </c>
      <c r="H5" s="52">
        <v>2.8799999999999999E-2</v>
      </c>
      <c r="I5" s="73">
        <f t="shared" si="1"/>
        <v>2.9217560787452745E-2</v>
      </c>
      <c r="J5" s="74"/>
      <c r="K5" s="67">
        <f>H5-'Daily Data'!BJ74</f>
        <v>2.06E-2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2.58E-2</v>
      </c>
      <c r="C7" s="51">
        <f t="shared" ref="C7:G7" si="4">((1+$I7)^(C2/365)-1)*365/C2</f>
        <v>2.4610779727792322E-2</v>
      </c>
      <c r="D7" s="51">
        <v>2.7099999999999999E-2</v>
      </c>
      <c r="E7" s="51">
        <f t="shared" si="4"/>
        <v>2.4648973983705396E-2</v>
      </c>
      <c r="F7" s="51">
        <f t="shared" si="4"/>
        <v>2.4673925856523601E-2</v>
      </c>
      <c r="G7" s="51">
        <f t="shared" si="4"/>
        <v>2.4748983713435448E-2</v>
      </c>
      <c r="H7" s="52">
        <v>2.46E-2</v>
      </c>
      <c r="I7" s="73">
        <f t="shared" si="1"/>
        <v>2.4904226896770965E-2</v>
      </c>
      <c r="J7" s="74"/>
      <c r="K7" s="67">
        <f>H7-0.95%</f>
        <v>1.5100000000000001E-2</v>
      </c>
    </row>
    <row r="8" spans="1:11" ht="23.15" customHeight="1" x14ac:dyDescent="0.4">
      <c r="A8" s="50" t="s">
        <v>57</v>
      </c>
      <c r="B8" s="51">
        <f>((1+$I8)^(B2/365)-1)*365/B2</f>
        <v>2.8106490777993605E-2</v>
      </c>
      <c r="C8" s="51">
        <f t="shared" ref="C8:G8" si="5">((1+$I8)^(C2/365)-1)*365/C2</f>
        <v>2.8114065879042336E-2</v>
      </c>
      <c r="D8" s="51">
        <f t="shared" si="5"/>
        <v>2.8131390619379859E-2</v>
      </c>
      <c r="E8" s="51">
        <f t="shared" si="5"/>
        <v>2.8163912885332154E-2</v>
      </c>
      <c r="F8" s="51">
        <f t="shared" si="5"/>
        <v>2.8196485282603719E-2</v>
      </c>
      <c r="G8" s="51">
        <f t="shared" si="5"/>
        <v>2.8294504132474804E-2</v>
      </c>
      <c r="H8" s="52">
        <v>2.81E-2</v>
      </c>
      <c r="I8" s="73">
        <f t="shared" si="1"/>
        <v>2.8497416706523726E-2</v>
      </c>
      <c r="J8" s="74"/>
      <c r="K8" s="67">
        <f>H8-'Daily Data'!H74</f>
        <v>1.9599999999999999E-2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179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B481D-2271-4BCC-B6A1-E5C87AE1A90C}">
  <dimension ref="A1:K9"/>
  <sheetViews>
    <sheetView zoomScale="85" zoomScaleNormal="85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46148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2.7E-2</v>
      </c>
      <c r="C3" s="54">
        <v>2.75E-2</v>
      </c>
      <c r="D3" s="54">
        <v>2.75E-2</v>
      </c>
      <c r="E3" s="54">
        <v>4.3900000000000002E-2</v>
      </c>
      <c r="F3" s="54">
        <v>5.1900000000000002E-2</v>
      </c>
      <c r="G3" s="54">
        <v>0.05</v>
      </c>
      <c r="H3" s="52">
        <v>3.2899999999999999E-2</v>
      </c>
      <c r="I3" s="73">
        <f>(1+H3/365)^365-1</f>
        <v>3.3445657100777071E-2</v>
      </c>
      <c r="J3" s="74"/>
      <c r="K3" s="67">
        <f>H3-'Daily Data'!AR75</f>
        <v>2.5799999999999997E-2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Data'!Z75</f>
        <v>1.2400000000000001E-2</v>
      </c>
    </row>
    <row r="5" spans="1:11" ht="23.15" customHeight="1" x14ac:dyDescent="0.5">
      <c r="A5" s="50" t="s">
        <v>17</v>
      </c>
      <c r="B5" s="55">
        <v>3.49E-2</v>
      </c>
      <c r="C5" s="55">
        <f t="shared" ref="C5:G5" si="2">((1+$I5)^(C2/365)-1)*365/C2</f>
        <v>2.8914878314429165E-2</v>
      </c>
      <c r="D5" s="55">
        <v>5.5100000000000003E-2</v>
      </c>
      <c r="E5" s="55">
        <f t="shared" si="2"/>
        <v>2.8967606723085199E-2</v>
      </c>
      <c r="F5" s="55">
        <f t="shared" si="2"/>
        <v>2.9002063879406133E-2</v>
      </c>
      <c r="G5" s="55">
        <f t="shared" si="2"/>
        <v>2.9105763569589695E-2</v>
      </c>
      <c r="H5" s="52">
        <v>2.8899999999999999E-2</v>
      </c>
      <c r="I5" s="73">
        <f t="shared" si="1"/>
        <v>2.9320479554602263E-2</v>
      </c>
      <c r="J5" s="74"/>
      <c r="K5" s="67">
        <f>H5-'Daily Data'!BJ75</f>
        <v>2.0699999999999996E-2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2.5600000000000001E-2</v>
      </c>
      <c r="C7" s="51">
        <f t="shared" ref="C7:G7" si="4">((1+$I7)^(C2/365)-1)*365/C2</f>
        <v>2.4410605136875558E-2</v>
      </c>
      <c r="D7" s="51">
        <v>2.6800000000000001E-2</v>
      </c>
      <c r="E7" s="51">
        <f t="shared" si="4"/>
        <v>2.4448180385079121E-2</v>
      </c>
      <c r="F7" s="51">
        <f t="shared" si="4"/>
        <v>2.4472727526308455E-2</v>
      </c>
      <c r="G7" s="51">
        <f t="shared" si="4"/>
        <v>2.4546566287036671E-2</v>
      </c>
      <c r="H7" s="52">
        <v>2.4400000000000002E-2</v>
      </c>
      <c r="I7" s="73">
        <f t="shared" si="1"/>
        <v>2.4699280303361215E-2</v>
      </c>
      <c r="J7" s="74"/>
      <c r="K7" s="67">
        <f>H7-0.98%</f>
        <v>1.4600000000000002E-2</v>
      </c>
    </row>
    <row r="8" spans="1:11" ht="23.15" customHeight="1" x14ac:dyDescent="0.4">
      <c r="A8" s="50" t="s">
        <v>57</v>
      </c>
      <c r="B8" s="51">
        <f>((1+$I8)^(B2/365)-1)*365/B2</f>
        <v>2.8606723836956154E-2</v>
      </c>
      <c r="C8" s="51">
        <f t="shared" ref="C8:G8" si="5">((1+$I8)^(C2/365)-1)*365/C2</f>
        <v>2.861457097742421E-2</v>
      </c>
      <c r="D8" s="51">
        <f t="shared" si="5"/>
        <v>2.8632518077824447E-2</v>
      </c>
      <c r="E8" s="51">
        <f t="shared" si="5"/>
        <v>2.8666209355555194E-2</v>
      </c>
      <c r="F8" s="51">
        <f t="shared" si="5"/>
        <v>2.8699953491705399E-2</v>
      </c>
      <c r="G8" s="51">
        <f t="shared" si="5"/>
        <v>2.8801503984497451E-2</v>
      </c>
      <c r="H8" s="52">
        <v>2.86E-2</v>
      </c>
      <c r="I8" s="73">
        <f t="shared" si="1"/>
        <v>2.9011754039298232E-2</v>
      </c>
      <c r="J8" s="74"/>
      <c r="K8" s="67">
        <f>H8-'Daily Data'!H75</f>
        <v>1.9799999999999998E-2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178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0F1AC-8134-488C-BF6A-ABCBB682B323}">
  <dimension ref="A1:K9"/>
  <sheetViews>
    <sheetView zoomScale="80" zoomScaleNormal="80" workbookViewId="0">
      <selection activeCell="C16" sqref="C1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46149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2.5000000000000001E-2</v>
      </c>
      <c r="C3" s="54">
        <v>2.6700000000000002E-2</v>
      </c>
      <c r="D3" s="54">
        <v>2.75E-2</v>
      </c>
      <c r="E3" s="54">
        <v>4.3900000000000002E-2</v>
      </c>
      <c r="F3" s="54">
        <v>5.1700000000000003E-2</v>
      </c>
      <c r="G3" s="54">
        <v>0.05</v>
      </c>
      <c r="H3" s="52">
        <v>3.2899999999999999E-2</v>
      </c>
      <c r="I3" s="73">
        <f>(1+H3/365)^365-1</f>
        <v>3.3445657100777071E-2</v>
      </c>
      <c r="J3" s="74"/>
      <c r="K3" s="67">
        <f>H3-'Daily Data'!AR76</f>
        <v>2.3899999999999998E-2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Data'!Z76</f>
        <v>1.2000000000000002E-2</v>
      </c>
    </row>
    <row r="5" spans="1:11" ht="23.15" customHeight="1" x14ac:dyDescent="0.5">
      <c r="A5" s="50" t="s">
        <v>17</v>
      </c>
      <c r="B5" s="55">
        <v>3.56E-2</v>
      </c>
      <c r="C5" s="55">
        <f t="shared" ref="C5:G5" si="2">((1+$I5)^(C2/365)-1)*365/C2</f>
        <v>2.97157135659997E-2</v>
      </c>
      <c r="D5" s="55">
        <v>5.5100000000000003E-2</v>
      </c>
      <c r="E5" s="55">
        <f t="shared" si="2"/>
        <v>2.9771404489047876E-2</v>
      </c>
      <c r="F5" s="55">
        <f t="shared" si="2"/>
        <v>2.9807799622090583E-2</v>
      </c>
      <c r="G5" s="55">
        <f t="shared" si="2"/>
        <v>2.991734132434765E-2</v>
      </c>
      <c r="H5" s="52">
        <v>2.9700000000000001E-2</v>
      </c>
      <c r="I5" s="73">
        <f t="shared" si="1"/>
        <v>3.0144199258958837E-2</v>
      </c>
      <c r="J5" s="74"/>
      <c r="K5" s="67">
        <f>H5-'Daily Data'!BJ76</f>
        <v>2.1100000000000001E-2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2.7799999999999998E-2</v>
      </c>
      <c r="C7" s="51">
        <f t="shared" ref="C7:G7" si="4">((1+$I7)^(C2/365)-1)*365/C2</f>
        <v>2.6512509454446293E-2</v>
      </c>
      <c r="D7" s="51">
        <v>2.92E-2</v>
      </c>
      <c r="E7" s="51">
        <f t="shared" si="4"/>
        <v>2.6556836941645196E-2</v>
      </c>
      <c r="F7" s="51">
        <f t="shared" si="4"/>
        <v>2.6585799405461893E-2</v>
      </c>
      <c r="G7" s="51">
        <f t="shared" si="4"/>
        <v>2.6672939714643285E-2</v>
      </c>
      <c r="H7" s="52">
        <v>2.6499999999999999E-2</v>
      </c>
      <c r="I7" s="73">
        <f t="shared" si="1"/>
        <v>2.6853259490220882E-2</v>
      </c>
      <c r="J7" s="74"/>
      <c r="K7" s="67">
        <f>H7-1.01%</f>
        <v>1.6399999999999998E-2</v>
      </c>
    </row>
    <row r="8" spans="1:11" ht="23.15" customHeight="1" x14ac:dyDescent="0.4">
      <c r="A8" s="50" t="s">
        <v>57</v>
      </c>
      <c r="B8" s="51">
        <f>((1+$I8)^(B2/365)-1)*365/B2</f>
        <v>2.9307057026300192E-2</v>
      </c>
      <c r="C8" s="51">
        <f t="shared" ref="C8:G8" si="5">((1+$I8)^(C2/365)-1)*365/C2</f>
        <v>2.9315293088140817E-2</v>
      </c>
      <c r="D8" s="51">
        <f t="shared" si="5"/>
        <v>2.9334129962939159E-2</v>
      </c>
      <c r="E8" s="51">
        <f t="shared" si="5"/>
        <v>2.9369492614198467E-2</v>
      </c>
      <c r="F8" s="51">
        <f t="shared" si="5"/>
        <v>2.940491210560266E-2</v>
      </c>
      <c r="G8" s="51">
        <f t="shared" si="5"/>
        <v>2.9511512649485608E-2</v>
      </c>
      <c r="H8" s="52">
        <v>2.93E-2</v>
      </c>
      <c r="I8" s="73">
        <f t="shared" si="1"/>
        <v>2.9732257267065743E-2</v>
      </c>
      <c r="J8" s="74"/>
      <c r="K8" s="67">
        <f>H8-'Daily Data'!H76</f>
        <v>0.02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177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B8D11-FB06-49BE-B0E0-DD74C87BDA7B}">
  <dimension ref="A1:K9"/>
  <sheetViews>
    <sheetView zoomScale="80" zoomScaleNormal="80" workbookViewId="0">
      <selection activeCell="D36" sqref="D36:E3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46150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2.8899999999999999E-2</v>
      </c>
      <c r="C3" s="54">
        <v>2.76E-2</v>
      </c>
      <c r="D3" s="54">
        <v>0.03</v>
      </c>
      <c r="E3" s="54">
        <v>0.04</v>
      </c>
      <c r="F3" s="54">
        <v>4.7800000000000002E-2</v>
      </c>
      <c r="G3" s="54">
        <v>4.2599999999999999E-2</v>
      </c>
      <c r="H3" s="52">
        <v>3.3500000000000002E-2</v>
      </c>
      <c r="I3" s="73">
        <f>(1+H3/365)^365-1</f>
        <v>3.4065854123153105E-2</v>
      </c>
      <c r="J3" s="74"/>
      <c r="K3" s="67">
        <f>H3-'Daily Data'!AR77</f>
        <v>2.4900000000000002E-2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Data'!Z77</f>
        <v>1.1600000000000001E-2</v>
      </c>
    </row>
    <row r="5" spans="1:11" ht="23.15" customHeight="1" x14ac:dyDescent="0.5">
      <c r="A5" s="50" t="s">
        <v>17</v>
      </c>
      <c r="B5" s="55">
        <v>4.07E-2</v>
      </c>
      <c r="C5" s="55">
        <f t="shared" ref="C5:G5" si="2">((1+$I5)^(C2/365)-1)*365/C2</f>
        <v>2.9815819576702873E-2</v>
      </c>
      <c r="D5" s="55">
        <v>5.5100000000000003E-2</v>
      </c>
      <c r="E5" s="55">
        <f t="shared" si="2"/>
        <v>2.9871886517863155E-2</v>
      </c>
      <c r="F5" s="55">
        <f t="shared" si="2"/>
        <v>2.9908527640715526E-2</v>
      </c>
      <c r="G5" s="55">
        <f t="shared" si="2"/>
        <v>3.0018810931547121E-2</v>
      </c>
      <c r="H5" s="52">
        <v>2.98E-2</v>
      </c>
      <c r="I5" s="73">
        <f t="shared" si="1"/>
        <v>3.0247210433201888E-2</v>
      </c>
      <c r="J5" s="74"/>
      <c r="K5" s="67">
        <f>H5-'Daily Data'!BJ77</f>
        <v>2.07E-2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3.32E-2</v>
      </c>
      <c r="C7" s="51">
        <f t="shared" ref="C7:G7" si="4">((1+$I7)^(C2/365)-1)*365/C2</f>
        <v>3.1617788734936939E-2</v>
      </c>
      <c r="D7" s="51">
        <v>3.4799999999999998E-2</v>
      </c>
      <c r="E7" s="51">
        <f t="shared" si="4"/>
        <v>3.1680840785172228E-2</v>
      </c>
      <c r="F7" s="51">
        <f t="shared" si="4"/>
        <v>3.172205199932869E-2</v>
      </c>
      <c r="G7" s="51">
        <f t="shared" si="4"/>
        <v>3.1846114975320451E-2</v>
      </c>
      <c r="H7" s="52">
        <v>3.1600000000000003E-2</v>
      </c>
      <c r="I7" s="73">
        <f t="shared" si="1"/>
        <v>3.2103169169868329E-2</v>
      </c>
      <c r="J7" s="74"/>
      <c r="K7" s="67">
        <f>H7-1.06%</f>
        <v>2.1000000000000005E-2</v>
      </c>
    </row>
    <row r="8" spans="1:11" ht="23.15" customHeight="1" x14ac:dyDescent="0.4">
      <c r="A8" s="50" t="s">
        <v>57</v>
      </c>
      <c r="B8" s="51">
        <f>((1+$I8)^(B2/365)-1)*365/B2</f>
        <v>3.1007899748336825E-2</v>
      </c>
      <c r="C8" s="51">
        <f t="shared" ref="C8:G8" si="5">((1+$I8)^(C2/365)-1)*365/C2</f>
        <v>3.1017119513989746E-2</v>
      </c>
      <c r="D8" s="51">
        <f t="shared" si="5"/>
        <v>3.103820699217404E-2</v>
      </c>
      <c r="E8" s="51">
        <f t="shared" si="5"/>
        <v>3.1077797552172309E-2</v>
      </c>
      <c r="F8" s="51">
        <f t="shared" si="5"/>
        <v>3.1117455444773193E-2</v>
      </c>
      <c r="G8" s="51">
        <f t="shared" si="5"/>
        <v>3.1236834407789606E-2</v>
      </c>
      <c r="H8" s="52">
        <v>3.1E-2</v>
      </c>
      <c r="I8" s="73">
        <f t="shared" si="1"/>
        <v>3.1484146077251696E-2</v>
      </c>
      <c r="J8" s="74"/>
      <c r="K8" s="67">
        <f>H8-'Daily Data'!H77</f>
        <v>2.1400000000000002E-2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176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880A7-BF72-405C-AB40-BFAB88E5DFC8}">
  <dimension ref="A1:K9"/>
  <sheetViews>
    <sheetView zoomScale="70" zoomScaleNormal="70" workbookViewId="0">
      <selection activeCell="H7" sqref="H7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46151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2.8899999999999999E-2</v>
      </c>
      <c r="C3" s="54">
        <v>2.76E-2</v>
      </c>
      <c r="D3" s="54">
        <v>0.03</v>
      </c>
      <c r="E3" s="54">
        <v>0.04</v>
      </c>
      <c r="F3" s="54">
        <v>4.7800000000000002E-2</v>
      </c>
      <c r="G3" s="54">
        <v>4.2599999999999999E-2</v>
      </c>
      <c r="H3" s="52">
        <v>3.4000000000000002E-2</v>
      </c>
      <c r="I3" s="73">
        <f>(1+H3/365)^365-1</f>
        <v>3.4582968502674616E-2</v>
      </c>
      <c r="J3" s="74"/>
      <c r="K3" s="67">
        <f>H3-'Daily Data'!AR78</f>
        <v>2.5000000000000001E-2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Data'!Z78</f>
        <v>1.1500000000000002E-2</v>
      </c>
    </row>
    <row r="5" spans="1:11" ht="23.15" customHeight="1" x14ac:dyDescent="0.5">
      <c r="A5" s="50" t="s">
        <v>17</v>
      </c>
      <c r="B5" s="55">
        <v>4.07E-2</v>
      </c>
      <c r="C5" s="55">
        <f t="shared" ref="C5:G5" si="2">((1+$I5)^(C2/365)-1)*365/C2</f>
        <v>3.0816899292500168E-2</v>
      </c>
      <c r="D5" s="55">
        <v>5.5100000000000003E-2</v>
      </c>
      <c r="E5" s="55">
        <f t="shared" si="2"/>
        <v>3.087679613673544E-2</v>
      </c>
      <c r="F5" s="55">
        <f t="shared" si="2"/>
        <v>3.0915942913661267E-2</v>
      </c>
      <c r="G5" s="55">
        <f t="shared" si="2"/>
        <v>3.1033780718266069E-2</v>
      </c>
      <c r="H5" s="52">
        <v>3.0800000000000001E-2</v>
      </c>
      <c r="I5" s="73">
        <f t="shared" si="1"/>
        <v>3.127788733589032E-2</v>
      </c>
      <c r="J5" s="74"/>
      <c r="K5" s="67">
        <f>H5-'Daily Data'!BJ78</f>
        <v>2.1100000000000001E-2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3.32E-2</v>
      </c>
      <c r="C7" s="51">
        <f t="shared" ref="C7:G7" si="4">((1+$I7)^(C2/365)-1)*365/C2</f>
        <v>3.1617788734936939E-2</v>
      </c>
      <c r="D7" s="51">
        <v>3.4799999999999998E-2</v>
      </c>
      <c r="E7" s="51">
        <f t="shared" si="4"/>
        <v>3.1680840785172228E-2</v>
      </c>
      <c r="F7" s="51">
        <f t="shared" si="4"/>
        <v>3.172205199932869E-2</v>
      </c>
      <c r="G7" s="51">
        <f t="shared" si="4"/>
        <v>3.1846114975320451E-2</v>
      </c>
      <c r="H7" s="52">
        <v>3.1600000000000003E-2</v>
      </c>
      <c r="I7" s="73">
        <f t="shared" si="1"/>
        <v>3.2103169169868329E-2</v>
      </c>
      <c r="J7" s="74"/>
      <c r="K7" s="67">
        <f>H7-1.06%</f>
        <v>2.1000000000000005E-2</v>
      </c>
    </row>
    <row r="8" spans="1:11" ht="23.15" customHeight="1" x14ac:dyDescent="0.4">
      <c r="A8" s="50" t="s">
        <v>57</v>
      </c>
      <c r="B8" s="51">
        <f>((1+$I8)^(B2/365)-1)*365/B2</f>
        <v>3.320906088040159E-2</v>
      </c>
      <c r="C8" s="51">
        <f t="shared" ref="C8:G8" si="5">((1+$I8)^(C2/365)-1)*365/C2</f>
        <v>3.3219636075024761E-2</v>
      </c>
      <c r="D8" s="51">
        <f t="shared" si="5"/>
        <v>3.3243824812786905E-2</v>
      </c>
      <c r="E8" s="51">
        <f t="shared" si="5"/>
        <v>3.3289242013672393E-2</v>
      </c>
      <c r="F8" s="51">
        <f t="shared" si="5"/>
        <v>3.3334741945595443E-2</v>
      </c>
      <c r="G8" s="51">
        <f t="shared" si="5"/>
        <v>3.3471739824844977E-2</v>
      </c>
      <c r="H8" s="52">
        <v>3.32E-2</v>
      </c>
      <c r="I8" s="73">
        <f t="shared" si="1"/>
        <v>3.3755709228882935E-2</v>
      </c>
      <c r="J8" s="74"/>
      <c r="K8" s="67">
        <f>H8-'Daily Data'!H78</f>
        <v>2.3199999999999998E-2</v>
      </c>
    </row>
    <row r="9" spans="1:11" ht="23.15" customHeight="1" x14ac:dyDescent="0.5">
      <c r="A9" s="50" t="s">
        <v>56</v>
      </c>
      <c r="B9" s="55">
        <f>((1+$H9)^(B2/365)-1)*365/B2</f>
        <v>3.0635189475697006E-2</v>
      </c>
      <c r="C9" s="55">
        <f t="shared" ref="C9:G9" si="6">((1+$H9)^(C2/365)-1)*365/C2</f>
        <v>3.0644188933007483E-2</v>
      </c>
      <c r="D9" s="55">
        <f t="shared" si="6"/>
        <v>3.06647723601375E-2</v>
      </c>
      <c r="E9" s="55">
        <f t="shared" si="6"/>
        <v>3.0703415987420896E-2</v>
      </c>
      <c r="F9" s="55">
        <f t="shared" si="6"/>
        <v>3.0742124546103724E-2</v>
      </c>
      <c r="G9" s="55">
        <f t="shared" si="6"/>
        <v>3.0858641039178882E-2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175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2757C-9E20-4F21-B787-51AC5F13ABDD}">
  <dimension ref="A1:K9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46152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2.8899999999999999E-2</v>
      </c>
      <c r="C3" s="54">
        <v>2.76E-2</v>
      </c>
      <c r="D3" s="54">
        <v>0.03</v>
      </c>
      <c r="E3" s="54">
        <v>0.04</v>
      </c>
      <c r="F3" s="54">
        <v>4.7800000000000002E-2</v>
      </c>
      <c r="G3" s="54">
        <v>4.2599999999999999E-2</v>
      </c>
      <c r="H3" s="52">
        <v>3.4500000000000003E-2</v>
      </c>
      <c r="I3" s="73">
        <f>(1+H3/365)^365-1</f>
        <v>3.5100340771234473E-2</v>
      </c>
      <c r="J3" s="74"/>
      <c r="K3" s="67">
        <f>H3-'Daily Data'!AR79</f>
        <v>2.5300000000000003E-2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Data'!Z79</f>
        <v>1.0900000000000002E-2</v>
      </c>
    </row>
    <row r="5" spans="1:11" ht="23.15" customHeight="1" x14ac:dyDescent="0.5">
      <c r="A5" s="50" t="s">
        <v>17</v>
      </c>
      <c r="B5" s="55">
        <v>4.07E-2</v>
      </c>
      <c r="C5" s="55">
        <f t="shared" ref="C5:G5" si="2">((1+$I5)^(C2/365)-1)*365/C2</f>
        <v>3.1117230159457634E-2</v>
      </c>
      <c r="D5" s="55">
        <v>5.5100000000000003E-2</v>
      </c>
      <c r="E5" s="55">
        <f t="shared" si="2"/>
        <v>3.1178300696434385E-2</v>
      </c>
      <c r="F5" s="55">
        <f t="shared" si="2"/>
        <v>3.1218215395197819E-2</v>
      </c>
      <c r="G5" s="55">
        <f t="shared" si="2"/>
        <v>3.1338368720569248E-2</v>
      </c>
      <c r="H5" s="52">
        <v>3.1099999999999999E-2</v>
      </c>
      <c r="I5" s="73">
        <f t="shared" si="1"/>
        <v>3.1587290874597329E-2</v>
      </c>
      <c r="J5" s="74"/>
      <c r="K5" s="67">
        <f>H5-'Daily Data'!BJ79</f>
        <v>2.0899999999999998E-2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3.7725321103891055E-2</v>
      </c>
      <c r="D6" s="51">
        <v>0.06</v>
      </c>
      <c r="E6" s="51">
        <f t="shared" si="3"/>
        <v>3.7815101107635661E-2</v>
      </c>
      <c r="F6" s="51">
        <f t="shared" si="3"/>
        <v>3.7873806743672578E-2</v>
      </c>
      <c r="G6" s="51">
        <f t="shared" si="3"/>
        <v>3.8050653690731094E-2</v>
      </c>
      <c r="H6" s="52">
        <v>3.7699999999999997E-2</v>
      </c>
      <c r="I6" s="73">
        <f t="shared" si="1"/>
        <v>3.8417638613382321E-2</v>
      </c>
      <c r="J6" s="74"/>
      <c r="K6" s="67">
        <f>H6-2.3%</f>
        <v>1.4699999999999998E-2</v>
      </c>
    </row>
    <row r="7" spans="1:11" ht="23.15" customHeight="1" x14ac:dyDescent="0.4">
      <c r="A7" s="50" t="s">
        <v>47</v>
      </c>
      <c r="B7" s="51">
        <v>3.32E-2</v>
      </c>
      <c r="C7" s="51">
        <f t="shared" ref="C7:G7" si="4">((1+$I7)^(C2/365)-1)*365/C2</f>
        <v>3.1617788734936939E-2</v>
      </c>
      <c r="D7" s="51">
        <v>3.4799999999999998E-2</v>
      </c>
      <c r="E7" s="51">
        <f t="shared" si="4"/>
        <v>3.1680840785172228E-2</v>
      </c>
      <c r="F7" s="51">
        <f t="shared" si="4"/>
        <v>3.172205199932869E-2</v>
      </c>
      <c r="G7" s="51">
        <f t="shared" si="4"/>
        <v>3.1846114975320451E-2</v>
      </c>
      <c r="H7" s="52">
        <v>3.1600000000000003E-2</v>
      </c>
      <c r="I7" s="73">
        <f t="shared" si="1"/>
        <v>3.2103169169868329E-2</v>
      </c>
      <c r="J7" s="74"/>
      <c r="K7" s="67">
        <f>H7-1.06%</f>
        <v>2.1000000000000005E-2</v>
      </c>
    </row>
    <row r="8" spans="1:11" ht="23.15" customHeight="1" x14ac:dyDescent="0.4">
      <c r="A8" s="50" t="s">
        <v>57</v>
      </c>
      <c r="B8" s="51">
        <f>((1+$I8)^(B2/365)-1)*365/B2</f>
        <v>3.3509225383722141E-2</v>
      </c>
      <c r="C8" s="51">
        <f t="shared" ref="C8:G8" si="5">((1+$I8)^(C2/365)-1)*365/C2</f>
        <v>3.3519992612899605E-2</v>
      </c>
      <c r="D8" s="51">
        <f t="shared" si="5"/>
        <v>3.3544620748271248E-2</v>
      </c>
      <c r="E8" s="51">
        <f t="shared" si="5"/>
        <v>3.3590863552975504E-2</v>
      </c>
      <c r="F8" s="51">
        <f t="shared" si="5"/>
        <v>3.3637191354794753E-2</v>
      </c>
      <c r="G8" s="51">
        <f t="shared" si="5"/>
        <v>3.3776686502467984E-2</v>
      </c>
      <c r="H8" s="52">
        <v>3.3500000000000002E-2</v>
      </c>
      <c r="I8" s="73">
        <f t="shared" si="1"/>
        <v>3.4065854123153105E-2</v>
      </c>
      <c r="J8" s="74"/>
      <c r="K8" s="67">
        <f>H8-'Daily Data'!H79</f>
        <v>2.3300000000000001E-2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174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88B82-8AEB-4A99-9D29-2FB9B67D884B}">
  <dimension ref="A1:K9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46153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2.8899999999999999E-2</v>
      </c>
      <c r="C3" s="54">
        <v>2.76E-2</v>
      </c>
      <c r="D3" s="54">
        <v>0.03</v>
      </c>
      <c r="E3" s="54">
        <v>0.04</v>
      </c>
      <c r="F3" s="54">
        <v>4.7800000000000002E-2</v>
      </c>
      <c r="G3" s="54">
        <v>4.2599999999999999E-2</v>
      </c>
      <c r="H3" s="52">
        <v>3.6900000000000002E-2</v>
      </c>
      <c r="I3" s="73">
        <f>(1+H3/365)^365-1</f>
        <v>3.7587321525166306E-2</v>
      </c>
      <c r="J3" s="74"/>
      <c r="K3" s="67">
        <f>H3-'Daily Data'!AR80</f>
        <v>2.5800000000000003E-2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'11.05.2026'!H4-'Daily Data'!Z80</f>
        <v>1.0900000000000002E-2</v>
      </c>
    </row>
    <row r="5" spans="1:11" ht="23.15" customHeight="1" x14ac:dyDescent="0.5">
      <c r="A5" s="50" t="s">
        <v>17</v>
      </c>
      <c r="B5" s="55">
        <v>4.07E-2</v>
      </c>
      <c r="C5" s="55">
        <f t="shared" ref="C5:G5" si="2">((1+$I5)^(C2/365)-1)*365/C2</f>
        <v>3.3920472988498589E-2</v>
      </c>
      <c r="D5" s="55">
        <v>5.5100000000000003E-2</v>
      </c>
      <c r="E5" s="55">
        <f t="shared" si="2"/>
        <v>3.3993048356382727E-2</v>
      </c>
      <c r="F5" s="55">
        <f t="shared" si="2"/>
        <v>3.4040491647770316E-2</v>
      </c>
      <c r="G5" s="55">
        <f t="shared" si="2"/>
        <v>3.4183351862080429E-2</v>
      </c>
      <c r="H5" s="52">
        <v>3.39E-2</v>
      </c>
      <c r="I5" s="73">
        <f t="shared" si="1"/>
        <v>3.4479524999688094E-2</v>
      </c>
      <c r="J5" s="74"/>
      <c r="K5" s="67">
        <f>H5-'Daily Data'!BJ80</f>
        <v>2.2800000000000001E-2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3.32E-2</v>
      </c>
      <c r="C7" s="51">
        <f t="shared" ref="C7:G7" si="4">((1+$I7)^(C2/365)-1)*365/C2</f>
        <v>3.1617788734936939E-2</v>
      </c>
      <c r="D7" s="51">
        <v>3.4799999999999998E-2</v>
      </c>
      <c r="E7" s="51">
        <f t="shared" si="4"/>
        <v>3.1680840785172228E-2</v>
      </c>
      <c r="F7" s="51">
        <f t="shared" si="4"/>
        <v>3.172205199932869E-2</v>
      </c>
      <c r="G7" s="51">
        <f t="shared" si="4"/>
        <v>3.1846114975320451E-2</v>
      </c>
      <c r="H7" s="52">
        <v>3.1600000000000003E-2</v>
      </c>
      <c r="I7" s="73">
        <f t="shared" si="1"/>
        <v>3.2103169169868329E-2</v>
      </c>
      <c r="J7" s="74"/>
      <c r="K7" s="67">
        <f>H7-1.06%</f>
        <v>2.1000000000000005E-2</v>
      </c>
    </row>
    <row r="8" spans="1:11" ht="23.15" customHeight="1" x14ac:dyDescent="0.4">
      <c r="A8" s="50" t="s">
        <v>57</v>
      </c>
      <c r="B8" s="51">
        <f>((1+$I8)^(B2/365)-1)*365/B2</f>
        <v>3.3509225383722141E-2</v>
      </c>
      <c r="C8" s="51">
        <f t="shared" ref="C8:G8" si="5">((1+$I8)^(C2/365)-1)*365/C2</f>
        <v>3.3519992612899605E-2</v>
      </c>
      <c r="D8" s="51">
        <f t="shared" si="5"/>
        <v>3.3544620748271248E-2</v>
      </c>
      <c r="E8" s="51">
        <f t="shared" si="5"/>
        <v>3.3590863552975504E-2</v>
      </c>
      <c r="F8" s="51">
        <f t="shared" si="5"/>
        <v>3.3637191354794753E-2</v>
      </c>
      <c r="G8" s="51">
        <f t="shared" si="5"/>
        <v>3.3776686502467984E-2</v>
      </c>
      <c r="H8" s="52">
        <v>3.3500000000000002E-2</v>
      </c>
      <c r="I8" s="73">
        <f t="shared" si="1"/>
        <v>3.4065854123153105E-2</v>
      </c>
      <c r="J8" s="74"/>
      <c r="K8" s="67">
        <f>H8-'Daily Data'!H80</f>
        <v>2.3300000000000001E-2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173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D966B-F40F-4576-98E1-42700F331F18}">
  <dimension ref="A1:K9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46154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2.5999999999999999E-2</v>
      </c>
      <c r="C3" s="54">
        <v>3.1E-2</v>
      </c>
      <c r="D3" s="54">
        <v>0.04</v>
      </c>
      <c r="E3" s="54">
        <v>4.1500000000000002E-2</v>
      </c>
      <c r="F3" s="54">
        <v>4.1000000000000002E-2</v>
      </c>
      <c r="G3" s="54">
        <v>4.2599999999999999E-2</v>
      </c>
      <c r="H3" s="52">
        <v>3.61E-2</v>
      </c>
      <c r="I3" s="73">
        <f>(1+H3/365)^365-1</f>
        <v>3.6757666539783518E-2</v>
      </c>
      <c r="J3" s="74"/>
      <c r="K3" s="67">
        <f>H3-'Daily Data'!AR81</f>
        <v>2.58E-2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Data'!Z81</f>
        <v>1.0900000000000002E-2</v>
      </c>
    </row>
    <row r="5" spans="1:11" ht="23.15" customHeight="1" x14ac:dyDescent="0.5">
      <c r="A5" s="50" t="s">
        <v>17</v>
      </c>
      <c r="B5" s="55">
        <v>4.0399999999999998E-2</v>
      </c>
      <c r="C5" s="55">
        <f t="shared" ref="C5:G5" si="2">((1+$I5)^(C2/365)-1)*365/C2</f>
        <v>3.3219636075024761E-2</v>
      </c>
      <c r="D5" s="55">
        <v>5.5100000000000003E-2</v>
      </c>
      <c r="E5" s="55">
        <f t="shared" si="2"/>
        <v>3.3289242013672393E-2</v>
      </c>
      <c r="F5" s="55">
        <f t="shared" si="2"/>
        <v>3.3334741945595443E-2</v>
      </c>
      <c r="G5" s="55">
        <f t="shared" si="2"/>
        <v>3.3471739824844977E-2</v>
      </c>
      <c r="H5" s="52">
        <v>3.32E-2</v>
      </c>
      <c r="I5" s="73">
        <f t="shared" si="1"/>
        <v>3.3755709228882935E-2</v>
      </c>
      <c r="J5" s="74"/>
      <c r="K5" s="67">
        <f>H5-'Daily Data'!BJ81</f>
        <v>2.1999999999999999E-2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'12.05.2026'!H6-2.3%</f>
        <v>1.0700000000000001E-2</v>
      </c>
    </row>
    <row r="7" spans="1:11" ht="23.15" customHeight="1" x14ac:dyDescent="0.4">
      <c r="A7" s="50" t="s">
        <v>47</v>
      </c>
      <c r="B7" s="51">
        <v>3.2199999999999999E-2</v>
      </c>
      <c r="C7" s="51">
        <f t="shared" ref="C7:G7" si="4">((1+$I7)^(C2/365)-1)*365/C2</f>
        <v>3.0616680497176203E-2</v>
      </c>
      <c r="D7" s="51">
        <v>3.3700000000000001E-2</v>
      </c>
      <c r="E7" s="51">
        <f t="shared" si="4"/>
        <v>3.0675801218832937E-2</v>
      </c>
      <c r="F7" s="51">
        <f t="shared" si="4"/>
        <v>3.071444020872649E-2</v>
      </c>
      <c r="G7" s="51">
        <f t="shared" si="4"/>
        <v>3.0830746942096931E-2</v>
      </c>
      <c r="H7" s="52">
        <v>3.0599999999999999E-2</v>
      </c>
      <c r="I7" s="73">
        <f t="shared" si="1"/>
        <v>3.1071669725747597E-2</v>
      </c>
      <c r="J7" s="74"/>
      <c r="K7" s="67">
        <f>H7-1.06%</f>
        <v>1.9999999999999997E-2</v>
      </c>
    </row>
    <row r="8" spans="1:11" ht="23.15" customHeight="1" x14ac:dyDescent="0.4">
      <c r="A8" s="50" t="s">
        <v>57</v>
      </c>
      <c r="B8" s="51">
        <f>((1+$I8)^(B2/365)-1)*365/B2</f>
        <v>3.320906088040159E-2</v>
      </c>
      <c r="C8" s="51">
        <f t="shared" ref="C8:G8" si="5">((1+$I8)^(C2/365)-1)*365/C2</f>
        <v>3.3219636075024761E-2</v>
      </c>
      <c r="D8" s="51">
        <f t="shared" si="5"/>
        <v>3.3243824812786905E-2</v>
      </c>
      <c r="E8" s="51">
        <f t="shared" si="5"/>
        <v>3.3289242013672393E-2</v>
      </c>
      <c r="F8" s="51">
        <f t="shared" si="5"/>
        <v>3.3334741945595443E-2</v>
      </c>
      <c r="G8" s="51">
        <f t="shared" si="5"/>
        <v>3.3471739824844977E-2</v>
      </c>
      <c r="H8" s="52">
        <v>3.32E-2</v>
      </c>
      <c r="I8" s="73">
        <f t="shared" si="1"/>
        <v>3.3755709228882935E-2</v>
      </c>
      <c r="J8" s="74"/>
      <c r="K8" s="67">
        <f>H8-'Daily Data'!H81</f>
        <v>2.1400000000000002E-2</v>
      </c>
    </row>
    <row r="9" spans="1:11" ht="23.15" customHeight="1" x14ac:dyDescent="0.5">
      <c r="A9" s="50" t="s">
        <v>56</v>
      </c>
      <c r="B9" s="55">
        <f>((1+$I9)^(B2/365)-1)*365/B2</f>
        <v>4.1914432432310952E-2</v>
      </c>
      <c r="C9" s="55">
        <f t="shared" ref="C9:G9" si="6">((1+$I9)^(C2/365)-1)*365/C2</f>
        <v>4.1931278648089418E-2</v>
      </c>
      <c r="D9" s="55">
        <f t="shared" si="6"/>
        <v>4.1969818193079732E-2</v>
      </c>
      <c r="E9" s="55">
        <f t="shared" si="6"/>
        <v>4.2042207191949066E-2</v>
      </c>
      <c r="F9" s="55">
        <f t="shared" si="6"/>
        <v>4.2114762664961662E-2</v>
      </c>
      <c r="G9" s="55">
        <f t="shared" si="6"/>
        <v>4.2333432241796282E-2</v>
      </c>
      <c r="H9" s="52">
        <v>4.19E-2</v>
      </c>
      <c r="I9" s="73">
        <f t="shared" si="1"/>
        <v>4.2787686858843488E-2</v>
      </c>
      <c r="J9" s="74"/>
      <c r="K9" s="68"/>
    </row>
  </sheetData>
  <conditionalFormatting sqref="A1:J9">
    <cfRule type="expression" dxfId="172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1243F-B5F4-4BE0-B5EE-B3D199C0E724}">
  <dimension ref="A1:K9"/>
  <sheetViews>
    <sheetView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46155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2.5499999999999998E-2</v>
      </c>
      <c r="C3" s="54">
        <v>2.75E-2</v>
      </c>
      <c r="D3" s="54">
        <v>2.9000000000000001E-2</v>
      </c>
      <c r="E3" s="54">
        <v>3.95E-2</v>
      </c>
      <c r="F3" s="54">
        <v>4.1000000000000002E-2</v>
      </c>
      <c r="G3" s="54">
        <v>4.2599999999999999E-2</v>
      </c>
      <c r="H3" s="52">
        <v>3.73E-2</v>
      </c>
      <c r="I3" s="73">
        <f>(1+H3/365)^365-1</f>
        <v>3.8002397273573685E-2</v>
      </c>
      <c r="J3" s="74"/>
      <c r="K3" s="67">
        <f>H3-'Daily Data'!AR82</f>
        <v>2.7200000000000002E-2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Data'!Z82</f>
        <v>1.0800000000000001E-2</v>
      </c>
    </row>
    <row r="5" spans="1:11" ht="23.15" customHeight="1" x14ac:dyDescent="0.5">
      <c r="A5" s="50" t="s">
        <v>17</v>
      </c>
      <c r="B5" s="55">
        <v>4.1399999999999999E-2</v>
      </c>
      <c r="C5" s="55">
        <f t="shared" ref="C5:G5" si="2">((1+$I5)^(C2/365)-1)*365/C2</f>
        <v>3.442108148072958E-2</v>
      </c>
      <c r="D5" s="55">
        <v>4.9599999999999998E-2</v>
      </c>
      <c r="E5" s="55">
        <f t="shared" si="2"/>
        <v>3.449581592722497E-2</v>
      </c>
      <c r="F5" s="55">
        <f t="shared" si="2"/>
        <v>3.4544672327758312E-2</v>
      </c>
      <c r="G5" s="55">
        <f t="shared" si="2"/>
        <v>3.4691795745238868E-2</v>
      </c>
      <c r="H5" s="52">
        <v>3.44E-2</v>
      </c>
      <c r="I5" s="73">
        <f t="shared" si="1"/>
        <v>3.4996845680234534E-2</v>
      </c>
      <c r="J5" s="74"/>
      <c r="K5" s="67">
        <f>H5-'Daily Data'!BJ82</f>
        <v>2.2699999999999998E-2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H6-1.5%</f>
        <v>1.8700000000000001E-2</v>
      </c>
    </row>
    <row r="7" spans="1:11" ht="23.15" customHeight="1" x14ac:dyDescent="0.4">
      <c r="A7" s="50" t="s">
        <v>47</v>
      </c>
      <c r="B7" s="51">
        <v>3.2800000000000003E-2</v>
      </c>
      <c r="C7" s="51">
        <f t="shared" ref="C7:G7" si="4">((1+$I7)^(C2/365)-1)*365/C2</f>
        <v>3.121734116151758E-2</v>
      </c>
      <c r="D7" s="51">
        <v>3.4299999999999997E-2</v>
      </c>
      <c r="E7" s="51">
        <f t="shared" si="4"/>
        <v>3.1278805465217829E-2</v>
      </c>
      <c r="F7" s="51">
        <f t="shared" si="4"/>
        <v>3.1318977802404467E-2</v>
      </c>
      <c r="G7" s="51">
        <f t="shared" si="4"/>
        <v>3.1439908012476682E-2</v>
      </c>
      <c r="H7" s="52">
        <v>3.1199999999999999E-2</v>
      </c>
      <c r="I7" s="73">
        <f t="shared" si="1"/>
        <v>3.1690445957877067E-2</v>
      </c>
      <c r="J7" s="74"/>
      <c r="K7" s="67">
        <f>H7-1.06%</f>
        <v>2.06E-2</v>
      </c>
    </row>
    <row r="8" spans="1:11" ht="23.15" customHeight="1" x14ac:dyDescent="0.4">
      <c r="A8" s="50" t="s">
        <v>57</v>
      </c>
      <c r="B8" s="51">
        <f>((1+$I8)^(B2/365)-1)*365/B2</f>
        <v>3.4209614980849228E-2</v>
      </c>
      <c r="C8" s="51">
        <f t="shared" ref="C8:G8" si="5">((1+$I8)^(C2/365)-1)*365/C2</f>
        <v>3.4220837014135107E-2</v>
      </c>
      <c r="D8" s="51">
        <f t="shared" si="5"/>
        <v>3.4246505811097595E-2</v>
      </c>
      <c r="E8" s="51">
        <f t="shared" si="5"/>
        <v>3.4294704023164348E-2</v>
      </c>
      <c r="F8" s="51">
        <f t="shared" si="5"/>
        <v>3.4342992680180727E-2</v>
      </c>
      <c r="G8" s="51">
        <f t="shared" si="5"/>
        <v>3.4488403232455951E-2</v>
      </c>
      <c r="H8" s="52">
        <v>3.4200000000000001E-2</v>
      </c>
      <c r="I8" s="73">
        <f t="shared" si="1"/>
        <v>3.4789886456186414E-2</v>
      </c>
      <c r="J8" s="74"/>
      <c r="K8" s="67">
        <f>H8-'Daily Data'!H82</f>
        <v>2.1700000000000001E-2</v>
      </c>
    </row>
    <row r="9" spans="1:11" ht="23.15" customHeight="1" x14ac:dyDescent="0.5">
      <c r="A9" s="50" t="s">
        <v>56</v>
      </c>
      <c r="B9" s="55">
        <f>((1+$I9)^(B2/365)-1)*365/B2</f>
        <v>4.2815059161980883E-2</v>
      </c>
      <c r="C9" s="55">
        <f t="shared" ref="C9:G9" si="6">((1+$I9)^(C2/365)-1)*365/C2</f>
        <v>4.2832637114085803E-2</v>
      </c>
      <c r="D9" s="55">
        <f t="shared" si="6"/>
        <v>4.287285143257006E-2</v>
      </c>
      <c r="E9" s="55">
        <f t="shared" si="6"/>
        <v>4.2948389023937085E-2</v>
      </c>
      <c r="F9" s="55">
        <f t="shared" si="6"/>
        <v>4.3024104068013491E-2</v>
      </c>
      <c r="G9" s="55">
        <f t="shared" si="6"/>
        <v>4.3252318612913926E-2</v>
      </c>
      <c r="H9" s="52">
        <v>4.2799999999999998E-2</v>
      </c>
      <c r="I9" s="73">
        <f t="shared" si="1"/>
        <v>4.3726509254560675E-2</v>
      </c>
      <c r="J9" s="74"/>
      <c r="K9" s="68"/>
    </row>
  </sheetData>
  <conditionalFormatting sqref="A1:J9">
    <cfRule type="expression" dxfId="171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AEEAE-C199-40A3-A457-875D909AD397}">
  <dimension ref="A1:K9"/>
  <sheetViews>
    <sheetView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46156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2.5000000000000001E-2</v>
      </c>
      <c r="C3" s="54">
        <v>2.75E-2</v>
      </c>
      <c r="D3" s="54">
        <v>2.8500000000000001E-2</v>
      </c>
      <c r="E3" s="54">
        <v>4.1500000000000002E-2</v>
      </c>
      <c r="F3" s="54">
        <v>4.7500000000000001E-2</v>
      </c>
      <c r="G3" s="54">
        <v>4.2599999999999999E-2</v>
      </c>
      <c r="H3" s="52">
        <v>3.6999999999999998E-2</v>
      </c>
      <c r="I3" s="73">
        <f>(1+H3/365)^365-1</f>
        <v>3.7691074941686109E-2</v>
      </c>
      <c r="J3" s="74"/>
      <c r="K3" s="67">
        <f>H3-'Daily Data'!AR83</f>
        <v>2.7400000000000001E-2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Data'!Z83</f>
        <v>1.0800000000000001E-2</v>
      </c>
    </row>
    <row r="5" spans="1:11" ht="23.15" customHeight="1" x14ac:dyDescent="0.5">
      <c r="A5" s="50" t="s">
        <v>17</v>
      </c>
      <c r="B5" s="55">
        <v>4.1000000000000002E-2</v>
      </c>
      <c r="C5" s="55">
        <f t="shared" ref="C5:G5" si="2">((1+$I5)^(C2/365)-1)*365/C2</f>
        <v>3.4120715315691226E-2</v>
      </c>
      <c r="D5" s="55">
        <v>4.9099999999999998E-2</v>
      </c>
      <c r="E5" s="55">
        <f t="shared" si="2"/>
        <v>3.4194150509021019E-2</v>
      </c>
      <c r="F5" s="55">
        <f t="shared" si="2"/>
        <v>3.4242156544242203E-2</v>
      </c>
      <c r="G5" s="55">
        <f t="shared" si="2"/>
        <v>3.4386714456067322E-2</v>
      </c>
      <c r="H5" s="52">
        <v>3.4099999999999998E-2</v>
      </c>
      <c r="I5" s="73">
        <f t="shared" si="1"/>
        <v>3.4686422321102972E-2</v>
      </c>
      <c r="J5" s="74"/>
      <c r="K5" s="67">
        <f>H5-'Daily Data'!BJ83</f>
        <v>2.2499999999999999E-2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H6-1.5%</f>
        <v>1.8700000000000001E-2</v>
      </c>
    </row>
    <row r="7" spans="1:11" ht="23.15" customHeight="1" x14ac:dyDescent="0.4">
      <c r="A7" s="50" t="s">
        <v>47</v>
      </c>
      <c r="B7" s="51">
        <v>3.49E-2</v>
      </c>
      <c r="C7" s="51">
        <f t="shared" ref="C7:G7" si="4">((1+$I7)^(C2/365)-1)*365/C2</f>
        <v>3.3219636075024761E-2</v>
      </c>
      <c r="D7" s="51">
        <v>3.6600000000000001E-2</v>
      </c>
      <c r="E7" s="51">
        <f t="shared" si="4"/>
        <v>3.3289242013672393E-2</v>
      </c>
      <c r="F7" s="51">
        <f t="shared" si="4"/>
        <v>3.3334741945595443E-2</v>
      </c>
      <c r="G7" s="51">
        <f t="shared" si="4"/>
        <v>3.3471739824844977E-2</v>
      </c>
      <c r="H7" s="52">
        <v>3.32E-2</v>
      </c>
      <c r="I7" s="73">
        <f t="shared" si="1"/>
        <v>3.3755709228882935E-2</v>
      </c>
      <c r="J7" s="74"/>
      <c r="K7" s="67">
        <f>H7-1.06%</f>
        <v>2.2600000000000002E-2</v>
      </c>
    </row>
    <row r="8" spans="1:11" ht="23.15" customHeight="1" x14ac:dyDescent="0.4">
      <c r="A8" s="50" t="s">
        <v>57</v>
      </c>
      <c r="B8" s="51">
        <f>((1+$I8)^(B2/365)-1)*365/B2</f>
        <v>3.3609280547048134E-2</v>
      </c>
      <c r="C8" s="51">
        <f t="shared" ref="C8:G8" si="5">((1+$I8)^(C2/365)-1)*365/C2</f>
        <v>3.3620112171935869E-2</v>
      </c>
      <c r="D8" s="51">
        <f t="shared" si="5"/>
        <v>3.3644887653183776E-2</v>
      </c>
      <c r="E8" s="51">
        <f t="shared" si="5"/>
        <v>3.3691407316138212E-2</v>
      </c>
      <c r="F8" s="51">
        <f t="shared" si="5"/>
        <v>3.3738012740671279E-2</v>
      </c>
      <c r="G8" s="51">
        <f t="shared" si="5"/>
        <v>3.3878345364413684E-2</v>
      </c>
      <c r="H8" s="52">
        <v>3.3599999999999998E-2</v>
      </c>
      <c r="I8" s="73">
        <f t="shared" si="1"/>
        <v>3.4169256374043444E-2</v>
      </c>
      <c r="J8" s="74"/>
      <c r="K8" s="67">
        <f>H8-'Daily Data'!H83</f>
        <v>2.1499999999999998E-2</v>
      </c>
    </row>
    <row r="9" spans="1:11" ht="23.15" customHeight="1" x14ac:dyDescent="0.5">
      <c r="A9" s="50" t="s">
        <v>56</v>
      </c>
      <c r="B9" s="55">
        <f>((1+$I9)^(B2/365)-1)*365/B2</f>
        <v>3.7211375959605046E-2</v>
      </c>
      <c r="C9" s="55">
        <f t="shared" ref="C9:G9" si="6">((1+$I9)^(C2/365)-1)*365/C2</f>
        <v>3.7224653775365733E-2</v>
      </c>
      <c r="D9" s="55">
        <f t="shared" si="6"/>
        <v>3.7255026795251799E-2</v>
      </c>
      <c r="E9" s="55">
        <f t="shared" si="6"/>
        <v>3.7312065302985954E-2</v>
      </c>
      <c r="F9" s="55">
        <f t="shared" si="6"/>
        <v>3.7369220247494755E-2</v>
      </c>
      <c r="G9" s="55">
        <f t="shared" si="6"/>
        <v>3.7541386378962212E-2</v>
      </c>
      <c r="H9" s="52">
        <v>3.7199999999999997E-2</v>
      </c>
      <c r="I9" s="73">
        <f t="shared" si="1"/>
        <v>3.7898612814819987E-2</v>
      </c>
      <c r="J9" s="74"/>
      <c r="K9" s="68"/>
    </row>
  </sheetData>
  <conditionalFormatting sqref="A1:J9">
    <cfRule type="expression" dxfId="170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DB68E-1E8A-4CCA-8789-465577234C5F}">
  <dimension ref="A1:K9"/>
  <sheetViews>
    <sheetView workbookViewId="0">
      <selection activeCell="D34" sqref="D3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46157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2.5000000000000001E-2</v>
      </c>
      <c r="C3" s="54">
        <v>2.6800000000000001E-2</v>
      </c>
      <c r="D3" s="54">
        <v>0.03</v>
      </c>
      <c r="E3" s="54">
        <v>4.1500000000000002E-2</v>
      </c>
      <c r="F3" s="54">
        <v>0.05</v>
      </c>
      <c r="G3" s="54">
        <v>4.7500000000000001E-2</v>
      </c>
      <c r="H3" s="52">
        <v>3.5799999999999998E-2</v>
      </c>
      <c r="I3" s="73">
        <f>(1+H3/365)^365-1</f>
        <v>3.6446716511065569E-2</v>
      </c>
      <c r="J3" s="74"/>
      <c r="K3" s="67">
        <f>H3-'Daily Data'!AR84</f>
        <v>2.4899999999999999E-2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Data'!Z84</f>
        <v>1.0400000000000001E-2</v>
      </c>
    </row>
    <row r="5" spans="1:11" ht="23.15" customHeight="1" x14ac:dyDescent="0.5">
      <c r="A5" s="50" t="s">
        <v>17</v>
      </c>
      <c r="B5" s="55">
        <v>4.1599999999999998E-2</v>
      </c>
      <c r="C5" s="55">
        <f t="shared" ref="C5:G5" si="2">((1+$I5)^(C2/365)-1)*365/C2</f>
        <v>3.4721450854841733E-2</v>
      </c>
      <c r="D5" s="55">
        <v>4.99E-2</v>
      </c>
      <c r="E5" s="55">
        <f t="shared" si="2"/>
        <v>3.4797495973070948E-2</v>
      </c>
      <c r="F5" s="55">
        <f t="shared" si="2"/>
        <v>3.4847210239193682E-2</v>
      </c>
      <c r="G5" s="55">
        <f t="shared" si="2"/>
        <v>3.4996921918003271E-2</v>
      </c>
      <c r="H5" s="52">
        <v>3.4700000000000002E-2</v>
      </c>
      <c r="I5" s="73">
        <f t="shared" si="1"/>
        <v>3.5307361916328883E-2</v>
      </c>
      <c r="J5" s="74"/>
      <c r="K5" s="67">
        <f>H5-'Daily Data'!BJ84</f>
        <v>2.2700000000000001E-2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3.39E-2</v>
      </c>
      <c r="C7" s="51">
        <f t="shared" ref="C7:G7" si="4">((1+$I7)^(C2/365)-1)*365/C2</f>
        <v>3.2318585715067308E-2</v>
      </c>
      <c r="D7" s="51">
        <v>3.5499999999999997E-2</v>
      </c>
      <c r="E7" s="51">
        <f t="shared" si="4"/>
        <v>3.2384465142249297E-2</v>
      </c>
      <c r="F7" s="51">
        <f t="shared" si="4"/>
        <v>3.2427526440872788E-2</v>
      </c>
      <c r="G7" s="51">
        <f t="shared" si="4"/>
        <v>3.255716890990918E-2</v>
      </c>
      <c r="H7" s="52">
        <v>3.2300000000000002E-2</v>
      </c>
      <c r="I7" s="73">
        <f t="shared" si="1"/>
        <v>3.2825831032744723E-2</v>
      </c>
      <c r="J7" s="74"/>
      <c r="K7" s="67">
        <f>H7-1.06%</f>
        <v>2.1700000000000004E-2</v>
      </c>
    </row>
    <row r="8" spans="1:11" ht="23.15" customHeight="1" x14ac:dyDescent="0.4">
      <c r="A8" s="50" t="s">
        <v>57</v>
      </c>
      <c r="B8" s="51">
        <f>((1+$I8)^(B2/365)-1)*365/B2</f>
        <v>3.2308576251097731E-2</v>
      </c>
      <c r="C8" s="51">
        <f t="shared" ref="C8:G8" si="5">((1+$I8)^(C2/365)-1)*365/C2</f>
        <v>3.2318585715067308E-2</v>
      </c>
      <c r="D8" s="51">
        <f t="shared" si="5"/>
        <v>3.2341480019105272E-2</v>
      </c>
      <c r="E8" s="51">
        <f t="shared" si="5"/>
        <v>3.2384465142249297E-2</v>
      </c>
      <c r="F8" s="51">
        <f t="shared" si="5"/>
        <v>3.2427526440872788E-2</v>
      </c>
      <c r="G8" s="51">
        <f t="shared" si="5"/>
        <v>3.255716890990918E-2</v>
      </c>
      <c r="H8" s="52">
        <v>3.2300000000000002E-2</v>
      </c>
      <c r="I8" s="73">
        <f t="shared" si="1"/>
        <v>3.2825831032744723E-2</v>
      </c>
      <c r="J8" s="74"/>
      <c r="K8" s="67">
        <f>H8-1.06%</f>
        <v>2.1700000000000004E-2</v>
      </c>
    </row>
    <row r="9" spans="1:11" ht="23.15" customHeight="1" x14ac:dyDescent="0.5">
      <c r="A9" s="50" t="s">
        <v>56</v>
      </c>
      <c r="B9" s="55">
        <f>((1+$I9)^(B2/365)-1)*365/B2</f>
        <v>3.4509784417989478E-2</v>
      </c>
      <c r="C9" s="55">
        <f t="shared" ref="C9:G9" si="6">((1+$I9)^(C2/365)-1)*365/C2</f>
        <v>3.4521204248868585E-2</v>
      </c>
      <c r="D9" s="55">
        <f t="shared" si="6"/>
        <v>3.4547325644198969E-2</v>
      </c>
      <c r="E9" s="55">
        <f t="shared" si="6"/>
        <v>3.4596374317178734E-2</v>
      </c>
      <c r="F9" s="55">
        <f t="shared" si="6"/>
        <v>3.4645515839499125E-2</v>
      </c>
      <c r="G9" s="55">
        <f t="shared" si="6"/>
        <v>3.479349948210321E-2</v>
      </c>
      <c r="H9" s="52">
        <v>3.4500000000000003E-2</v>
      </c>
      <c r="I9" s="73">
        <f t="shared" si="1"/>
        <v>3.5100340771234473E-2</v>
      </c>
      <c r="J9" s="74"/>
      <c r="K9" s="68"/>
    </row>
  </sheetData>
  <conditionalFormatting sqref="A1:J9">
    <cfRule type="expression" dxfId="169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918FB-FFA9-4212-83BA-1FE4F8ABF171}">
  <dimension ref="A1:K9"/>
  <sheetViews>
    <sheetView topLeftCell="C1" workbookViewId="0">
      <selection activeCell="K9" sqref="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46158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2.5000000000000001E-2</v>
      </c>
      <c r="C3" s="54">
        <v>2.8199999999999999E-2</v>
      </c>
      <c r="D3" s="54">
        <v>3.0200000000000001E-2</v>
      </c>
      <c r="E3" s="54">
        <v>4.1500000000000002E-2</v>
      </c>
      <c r="F3" s="54">
        <v>0.05</v>
      </c>
      <c r="G3" s="54">
        <v>4.7500000000000001E-2</v>
      </c>
      <c r="H3" s="52">
        <v>3.5999999999999997E-2</v>
      </c>
      <c r="I3" s="73">
        <f>(1+H3/365)^365-1</f>
        <v>3.6654006194406952E-2</v>
      </c>
      <c r="J3" s="74"/>
      <c r="K3" s="67">
        <f>H3-'Daily Data'!AR85</f>
        <v>2.7199999999999995E-2</v>
      </c>
    </row>
    <row r="4" spans="1:11" ht="23.15" customHeight="1" x14ac:dyDescent="0.5">
      <c r="A4" s="50" t="s">
        <v>15</v>
      </c>
      <c r="B4" s="55">
        <f>((1+ $I4)^(B2/365)-1)*365/B2</f>
        <v>2.5005137572765568E-2</v>
      </c>
      <c r="C4" s="55">
        <f t="shared" ref="C4:G4" si="0">((1+ 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Data'!Z89</f>
        <v>1.2000000000000002E-2</v>
      </c>
    </row>
    <row r="5" spans="1:11" ht="23.15" customHeight="1" x14ac:dyDescent="0.5">
      <c r="A5" s="50" t="s">
        <v>17</v>
      </c>
      <c r="B5" s="55">
        <v>4.1599999999999998E-2</v>
      </c>
      <c r="C5" s="55">
        <f>((1+I5)^(C2/365)-1)*365/C2</f>
        <v>3.2618932626085458E-2</v>
      </c>
      <c r="D5" s="55">
        <v>4.99E-2</v>
      </c>
      <c r="E5" s="55">
        <f>((1+I5)^(E2/365)-1)*365/E2</f>
        <v>3.2686042808954284E-2</v>
      </c>
      <c r="F5" s="55">
        <f t="shared" ref="F5:G5" si="2">((1+J5)^(F2/365)-1)*365/F2</f>
        <v>0</v>
      </c>
      <c r="G5" s="55">
        <f t="shared" si="2"/>
        <v>2.1087297787769743E-2</v>
      </c>
      <c r="H5" s="52">
        <v>3.2599999999999997E-2</v>
      </c>
      <c r="I5" s="73">
        <f t="shared" si="1"/>
        <v>3.3135697711292433E-2</v>
      </c>
      <c r="J5" s="74"/>
      <c r="K5" s="67">
        <f>H5-'Daily Data'!BJ85</f>
        <v>2.1199999999999997E-2</v>
      </c>
    </row>
    <row r="6" spans="1:11" ht="23.15" customHeight="1" x14ac:dyDescent="0.4">
      <c r="A6" s="50" t="s">
        <v>55</v>
      </c>
      <c r="B6" s="51">
        <v>3.7499999999999999E-2</v>
      </c>
      <c r="C6" s="51">
        <f>((1+I6)^(C2/365)-1)*365/C2</f>
        <v>3.3720232087598924E-2</v>
      </c>
      <c r="D6" s="51">
        <v>0.06</v>
      </c>
      <c r="E6" s="51">
        <f>((1+I6)^(E2/365)-1)*365/E2</f>
        <v>3.3791952704462558E-2</v>
      </c>
      <c r="F6" s="51">
        <f t="shared" ref="F6:G6" si="3">((1+J6)^(F2/365)-1)*365/F2</f>
        <v>0</v>
      </c>
      <c r="G6" s="51">
        <f t="shared" si="3"/>
        <v>1.0671140309914364E-2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3.3599999999999998E-2</v>
      </c>
      <c r="C7" s="51">
        <f>((1+I7)^(C2/365)-1)*365/C2</f>
        <v>3.2018242012937716E-2</v>
      </c>
      <c r="D7" s="51">
        <v>3.5200000000000002E-2</v>
      </c>
      <c r="E7" s="51">
        <f>((1+$I7)^(E2/365)-1)*365/E2</f>
        <v>3.2082902098360046E-2</v>
      </c>
      <c r="F7" s="51">
        <f t="shared" ref="F7:G7" si="4">((1+$I7)^(F2/365)-1)*365/F2</f>
        <v>3.2125165508335836E-2</v>
      </c>
      <c r="G7" s="51">
        <f t="shared" si="4"/>
        <v>3.2252401622451465E-2</v>
      </c>
      <c r="H7" s="52">
        <v>3.2000000000000001E-2</v>
      </c>
      <c r="I7" s="73">
        <f t="shared" si="1"/>
        <v>3.2516057037460744E-2</v>
      </c>
      <c r="J7" s="74"/>
      <c r="K7" s="67">
        <f>H7-1.3%</f>
        <v>1.9E-2</v>
      </c>
    </row>
    <row r="8" spans="1:11" ht="23.15" customHeight="1" x14ac:dyDescent="0.4">
      <c r="A8" s="50" t="s">
        <v>57</v>
      </c>
      <c r="B8" s="51">
        <f>((1+$I8)^(B2/365)-1)*365/B2</f>
        <v>3.2308576251097731E-2</v>
      </c>
      <c r="C8" s="51">
        <f t="shared" ref="C8:G8" si="5">((1+$I8)^(C2/365)-1)*365/C2</f>
        <v>3.2318585715067308E-2</v>
      </c>
      <c r="D8" s="51">
        <f t="shared" si="5"/>
        <v>3.2341480019105272E-2</v>
      </c>
      <c r="E8" s="51">
        <f t="shared" si="5"/>
        <v>3.2384465142249297E-2</v>
      </c>
      <c r="F8" s="51">
        <f t="shared" si="5"/>
        <v>3.2427526440872788E-2</v>
      </c>
      <c r="G8" s="51">
        <f t="shared" si="5"/>
        <v>3.255716890990918E-2</v>
      </c>
      <c r="H8" s="52">
        <v>3.2300000000000002E-2</v>
      </c>
      <c r="I8" s="73">
        <f t="shared" si="1"/>
        <v>3.2825831032744723E-2</v>
      </c>
      <c r="J8" s="74"/>
      <c r="K8" s="67">
        <f>H8-'Daily Data'!H85</f>
        <v>2.23E-2</v>
      </c>
    </row>
    <row r="9" spans="1:11" ht="23.15" customHeight="1" x14ac:dyDescent="0.5">
      <c r="A9" s="50" t="s">
        <v>56</v>
      </c>
      <c r="B9" s="55">
        <f>((1+$I9)^(B2/365)-1)*365/B2</f>
        <v>4.0913751691330012E-2</v>
      </c>
      <c r="C9" s="55">
        <f t="shared" ref="C9:G9" si="6">((1+$I9)^(C2/365)-1)*365/C2</f>
        <v>4.0929803123583457E-2</v>
      </c>
      <c r="D9" s="55">
        <f t="shared" si="6"/>
        <v>4.0966523649155873E-2</v>
      </c>
      <c r="E9" s="55">
        <f t="shared" si="6"/>
        <v>4.1035493076274597E-2</v>
      </c>
      <c r="F9" s="55">
        <f t="shared" si="6"/>
        <v>4.1104617321895423E-2</v>
      </c>
      <c r="G9" s="55">
        <f t="shared" si="6"/>
        <v>4.1312922884725982E-2</v>
      </c>
      <c r="H9" s="52">
        <v>4.0899999999999999E-2</v>
      </c>
      <c r="I9" s="73">
        <f t="shared" si="1"/>
        <v>4.1745538538283444E-2</v>
      </c>
      <c r="J9" s="74"/>
      <c r="K9" s="68"/>
    </row>
  </sheetData>
  <conditionalFormatting sqref="A1:J9">
    <cfRule type="expression" dxfId="168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C5F3E-EB0C-4CDB-BA8A-3D1278AF132B}">
  <dimension ref="A1:K9"/>
  <sheetViews>
    <sheetView topLeftCell="C1" workbookViewId="0">
      <selection activeCell="K9" sqref="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46159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0.04</v>
      </c>
      <c r="C3" s="54">
        <v>3.15E-2</v>
      </c>
      <c r="D3" s="54">
        <v>3.2500000000000001E-2</v>
      </c>
      <c r="E3" s="54">
        <v>4.1500000000000002E-2</v>
      </c>
      <c r="F3" s="54">
        <v>0.05</v>
      </c>
      <c r="G3" s="54">
        <v>4.7500000000000001E-2</v>
      </c>
      <c r="H3" s="52">
        <v>3.6499999999999998E-2</v>
      </c>
      <c r="I3" s="73">
        <f>(1+H3/365)^365-1</f>
        <v>3.7172411302539565E-2</v>
      </c>
      <c r="J3" s="74"/>
      <c r="K3" s="67">
        <f>H3-'Daily Data'!AR86</f>
        <v>2.7899999999999998E-2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Data'!Z86</f>
        <v>1.1100000000000002E-2</v>
      </c>
    </row>
    <row r="5" spans="1:11" ht="23.15" customHeight="1" x14ac:dyDescent="0.5">
      <c r="A5" s="50" t="s">
        <v>17</v>
      </c>
      <c r="B5" s="55">
        <v>4.1000000000000002E-2</v>
      </c>
      <c r="C5" s="55">
        <f t="shared" ref="C5:G5" si="2">((1+$I5)^(C2/365)-1)*365/C2</f>
        <v>3.1617788734936939E-2</v>
      </c>
      <c r="D5" s="55">
        <v>4.9099999999999998E-2</v>
      </c>
      <c r="E5" s="55">
        <f t="shared" si="2"/>
        <v>3.1680840785172228E-2</v>
      </c>
      <c r="F5" s="55">
        <f t="shared" si="2"/>
        <v>3.172205199932869E-2</v>
      </c>
      <c r="G5" s="55">
        <f t="shared" si="2"/>
        <v>3.1846114975320451E-2</v>
      </c>
      <c r="H5" s="52">
        <v>3.1600000000000003E-2</v>
      </c>
      <c r="I5" s="73">
        <f t="shared" si="1"/>
        <v>3.2103169169868329E-2</v>
      </c>
      <c r="J5" s="74"/>
      <c r="K5" s="67">
        <f>H5-'Daily Data'!BJ86</f>
        <v>2.0500000000000004E-2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3.3700000000000001E-2</v>
      </c>
      <c r="C7" s="51">
        <f t="shared" ref="C7:G7" si="4">((1+$I7)^(C2/365)-1)*365/C2</f>
        <v>3.2118356223753065E-2</v>
      </c>
      <c r="D7" s="51">
        <v>3.5299999999999998E-2</v>
      </c>
      <c r="E7" s="51">
        <f t="shared" si="4"/>
        <v>3.2183421488258611E-2</v>
      </c>
      <c r="F7" s="51">
        <f t="shared" si="4"/>
        <v>3.2225950028510517E-2</v>
      </c>
      <c r="G7" s="51">
        <f t="shared" si="4"/>
        <v>3.2353985736690669E-2</v>
      </c>
      <c r="H7" s="52">
        <v>3.2099999999999997E-2</v>
      </c>
      <c r="I7" s="73">
        <f t="shared" si="1"/>
        <v>3.2619304739437416E-2</v>
      </c>
      <c r="J7" s="74"/>
      <c r="K7" s="67">
        <f>H7-1.06%</f>
        <v>2.1499999999999998E-2</v>
      </c>
    </row>
    <row r="8" spans="1:11" ht="23.15" customHeight="1" x14ac:dyDescent="0.4">
      <c r="A8" s="50" t="s">
        <v>57</v>
      </c>
      <c r="B8" s="51">
        <f>((1+$I8)^(B2/365)-1)*365/B2</f>
        <v>3.2308576251097731E-2</v>
      </c>
      <c r="C8" s="51">
        <f t="shared" ref="C8:G8" si="5">((1+$I8)^(C2/365)-1)*365/C2</f>
        <v>3.2318585715067308E-2</v>
      </c>
      <c r="D8" s="51">
        <f t="shared" si="5"/>
        <v>3.2341480019105272E-2</v>
      </c>
      <c r="E8" s="51">
        <f t="shared" si="5"/>
        <v>3.2384465142249297E-2</v>
      </c>
      <c r="F8" s="51">
        <f t="shared" si="5"/>
        <v>3.2427526440872788E-2</v>
      </c>
      <c r="G8" s="51">
        <f t="shared" si="5"/>
        <v>3.255716890990918E-2</v>
      </c>
      <c r="H8" s="52">
        <v>3.2300000000000002E-2</v>
      </c>
      <c r="I8" s="73">
        <f t="shared" si="1"/>
        <v>3.2825831032744723E-2</v>
      </c>
      <c r="J8" s="74"/>
      <c r="K8" s="67">
        <f>H8-'Daily Data'!H86</f>
        <v>2.2600000000000002E-2</v>
      </c>
    </row>
    <row r="9" spans="1:11" ht="23.15" customHeight="1" x14ac:dyDescent="0.5">
      <c r="A9" s="50" t="s">
        <v>56</v>
      </c>
      <c r="B9" s="55">
        <f>((1+$I9)^(B2/365)-1)*365/B2</f>
        <v>3.3509225383722141E-2</v>
      </c>
      <c r="C9" s="55">
        <f t="shared" ref="C9:G9" si="6">((1+$I9)^(C2/365)-1)*365/C2</f>
        <v>3.3519992612899605E-2</v>
      </c>
      <c r="D9" s="55">
        <f t="shared" si="6"/>
        <v>3.3544620748271248E-2</v>
      </c>
      <c r="E9" s="55">
        <f t="shared" si="6"/>
        <v>3.3590863552975504E-2</v>
      </c>
      <c r="F9" s="55">
        <f t="shared" si="6"/>
        <v>3.3637191354794753E-2</v>
      </c>
      <c r="G9" s="55">
        <f t="shared" si="6"/>
        <v>3.3776686502467984E-2</v>
      </c>
      <c r="H9" s="52">
        <v>3.3500000000000002E-2</v>
      </c>
      <c r="I9" s="73">
        <f t="shared" si="1"/>
        <v>3.4065854123153105E-2</v>
      </c>
      <c r="J9" s="74"/>
      <c r="K9" s="68"/>
    </row>
  </sheetData>
  <conditionalFormatting sqref="A1:J9">
    <cfRule type="expression" dxfId="167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CDAD0-0812-415D-93E3-C1FEB5BC5A59}">
  <dimension ref="A1:K9"/>
  <sheetViews>
    <sheetView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46160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0.04</v>
      </c>
      <c r="C3" s="54">
        <v>3.2500000000000001E-2</v>
      </c>
      <c r="D3" s="54">
        <v>3.5000000000000003E-2</v>
      </c>
      <c r="E3" s="54">
        <v>4.1500000000000002E-2</v>
      </c>
      <c r="F3" s="54">
        <v>0.05</v>
      </c>
      <c r="G3" s="54">
        <v>4.7500000000000001E-2</v>
      </c>
      <c r="H3" s="52">
        <v>3.4200000000000001E-2</v>
      </c>
      <c r="I3" s="73">
        <f>(1+H3/365)^365-1</f>
        <v>3.4789886456186414E-2</v>
      </c>
      <c r="J3" s="74"/>
      <c r="K3" s="67">
        <f>'18.05.2026'!H3-'Daily Data'!AR87</f>
        <v>2.5300000000000003E-2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Data'!Z87</f>
        <v>1.1000000000000001E-2</v>
      </c>
    </row>
    <row r="5" spans="1:11" ht="23.15" customHeight="1" x14ac:dyDescent="0.5">
      <c r="A5" s="50" t="s">
        <v>17</v>
      </c>
      <c r="B5" s="55">
        <v>4.1000000000000002E-2</v>
      </c>
      <c r="C5" s="55">
        <f t="shared" ref="C5:G5" si="2">((1+$I5)^(C2/365)-1)*365/C2</f>
        <v>3.0416463127971544E-2</v>
      </c>
      <c r="D5" s="55">
        <v>4.9099999999999998E-2</v>
      </c>
      <c r="E5" s="55">
        <f t="shared" si="2"/>
        <v>3.0474812798236512E-2</v>
      </c>
      <c r="F5" s="55">
        <f t="shared" si="2"/>
        <v>3.0512947329474491E-2</v>
      </c>
      <c r="G5" s="55">
        <f t="shared" si="2"/>
        <v>3.0627733077317729E-2</v>
      </c>
      <c r="H5" s="52">
        <v>3.04E-2</v>
      </c>
      <c r="I5" s="73">
        <f t="shared" si="1"/>
        <v>3.0865493238620978E-2</v>
      </c>
      <c r="J5" s="74"/>
      <c r="K5" s="67">
        <f>H5-'Daily Data'!BJ87</f>
        <v>2.0799999999999999E-2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3.3700000000000001E-2</v>
      </c>
      <c r="C7" s="51">
        <f t="shared" ref="C7:G7" si="4">((1+$I7)^(C2/365)-1)*365/C2</f>
        <v>3.2118356223753065E-2</v>
      </c>
      <c r="D7" s="51">
        <v>3.5299999999999998E-2</v>
      </c>
      <c r="E7" s="51">
        <f t="shared" si="4"/>
        <v>3.2183421488258611E-2</v>
      </c>
      <c r="F7" s="51">
        <f t="shared" si="4"/>
        <v>3.2225950028510517E-2</v>
      </c>
      <c r="G7" s="51">
        <f t="shared" si="4"/>
        <v>3.2353985736690669E-2</v>
      </c>
      <c r="H7" s="52">
        <v>3.2099999999999997E-2</v>
      </c>
      <c r="I7" s="73">
        <f t="shared" si="1"/>
        <v>3.2619304739437416E-2</v>
      </c>
      <c r="J7" s="74"/>
      <c r="K7" s="67">
        <f>H7-1.06%</f>
        <v>2.1499999999999998E-2</v>
      </c>
    </row>
    <row r="8" spans="1:11" ht="23.15" customHeight="1" x14ac:dyDescent="0.4">
      <c r="A8" s="50" t="s">
        <v>57</v>
      </c>
      <c r="B8" s="51">
        <f>((1+$I8)^(B2/365)-1)*365/B2</f>
        <v>3.2308576251097731E-2</v>
      </c>
      <c r="C8" s="51">
        <f t="shared" ref="C8:G8" si="5">((1+$I8)^(C2/365)-1)*365/C2</f>
        <v>3.2318585715067308E-2</v>
      </c>
      <c r="D8" s="51">
        <f t="shared" si="5"/>
        <v>3.2341480019105272E-2</v>
      </c>
      <c r="E8" s="51">
        <f t="shared" si="5"/>
        <v>3.2384465142249297E-2</v>
      </c>
      <c r="F8" s="51">
        <f t="shared" si="5"/>
        <v>3.2427526440872788E-2</v>
      </c>
      <c r="G8" s="51">
        <f t="shared" si="5"/>
        <v>3.255716890990918E-2</v>
      </c>
      <c r="H8" s="52">
        <v>3.2300000000000002E-2</v>
      </c>
      <c r="I8" s="73">
        <f t="shared" si="1"/>
        <v>3.2825831032744723E-2</v>
      </c>
      <c r="J8" s="74"/>
      <c r="K8" s="67">
        <f>H8-'Daily Data'!H87</f>
        <v>2.2400000000000003E-2</v>
      </c>
    </row>
    <row r="9" spans="1:11" ht="23.15" customHeight="1" x14ac:dyDescent="0.5">
      <c r="A9" s="50" t="s">
        <v>56</v>
      </c>
      <c r="B9" s="55">
        <f>((1+$I9)^(B2/365)-1)*365/B2</f>
        <v>3.5210185527416567E-2</v>
      </c>
      <c r="C9" s="55">
        <f t="shared" ref="C9:G9" si="6">((1+$I9)^(C2/365)-1)*365/C2</f>
        <v>3.5222073609817203E-2</v>
      </c>
      <c r="D9" s="55">
        <f t="shared" si="6"/>
        <v>3.5249266470243436E-2</v>
      </c>
      <c r="E9" s="55">
        <f t="shared" si="6"/>
        <v>3.5300328557368831E-2</v>
      </c>
      <c r="F9" s="55">
        <f t="shared" si="6"/>
        <v>3.5351489269211729E-2</v>
      </c>
      <c r="G9" s="55">
        <f t="shared" si="6"/>
        <v>3.5505565298553574E-2</v>
      </c>
      <c r="H9" s="52">
        <v>3.5200000000000002E-2</v>
      </c>
      <c r="I9" s="73">
        <f t="shared" si="1"/>
        <v>3.582509544513357E-2</v>
      </c>
      <c r="J9" s="74"/>
      <c r="K9" s="68"/>
    </row>
  </sheetData>
  <conditionalFormatting sqref="A1:J9">
    <cfRule type="expression" dxfId="166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B4A0B-4394-40A3-A6A1-1A40387CFBB3}">
  <dimension ref="A1:K9"/>
  <sheetViews>
    <sheetView zoomScale="70" zoomScaleNormal="70" workbookViewId="0">
      <selection activeCell="K6" sqref="K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46161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0.04</v>
      </c>
      <c r="C3" s="54">
        <v>0.04</v>
      </c>
      <c r="D3" s="54">
        <v>3.5000000000000003E-2</v>
      </c>
      <c r="E3" s="54">
        <v>0.04</v>
      </c>
      <c r="F3" s="54">
        <v>0.05</v>
      </c>
      <c r="G3" s="54">
        <v>0.05</v>
      </c>
      <c r="H3" s="52">
        <v>3.5499999999999997E-2</v>
      </c>
      <c r="I3" s="73">
        <f>(1+H3/365)^365-1</f>
        <v>3.6135859488784616E-2</v>
      </c>
      <c r="J3" s="74"/>
      <c r="K3" s="67">
        <f>H3-'Daily Data'!AR88</f>
        <v>2.5499999999999995E-2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Data'!Z88</f>
        <v>1.1000000000000001E-2</v>
      </c>
    </row>
    <row r="5" spans="1:11" ht="23.15" customHeight="1" x14ac:dyDescent="0.5">
      <c r="A5" s="50" t="s">
        <v>17</v>
      </c>
      <c r="B5" s="55">
        <v>3.2899999999999999E-2</v>
      </c>
      <c r="C5" s="55">
        <f>((1+I5)^(C2/365)-1)*365/C2</f>
        <v>3.2618932626085458E-2</v>
      </c>
      <c r="D5" s="55">
        <v>4.7399999999999998E-2</v>
      </c>
      <c r="E5" s="55">
        <f>((1+$I5)^(E2/365)-1)*365/E2</f>
        <v>3.2686042808954284E-2</v>
      </c>
      <c r="F5" s="55">
        <f t="shared" ref="F5:G5" si="2">((1+$I5)^(F2/365)-1)*365/F2</f>
        <v>3.2729909490182445E-2</v>
      </c>
      <c r="G5" s="55">
        <f t="shared" si="2"/>
        <v>3.286198103507449E-2</v>
      </c>
      <c r="H5" s="52">
        <v>3.2599999999999997E-2</v>
      </c>
      <c r="I5" s="73">
        <f t="shared" si="1"/>
        <v>3.3135697711292433E-2</v>
      </c>
      <c r="J5" s="74"/>
      <c r="K5" s="67">
        <f>H5-'Daily Data'!BJ88</f>
        <v>2.1799999999999996E-2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3.3700000000000001E-2</v>
      </c>
      <c r="C7" s="51">
        <f t="shared" ref="C7:G7" si="4">((1+$I7)^(C2/365)-1)*365/C2</f>
        <v>3.2118356223753065E-2</v>
      </c>
      <c r="D7" s="51">
        <v>3.5299999999999998E-2</v>
      </c>
      <c r="E7" s="51">
        <f t="shared" si="4"/>
        <v>3.2183421488258611E-2</v>
      </c>
      <c r="F7" s="51">
        <f t="shared" si="4"/>
        <v>3.2225950028510517E-2</v>
      </c>
      <c r="G7" s="51">
        <f t="shared" si="4"/>
        <v>3.2353985736690669E-2</v>
      </c>
      <c r="H7" s="52">
        <v>3.2099999999999997E-2</v>
      </c>
      <c r="I7" s="73">
        <f t="shared" si="1"/>
        <v>3.2619304739437416E-2</v>
      </c>
      <c r="J7" s="74"/>
      <c r="K7" s="67">
        <f>H7-1.06%</f>
        <v>2.1499999999999998E-2</v>
      </c>
    </row>
    <row r="8" spans="1:11" ht="23.15" customHeight="1" x14ac:dyDescent="0.4">
      <c r="A8" s="50" t="s">
        <v>57</v>
      </c>
      <c r="B8" s="51">
        <f>((1+$I8)^(B2/365)-1)*365/B2</f>
        <v>3.3008952033828365E-2</v>
      </c>
      <c r="C8" s="51">
        <f t="shared" ref="C8:G8" si="5">((1+$I8)^(C2/365)-1)*365/C2</f>
        <v>3.3019400165881306E-2</v>
      </c>
      <c r="D8" s="51">
        <f t="shared" si="5"/>
        <v>3.3043298171878198E-2</v>
      </c>
      <c r="E8" s="51">
        <f t="shared" si="5"/>
        <v>3.3088169112457676E-2</v>
      </c>
      <c r="F8" s="51">
        <f t="shared" si="5"/>
        <v>3.3133121295987555E-2</v>
      </c>
      <c r="G8" s="51">
        <f t="shared" si="5"/>
        <v>3.3268466960937645E-2</v>
      </c>
      <c r="H8" s="52">
        <v>3.3000000000000002E-2</v>
      </c>
      <c r="I8" s="73">
        <f t="shared" si="1"/>
        <v>3.3548997504548206E-2</v>
      </c>
      <c r="J8" s="74"/>
      <c r="K8" s="67">
        <f>H8-'Daily Data'!H88</f>
        <v>2.2000000000000002E-2</v>
      </c>
    </row>
    <row r="9" spans="1:11" ht="23.15" customHeight="1" x14ac:dyDescent="0.5">
      <c r="A9" s="50" t="s">
        <v>56</v>
      </c>
      <c r="B9" s="55">
        <f>((1+$I9)^(B2/365)-1)*365/B2</f>
        <v>3.4509784417989478E-2</v>
      </c>
      <c r="C9" s="55">
        <f t="shared" ref="C9:G9" si="6">((1+$I9)^(C2/365)-1)*365/C2</f>
        <v>3.4521204248868585E-2</v>
      </c>
      <c r="D9" s="55">
        <f t="shared" si="6"/>
        <v>3.4547325644198969E-2</v>
      </c>
      <c r="E9" s="55">
        <f t="shared" si="6"/>
        <v>3.4596374317178734E-2</v>
      </c>
      <c r="F9" s="55">
        <f t="shared" si="6"/>
        <v>3.4645515839499125E-2</v>
      </c>
      <c r="G9" s="55">
        <f t="shared" si="6"/>
        <v>3.479349948210321E-2</v>
      </c>
      <c r="H9" s="52">
        <v>3.4500000000000003E-2</v>
      </c>
      <c r="I9" s="73">
        <f t="shared" si="1"/>
        <v>3.5100340771234473E-2</v>
      </c>
      <c r="J9" s="74"/>
      <c r="K9" s="68"/>
    </row>
  </sheetData>
  <conditionalFormatting sqref="A1:J9">
    <cfRule type="expression" dxfId="165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6C45-DF38-4D03-AB47-7E2F5FA3D817}">
  <dimension ref="A1:K9"/>
  <sheetViews>
    <sheetView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46162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4.2099999999999999E-2</v>
      </c>
      <c r="C3" s="54">
        <v>3.4200000000000001E-2</v>
      </c>
      <c r="D3" s="54">
        <v>3.5000000000000003E-2</v>
      </c>
      <c r="E3" s="54">
        <v>0.04</v>
      </c>
      <c r="F3" s="54">
        <v>4.9500000000000002E-2</v>
      </c>
      <c r="G3" s="54">
        <v>0.05</v>
      </c>
      <c r="H3" s="52">
        <v>3.6600000000000001E-2</v>
      </c>
      <c r="I3" s="73">
        <f>(1+H3/365)^365-1</f>
        <v>3.727612334382413E-2</v>
      </c>
      <c r="J3" s="74"/>
      <c r="K3" s="67">
        <f>H3-'Daily Data'!AR89</f>
        <v>2.5100000000000001E-2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Data'!Z89</f>
        <v>1.2000000000000002E-2</v>
      </c>
    </row>
    <row r="5" spans="1:11" ht="23.15" customHeight="1" x14ac:dyDescent="0.5">
      <c r="A5" s="50" t="s">
        <v>17</v>
      </c>
      <c r="B5" s="55">
        <v>3.2899999999999999E-2</v>
      </c>
      <c r="C5" s="55">
        <f t="shared" ref="C5:G5" si="2">((1+$I5)^(C2/365)-1)*365/C2</f>
        <v>3.2919282746055836E-2</v>
      </c>
      <c r="D5" s="55">
        <v>4.7399999999999998E-2</v>
      </c>
      <c r="E5" s="55">
        <f t="shared" si="2"/>
        <v>3.2987635099189561E-2</v>
      </c>
      <c r="F5" s="55">
        <f t="shared" si="2"/>
        <v>3.3032314657883019E-2</v>
      </c>
      <c r="G5" s="55">
        <f t="shared" si="2"/>
        <v>3.3166838004525655E-2</v>
      </c>
      <c r="H5" s="52">
        <v>3.2899999999999999E-2</v>
      </c>
      <c r="I5" s="73">
        <f t="shared" si="1"/>
        <v>3.3445657100777071E-2</v>
      </c>
      <c r="J5" s="74"/>
      <c r="K5" s="67">
        <f>H5-'Daily Data'!BJ89</f>
        <v>2.18E-2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3.3700000000000001E-2</v>
      </c>
      <c r="C7" s="51">
        <f t="shared" ref="C7:G7" si="4">((1+$I7)^(C2/365)-1)*365/C2</f>
        <v>3.2118356223753065E-2</v>
      </c>
      <c r="D7" s="51">
        <v>3.5299999999999998E-2</v>
      </c>
      <c r="E7" s="51">
        <f t="shared" si="4"/>
        <v>3.2183421488258611E-2</v>
      </c>
      <c r="F7" s="51">
        <f t="shared" si="4"/>
        <v>3.2225950028510517E-2</v>
      </c>
      <c r="G7" s="51">
        <f t="shared" si="4"/>
        <v>3.2353985736690669E-2</v>
      </c>
      <c r="H7" s="52">
        <v>3.2099999999999997E-2</v>
      </c>
      <c r="I7" s="73">
        <f t="shared" si="1"/>
        <v>3.2619304739437416E-2</v>
      </c>
      <c r="J7" s="74"/>
      <c r="K7" s="67">
        <f>H7-1.06%</f>
        <v>2.1499999999999998E-2</v>
      </c>
    </row>
    <row r="8" spans="1:11" ht="23.15" customHeight="1" x14ac:dyDescent="0.4">
      <c r="A8" s="50" t="s">
        <v>57</v>
      </c>
      <c r="B8" s="51">
        <f>((1+$I8)^(B2/365)-1)*365/B2</f>
        <v>3.320906088040159E-2</v>
      </c>
      <c r="C8" s="51">
        <f t="shared" ref="C8:G8" si="5">((1+$I8)^(C2/365)-1)*365/C2</f>
        <v>3.3219636075024761E-2</v>
      </c>
      <c r="D8" s="51">
        <f t="shared" si="5"/>
        <v>3.3243824812786905E-2</v>
      </c>
      <c r="E8" s="51">
        <f t="shared" si="5"/>
        <v>3.3289242013672393E-2</v>
      </c>
      <c r="F8" s="51">
        <f t="shared" si="5"/>
        <v>3.3334741945595443E-2</v>
      </c>
      <c r="G8" s="51">
        <f t="shared" si="5"/>
        <v>3.3471739824844977E-2</v>
      </c>
      <c r="H8" s="52">
        <v>3.32E-2</v>
      </c>
      <c r="I8" s="73">
        <f t="shared" si="1"/>
        <v>3.3755709228882935E-2</v>
      </c>
      <c r="J8" s="74"/>
      <c r="K8" s="67">
        <f>H8-'Daily Data'!H89</f>
        <v>2.1400000000000002E-2</v>
      </c>
    </row>
    <row r="9" spans="1:11" ht="23.15" customHeight="1" x14ac:dyDescent="0.5">
      <c r="A9" s="50" t="s">
        <v>56</v>
      </c>
      <c r="B9" s="55">
        <f>((1+$I9)^(B2/365)-1)*365/B2</f>
        <v>3.3709335874898071E-2</v>
      </c>
      <c r="C9" s="55">
        <f t="shared" ref="C9:G9" si="6">((1+$I9)^(C2/365)-1)*365/C2</f>
        <v>3.3720232087598924E-2</v>
      </c>
      <c r="D9" s="55">
        <f t="shared" si="6"/>
        <v>3.3745155354740729E-2</v>
      </c>
      <c r="E9" s="55">
        <f t="shared" si="6"/>
        <v>3.3791952704462558E-2</v>
      </c>
      <c r="F9" s="55">
        <f t="shared" si="6"/>
        <v>3.3838836584806672E-2</v>
      </c>
      <c r="G9" s="55">
        <f t="shared" si="6"/>
        <v>3.3980009211555737E-2</v>
      </c>
      <c r="H9" s="52">
        <v>3.3700000000000001E-2</v>
      </c>
      <c r="I9" s="73">
        <f t="shared" si="1"/>
        <v>3.4272668936467188E-2</v>
      </c>
      <c r="J9" s="74"/>
      <c r="K9" s="68"/>
    </row>
  </sheetData>
  <conditionalFormatting sqref="A1:J9">
    <cfRule type="expression" dxfId="164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9304D-33CE-4C33-BA85-BFB19A64C1AD}">
  <dimension ref="A1:K9"/>
  <sheetViews>
    <sheetView zoomScale="70" zoomScaleNormal="70" workbookViewId="0">
      <selection activeCell="F51" sqref="F51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46163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4.2099999999999999E-2</v>
      </c>
      <c r="C3" s="54">
        <v>3.4500000000000003E-2</v>
      </c>
      <c r="D3" s="54">
        <v>3.5000000000000003E-2</v>
      </c>
      <c r="E3" s="54">
        <v>0.04</v>
      </c>
      <c r="F3" s="54">
        <v>4.9500000000000002E-2</v>
      </c>
      <c r="G3" s="54">
        <v>4.7399999999999998E-2</v>
      </c>
      <c r="H3" s="52">
        <v>3.7100000000000001E-2</v>
      </c>
      <c r="I3" s="73">
        <f>(1+H3/365)^365-1</f>
        <v>3.7794838704558797E-2</v>
      </c>
      <c r="J3" s="74"/>
      <c r="K3" s="67">
        <f>H3-'Daily Data'!AR90</f>
        <v>2.4899999999999999E-2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Data'!Z90</f>
        <v>1.1100000000000002E-2</v>
      </c>
    </row>
    <row r="5" spans="1:11" ht="23.15" customHeight="1" x14ac:dyDescent="0.5">
      <c r="A5" s="50" t="s">
        <v>17</v>
      </c>
      <c r="B5" s="55">
        <v>4.1099999999999998E-2</v>
      </c>
      <c r="C5" s="55">
        <f>((1+I5)^(C2/365)-1)*365/C2</f>
        <v>3.4320959069194204E-2</v>
      </c>
      <c r="D5" s="55">
        <v>4.9399999999999999E-2</v>
      </c>
      <c r="E5" s="55">
        <f>((1+$I5)^(E2/365)-1)*365/E2</f>
        <v>3.4395259162604379E-2</v>
      </c>
      <c r="F5" s="55">
        <f t="shared" ref="F5:G5" si="2">((1+$I5)^(F2/365)-1)*365/F2</f>
        <v>3.4443831274714017E-2</v>
      </c>
      <c r="G5" s="55">
        <f t="shared" si="2"/>
        <v>3.459009699547997E-2</v>
      </c>
      <c r="H5" s="52">
        <v>3.4299999999999997E-2</v>
      </c>
      <c r="I5" s="73">
        <f t="shared" si="1"/>
        <v>3.4893360908936799E-2</v>
      </c>
      <c r="J5" s="74"/>
      <c r="K5" s="67">
        <f>H5-'Daily Data'!BJ90</f>
        <v>2.2899999999999997E-2</v>
      </c>
    </row>
    <row r="6" spans="1:11" ht="23.15" customHeight="1" x14ac:dyDescent="0.4">
      <c r="A6" s="50" t="s">
        <v>55</v>
      </c>
      <c r="B6" s="51">
        <v>3.7499999999999999E-2</v>
      </c>
      <c r="C6" s="51">
        <f>((1+$I6)^(C2/365)-1)*365/C2</f>
        <v>3.3720232087598924E-2</v>
      </c>
      <c r="D6" s="51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3.7999999999999999E-2</v>
      </c>
      <c r="C7" s="51">
        <f>((1+I7)^(C2/365)-1)*365/C2</f>
        <v>3.6223345863170948E-2</v>
      </c>
      <c r="D7" s="51">
        <v>3.9800000000000002E-2</v>
      </c>
      <c r="E7" s="51">
        <f>((1+$I7)^(E2/365)-1)*365/E2</f>
        <v>3.6306115642032878E-2</v>
      </c>
      <c r="F7" s="51">
        <f t="shared" ref="F7:G7" si="4">((1+$I7)^(F2/365)-1)*365/F2</f>
        <v>3.6360231771886457E-2</v>
      </c>
      <c r="G7" s="51">
        <f t="shared" si="4"/>
        <v>3.6523226266277575E-2</v>
      </c>
      <c r="H7" s="52">
        <v>3.6200000000000003E-2</v>
      </c>
      <c r="I7" s="73">
        <f t="shared" si="1"/>
        <v>3.6861337222164892E-2</v>
      </c>
      <c r="J7" s="74"/>
      <c r="K7" s="67">
        <f>H7-1.06%</f>
        <v>2.5600000000000005E-2</v>
      </c>
    </row>
    <row r="8" spans="1:11" ht="23.15" customHeight="1" x14ac:dyDescent="0.4">
      <c r="A8" s="50" t="s">
        <v>57</v>
      </c>
      <c r="B8" s="51">
        <f>((1+$I8)^(B2/365)-1)*365/B2</f>
        <v>3.340917038478116E-2</v>
      </c>
      <c r="C8" s="51">
        <f t="shared" ref="C8:G8" si="5">((1+$I8)^(C2/365)-1)*365/C2</f>
        <v>3.3419873410345406E-2</v>
      </c>
      <c r="D8" s="51">
        <f t="shared" si="5"/>
        <v>3.3444354639846442E-2</v>
      </c>
      <c r="E8" s="51">
        <f t="shared" si="5"/>
        <v>3.3490321414801537E-2</v>
      </c>
      <c r="F8" s="51">
        <f t="shared" si="5"/>
        <v>3.3536372426970877E-2</v>
      </c>
      <c r="G8" s="51">
        <f t="shared" si="5"/>
        <v>3.3675032625327374E-2</v>
      </c>
      <c r="H8" s="52">
        <v>3.3399999999999999E-2</v>
      </c>
      <c r="I8" s="73">
        <f t="shared" si="1"/>
        <v>3.3962462182619113E-2</v>
      </c>
      <c r="J8" s="74"/>
      <c r="K8" s="67">
        <f>H8-'Daily Data'!H90</f>
        <v>2.1499999999999998E-2</v>
      </c>
    </row>
    <row r="9" spans="1:11" ht="23.15" customHeight="1" x14ac:dyDescent="0.5">
      <c r="A9" s="50" t="s">
        <v>56</v>
      </c>
      <c r="B9" s="55">
        <f>((1+$I9)^(B2/365)-1)*365/B2</f>
        <v>3.5410301610253284E-2</v>
      </c>
      <c r="C9" s="55">
        <f t="shared" ref="C9:G9" si="6">((1+$I9)^(C2/365)-1)*365/C2</f>
        <v>3.5422325207818642E-2</v>
      </c>
      <c r="D9" s="55">
        <f t="shared" si="6"/>
        <v>3.5449828161880172E-2</v>
      </c>
      <c r="E9" s="55">
        <f t="shared" si="6"/>
        <v>3.5501472969416858E-2</v>
      </c>
      <c r="F9" s="55">
        <f t="shared" si="6"/>
        <v>3.5553218094735967E-2</v>
      </c>
      <c r="G9" s="55">
        <f t="shared" si="6"/>
        <v>3.5709057572161224E-2</v>
      </c>
      <c r="H9" s="52">
        <v>3.5400000000000001E-2</v>
      </c>
      <c r="I9" s="73">
        <f t="shared" si="1"/>
        <v>3.6032261144603783E-2</v>
      </c>
      <c r="J9" s="74"/>
      <c r="K9" s="68"/>
    </row>
  </sheetData>
  <conditionalFormatting sqref="A1:J9">
    <cfRule type="expression" dxfId="163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F308-069A-40C7-BB3D-50A3552189B5}">
  <dimension ref="A1:K9"/>
  <sheetViews>
    <sheetView zoomScale="80" zoomScaleNormal="80" workbookViewId="0">
      <selection activeCell="I3" sqref="I3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46164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0.04</v>
      </c>
      <c r="C3" s="54">
        <v>3.49E-2</v>
      </c>
      <c r="D3" s="54">
        <v>3.5000000000000003E-2</v>
      </c>
      <c r="E3" s="54">
        <v>4.99E-2</v>
      </c>
      <c r="F3" s="54">
        <v>4.9000000000000002E-2</v>
      </c>
      <c r="G3" s="54">
        <v>4.7699999999999999E-2</v>
      </c>
      <c r="H3" s="52">
        <v>3.6999999999999998E-2</v>
      </c>
      <c r="I3" s="73">
        <f>(1+H3/365)^365-1</f>
        <v>3.7691074941686109E-2</v>
      </c>
      <c r="J3" s="74"/>
      <c r="K3" s="67">
        <f>H3-'Daily Data'!AR91</f>
        <v>2.4099999999999996E-2</v>
      </c>
    </row>
    <row r="4" spans="1:11" ht="23.15" customHeight="1" x14ac:dyDescent="0.5">
      <c r="A4" s="50" t="s">
        <v>15</v>
      </c>
      <c r="B4" s="55">
        <f>((1+$I5)^(B2/365)-1)*365/B2</f>
        <v>3.430967129548395E-2</v>
      </c>
      <c r="C4" s="55">
        <f t="shared" ref="C4:G4" si="0">((1+$I5)^(C2/365)-1)*365/C2</f>
        <v>3.4320959069194204E-2</v>
      </c>
      <c r="D4" s="55">
        <f t="shared" si="0"/>
        <v>3.4346778292231983E-2</v>
      </c>
      <c r="E4" s="55">
        <f t="shared" si="0"/>
        <v>3.4395259162604379E-2</v>
      </c>
      <c r="F4" s="55">
        <f t="shared" si="0"/>
        <v>3.4443831274714017E-2</v>
      </c>
      <c r="G4" s="55">
        <f t="shared" si="0"/>
        <v>3.459009699547997E-2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Data'!Z91</f>
        <v>1.1100000000000002E-2</v>
      </c>
    </row>
    <row r="5" spans="1:11" ht="23.15" customHeight="1" x14ac:dyDescent="0.5">
      <c r="A5" s="50" t="s">
        <v>17</v>
      </c>
      <c r="B5" s="55">
        <v>4.1000000000000002E-2</v>
      </c>
      <c r="C5" s="55">
        <f t="shared" ref="C5:G5" si="2">((1+$I5)^(C2/365)-1)*365/C2</f>
        <v>3.4320959069194204E-2</v>
      </c>
      <c r="D5" s="55">
        <v>4.9299999999999997E-2</v>
      </c>
      <c r="E5" s="55">
        <f t="shared" si="2"/>
        <v>3.4395259162604379E-2</v>
      </c>
      <c r="F5" s="55">
        <f t="shared" si="2"/>
        <v>3.4443831274714017E-2</v>
      </c>
      <c r="G5" s="55">
        <f t="shared" si="2"/>
        <v>3.459009699547997E-2</v>
      </c>
      <c r="H5" s="52">
        <v>3.4299999999999997E-2</v>
      </c>
      <c r="I5" s="73">
        <f t="shared" si="1"/>
        <v>3.4893360908936799E-2</v>
      </c>
      <c r="J5" s="74"/>
      <c r="K5" s="67">
        <f>H5-'Daily Data'!BJ91</f>
        <v>2.2699999999999998E-2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3.7900000000000003E-2</v>
      </c>
      <c r="C7" s="51">
        <f t="shared" ref="C7:G7" si="4">((1+$I7)^(C2/365)-1)*365/C2</f>
        <v>3.6123217033267992E-2</v>
      </c>
      <c r="D7" s="51">
        <v>3.9699999999999999E-2</v>
      </c>
      <c r="E7" s="51">
        <f t="shared" si="4"/>
        <v>3.6205529618120479E-2</v>
      </c>
      <c r="F7" s="51">
        <f t="shared" si="4"/>
        <v>3.6259346453876025E-2</v>
      </c>
      <c r="G7" s="51">
        <f t="shared" si="4"/>
        <v>3.6421437712058899E-2</v>
      </c>
      <c r="H7" s="52">
        <v>3.61E-2</v>
      </c>
      <c r="I7" s="73">
        <f t="shared" si="1"/>
        <v>3.6757666539783518E-2</v>
      </c>
      <c r="J7" s="74"/>
      <c r="K7" s="67">
        <f>H7-1.06%</f>
        <v>2.5500000000000002E-2</v>
      </c>
    </row>
    <row r="8" spans="1:11" ht="23.15" customHeight="1" x14ac:dyDescent="0.4">
      <c r="A8" s="50" t="s">
        <v>57</v>
      </c>
      <c r="B8" s="51">
        <f>((1+$I8)^(B2/365)-1)*365/B2</f>
        <v>3.320906088040159E-2</v>
      </c>
      <c r="C8" s="51">
        <f t="shared" ref="C8:G8" si="5">((1+$I8)^(C2/365)-1)*365/C2</f>
        <v>3.3219636075024761E-2</v>
      </c>
      <c r="D8" s="51">
        <f t="shared" si="5"/>
        <v>3.3243824812786905E-2</v>
      </c>
      <c r="E8" s="51">
        <f t="shared" si="5"/>
        <v>3.3289242013672393E-2</v>
      </c>
      <c r="F8" s="51">
        <f t="shared" si="5"/>
        <v>3.3334741945595443E-2</v>
      </c>
      <c r="G8" s="51">
        <f t="shared" si="5"/>
        <v>3.3471739824844977E-2</v>
      </c>
      <c r="H8" s="52">
        <v>3.32E-2</v>
      </c>
      <c r="I8" s="73">
        <f t="shared" si="1"/>
        <v>3.3755709228882935E-2</v>
      </c>
      <c r="J8" s="74"/>
      <c r="K8" s="67">
        <f>H8-'Daily Data'!H91</f>
        <v>2.1400000000000002E-2</v>
      </c>
    </row>
    <row r="9" spans="1:11" ht="23.15" customHeight="1" x14ac:dyDescent="0.5">
      <c r="A9" s="50" t="s">
        <v>56</v>
      </c>
      <c r="B9" s="55">
        <f>((1+$I9)^(B2/365)-1)*365/B2</f>
        <v>3.5110127732749401E-2</v>
      </c>
      <c r="C9" s="55">
        <f t="shared" ref="C9:G9" si="6">((1+$I9)^(C2/365)-1)*365/C2</f>
        <v>3.5121948345736405E-2</v>
      </c>
      <c r="D9" s="55">
        <f t="shared" si="6"/>
        <v>3.5148986819484897E-2</v>
      </c>
      <c r="E9" s="55">
        <f t="shared" si="6"/>
        <v>3.5199758789666746E-2</v>
      </c>
      <c r="F9" s="55">
        <f t="shared" si="6"/>
        <v>3.5250628545236418E-2</v>
      </c>
      <c r="G9" s="55">
        <f t="shared" si="6"/>
        <v>3.5403826645448506E-2</v>
      </c>
      <c r="H9" s="52">
        <v>3.5099999999999999E-2</v>
      </c>
      <c r="I9" s="73">
        <f t="shared" si="1"/>
        <v>3.5721528087785392E-2</v>
      </c>
      <c r="J9" s="74"/>
      <c r="K9" s="68"/>
    </row>
  </sheetData>
  <conditionalFormatting sqref="A1:J9">
    <cfRule type="expression" dxfId="162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DD9CF-1EBA-4737-A0B3-0E492C5A0DD6}">
  <dimension ref="A1:K9"/>
  <sheetViews>
    <sheetView zoomScale="80" zoomScaleNormal="80" workbookViewId="0">
      <selection activeCell="K9" sqref="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46165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0.04</v>
      </c>
      <c r="C3" s="54">
        <v>3.49E-2</v>
      </c>
      <c r="D3" s="54">
        <v>3.5000000000000003E-2</v>
      </c>
      <c r="E3" s="54">
        <v>4.99E-2</v>
      </c>
      <c r="F3" s="54">
        <v>4.9000000000000002E-2</v>
      </c>
      <c r="G3" s="54">
        <v>4.7699999999999999E-2</v>
      </c>
      <c r="H3" s="52">
        <v>3.6999999999999998E-2</v>
      </c>
      <c r="I3" s="73">
        <f>(1+H3/365)^365-1</f>
        <v>3.7691074941686109E-2</v>
      </c>
      <c r="J3" s="74"/>
      <c r="K3" s="67">
        <f>(H3-'Daily Data'!AR92)</f>
        <v>2.5499999999999998E-2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Data'!Z92</f>
        <v>1.1500000000000002E-2</v>
      </c>
    </row>
    <row r="5" spans="1:11" ht="23.15" customHeight="1" x14ac:dyDescent="0.5">
      <c r="A5" s="50" t="s">
        <v>17</v>
      </c>
      <c r="B5" s="55">
        <v>4.1000000000000002E-2</v>
      </c>
      <c r="C5" s="55">
        <f>((1+I5)^(C2/365)-1)*365/C2</f>
        <v>3.3920472988498589E-2</v>
      </c>
      <c r="D5" s="55">
        <v>4.9299999999999997E-2</v>
      </c>
      <c r="E5" s="55">
        <f>((1+$I5)^(E2/365)-1)*365/E2</f>
        <v>3.3993048356382727E-2</v>
      </c>
      <c r="F5" s="55">
        <f t="shared" ref="F5:G5" si="2">((1+$I5)^(F2/365)-1)*365/F2</f>
        <v>3.4040491647770316E-2</v>
      </c>
      <c r="G5" s="55">
        <f t="shared" si="2"/>
        <v>3.4183351862080429E-2</v>
      </c>
      <c r="H5" s="52">
        <v>3.39E-2</v>
      </c>
      <c r="I5" s="73">
        <f t="shared" si="1"/>
        <v>3.4479524999688094E-2</v>
      </c>
      <c r="J5" s="74"/>
      <c r="K5" s="67">
        <f>H5-'Daily Data'!AR92</f>
        <v>2.24E-2</v>
      </c>
    </row>
    <row r="6" spans="1:11" ht="23.15" customHeight="1" x14ac:dyDescent="0.4">
      <c r="A6" s="50" t="s">
        <v>55</v>
      </c>
      <c r="B6" s="51">
        <v>3.7499999999999999E-2</v>
      </c>
      <c r="C6" s="51">
        <f>((1+I6)^(C2/365)-1)*365/C2</f>
        <v>3.3720232087598924E-2</v>
      </c>
      <c r="D6" s="51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3.1699999999999999E-2</v>
      </c>
      <c r="C7" s="51">
        <f>((1+I7)^(C2/365)-1)*365/C2</f>
        <v>3.0216247184851448E-2</v>
      </c>
      <c r="D7" s="51">
        <v>3.32E-2</v>
      </c>
      <c r="E7" s="51">
        <f>((1+$I7)^(E2/365)-1)*365/E2</f>
        <v>3.0273830874697632E-2</v>
      </c>
      <c r="F7" s="51">
        <f t="shared" ref="F7:G7" si="4">((1+$I7)^(F2/365)-1)*365/F2</f>
        <v>3.0311464275388368E-2</v>
      </c>
      <c r="G7" s="51">
        <f t="shared" si="4"/>
        <v>3.0424739121945526E-2</v>
      </c>
      <c r="H7" s="52">
        <v>3.0200000000000001E-2</v>
      </c>
      <c r="I7" s="73">
        <f t="shared" si="1"/>
        <v>3.0659357866290149E-2</v>
      </c>
      <c r="J7" s="74"/>
      <c r="K7" s="67">
        <f>H7-1.06%</f>
        <v>1.9599999999999999E-2</v>
      </c>
    </row>
    <row r="8" spans="1:11" ht="23.15" customHeight="1" x14ac:dyDescent="0.4">
      <c r="A8" s="50" t="s">
        <v>57</v>
      </c>
      <c r="B8" s="51">
        <f>((1+$I8)^(B2/365)-1)*365/B2</f>
        <v>3.3809391367190918E-2</v>
      </c>
      <c r="C8" s="51">
        <f t="shared" ref="C8:G8" si="5">((1+$I8)^(C2/365)-1)*365/C2</f>
        <v>3.382035235981351E-2</v>
      </c>
      <c r="D8" s="51">
        <f t="shared" si="5"/>
        <v>3.3845423852858346E-2</v>
      </c>
      <c r="E8" s="51">
        <f t="shared" si="5"/>
        <v>3.3892499717891801E-2</v>
      </c>
      <c r="F8" s="51">
        <f t="shared" si="5"/>
        <v>3.3939662887175724E-2</v>
      </c>
      <c r="G8" s="51">
        <f t="shared" si="5"/>
        <v>3.4081678044053536E-2</v>
      </c>
      <c r="H8" s="52">
        <v>3.3799999999999997E-2</v>
      </c>
      <c r="I8" s="73">
        <f t="shared" si="1"/>
        <v>3.4376091811363807E-2</v>
      </c>
      <c r="J8" s="74"/>
      <c r="K8" s="67">
        <f>H8-'Daily Data'!H92</f>
        <v>2.2599999999999995E-2</v>
      </c>
    </row>
    <row r="9" spans="1:11" ht="23.15" customHeight="1" x14ac:dyDescent="0.5">
      <c r="A9" s="50" t="s">
        <v>56</v>
      </c>
      <c r="B9" s="55">
        <f>((1+$I9)^(B2/365)-1)*365/B2</f>
        <v>3.5710476968021175E-2</v>
      </c>
      <c r="C9" s="55">
        <f t="shared" ref="C9:G9" si="6">((1+$I9)^(C2/365)-1)*365/C2</f>
        <v>3.5722705279200455E-2</v>
      </c>
      <c r="D9" s="55">
        <f t="shared" si="6"/>
        <v>3.5750676674493942E-2</v>
      </c>
      <c r="E9" s="55">
        <f t="shared" si="6"/>
        <v>3.5803201779262009E-2</v>
      </c>
      <c r="F9" s="55">
        <f t="shared" si="6"/>
        <v>3.5855829777621806E-2</v>
      </c>
      <c r="G9" s="55">
        <f t="shared" si="6"/>
        <v>3.6014333404489757E-2</v>
      </c>
      <c r="H9" s="52">
        <v>3.5700000000000003E-2</v>
      </c>
      <c r="I9" s="73">
        <f t="shared" si="1"/>
        <v>3.6343087170924049E-2</v>
      </c>
      <c r="J9" s="74"/>
      <c r="K9" s="68"/>
    </row>
  </sheetData>
  <conditionalFormatting sqref="A1:J9">
    <cfRule type="expression" dxfId="161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D9838-4A8D-4B71-A6AD-2D5D39E8C515}">
  <dimension ref="A1:K9"/>
  <sheetViews>
    <sheetView zoomScale="80" zoomScaleNormal="80" workbookViewId="0">
      <selection activeCell="K9" sqref="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46166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0.04</v>
      </c>
      <c r="C3" s="54">
        <v>3.49E-2</v>
      </c>
      <c r="D3" s="54">
        <v>3.5000000000000003E-2</v>
      </c>
      <c r="E3" s="54">
        <v>4.99E-2</v>
      </c>
      <c r="F3" s="54">
        <v>4.9000000000000002E-2</v>
      </c>
      <c r="G3" s="54">
        <v>4.7699999999999999E-2</v>
      </c>
      <c r="H3" s="52">
        <v>3.6999999999999998E-2</v>
      </c>
      <c r="I3" s="73">
        <f>(1+H3/365)^365-1</f>
        <v>3.7691074941686109E-2</v>
      </c>
      <c r="J3" s="74"/>
      <c r="K3" s="67">
        <f>H3-'Daily Data'!AR63</f>
        <v>0.03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Data'!Z63</f>
        <v>1.2500000000000001E-2</v>
      </c>
    </row>
    <row r="5" spans="1:11" ht="23.15" customHeight="1" x14ac:dyDescent="0.5">
      <c r="A5" s="50" t="s">
        <v>17</v>
      </c>
      <c r="B5" s="55">
        <v>4.1000000000000002E-2</v>
      </c>
      <c r="C5" s="55">
        <f t="shared" ref="C5:G5" si="2">((1+$I5)^(C2/365)-1)*365/C2</f>
        <v>3.382035235981351E-2</v>
      </c>
      <c r="D5" s="55">
        <v>4.9299999999999997E-2</v>
      </c>
      <c r="E5" s="55">
        <f t="shared" si="2"/>
        <v>3.3892499717891801E-2</v>
      </c>
      <c r="F5" s="55">
        <f t="shared" si="2"/>
        <v>3.3939662887175724E-2</v>
      </c>
      <c r="G5" s="55">
        <f t="shared" si="2"/>
        <v>3.4081678044053536E-2</v>
      </c>
      <c r="H5" s="52">
        <v>3.3799999999999997E-2</v>
      </c>
      <c r="I5" s="73">
        <f t="shared" si="1"/>
        <v>3.4376091811363807E-2</v>
      </c>
      <c r="J5" s="74"/>
      <c r="K5" s="67">
        <f>H5-'Daily Data'!BJ63</f>
        <v>2.6199999999999998E-2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3.2800000000000003E-2</v>
      </c>
      <c r="C7" s="51">
        <f t="shared" ref="C7:G7" si="4">((1+$I7)^(C2/365)-1)*365/C2</f>
        <v>3.121734116151758E-2</v>
      </c>
      <c r="D7" s="51">
        <v>3.4299999999999997E-2</v>
      </c>
      <c r="E7" s="51">
        <f t="shared" si="4"/>
        <v>3.1278805465217829E-2</v>
      </c>
      <c r="F7" s="51">
        <f t="shared" si="4"/>
        <v>3.1318977802404467E-2</v>
      </c>
      <c r="G7" s="51">
        <f t="shared" si="4"/>
        <v>3.1439908012476682E-2</v>
      </c>
      <c r="H7" s="52">
        <v>3.1199999999999999E-2</v>
      </c>
      <c r="I7" s="73">
        <f t="shared" si="1"/>
        <v>3.1690445957877067E-2</v>
      </c>
      <c r="J7" s="74"/>
      <c r="K7" s="67">
        <f>H7-1.36%</f>
        <v>1.7599999999999998E-2</v>
      </c>
    </row>
    <row r="8" spans="1:11" ht="23.15" customHeight="1" x14ac:dyDescent="0.4">
      <c r="A8" s="50" t="s">
        <v>57</v>
      </c>
      <c r="B8" s="51">
        <f>((1+$I8)^(B2/365)-1)*365/B2</f>
        <v>3.4209614980849228E-2</v>
      </c>
      <c r="C8" s="51">
        <f t="shared" ref="C8:G8" si="5">((1+$I8)^(C2/365)-1)*365/C2</f>
        <v>3.4220837014135107E-2</v>
      </c>
      <c r="D8" s="51">
        <f t="shared" si="5"/>
        <v>3.4246505811097595E-2</v>
      </c>
      <c r="E8" s="51">
        <f t="shared" si="5"/>
        <v>3.4294704023164348E-2</v>
      </c>
      <c r="F8" s="51">
        <f t="shared" si="5"/>
        <v>3.4342992680180727E-2</v>
      </c>
      <c r="G8" s="51">
        <f t="shared" si="5"/>
        <v>3.4488403232455951E-2</v>
      </c>
      <c r="H8" s="52">
        <v>3.4200000000000001E-2</v>
      </c>
      <c r="I8" s="73">
        <f t="shared" si="1"/>
        <v>3.4789886456186414E-2</v>
      </c>
      <c r="J8" s="74"/>
      <c r="K8" s="67">
        <f>H8-'Daily Data'!H63</f>
        <v>2.6200000000000001E-2</v>
      </c>
    </row>
    <row r="9" spans="1:11" ht="23.15" customHeight="1" x14ac:dyDescent="0.5">
      <c r="A9" s="50" t="s">
        <v>56</v>
      </c>
      <c r="B9" s="55">
        <f>((1+$I9)^(B2/365)-1)*365/B2</f>
        <v>3.5110127732749401E-2</v>
      </c>
      <c r="C9" s="55">
        <f t="shared" ref="C9:G9" si="6">((1+$I9)^(C2/365)-1)*365/C2</f>
        <v>3.5121948345736405E-2</v>
      </c>
      <c r="D9" s="55">
        <f t="shared" si="6"/>
        <v>3.5148986819484897E-2</v>
      </c>
      <c r="E9" s="55">
        <f t="shared" si="6"/>
        <v>3.5199758789666746E-2</v>
      </c>
      <c r="F9" s="55">
        <f t="shared" si="6"/>
        <v>3.5250628545236418E-2</v>
      </c>
      <c r="G9" s="55">
        <f t="shared" si="6"/>
        <v>3.5403826645448506E-2</v>
      </c>
      <c r="H9" s="52">
        <v>3.5099999999999999E-2</v>
      </c>
      <c r="I9" s="73">
        <f t="shared" si="1"/>
        <v>3.5721528087785392E-2</v>
      </c>
      <c r="J9" s="74"/>
      <c r="K9" s="68"/>
    </row>
  </sheetData>
  <conditionalFormatting sqref="A1:J9">
    <cfRule type="expression" dxfId="160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90A40-AABF-4DEB-8CC4-8A6516F0DAC9}">
  <dimension ref="A1:K9"/>
  <sheetViews>
    <sheetView workbookViewId="0">
      <selection activeCell="H5" sqref="H5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46167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0.04</v>
      </c>
      <c r="C3" s="54">
        <v>3.49E-2</v>
      </c>
      <c r="D3" s="54">
        <v>3.5000000000000003E-2</v>
      </c>
      <c r="E3" s="54">
        <v>4.99E-2</v>
      </c>
      <c r="F3" s="54">
        <v>4.9000000000000002E-2</v>
      </c>
      <c r="G3" s="54">
        <v>4.7699999999999999E-2</v>
      </c>
      <c r="H3" s="52">
        <v>3.6999999999999998E-2</v>
      </c>
      <c r="I3" s="73"/>
      <c r="J3" s="74"/>
      <c r="K3" s="67"/>
    </row>
    <row r="4" spans="1:11" ht="23.15" customHeight="1" x14ac:dyDescent="0.5">
      <c r="A4" s="50" t="s">
        <v>15</v>
      </c>
      <c r="B4" s="55"/>
      <c r="C4" s="55"/>
      <c r="D4" s="55"/>
      <c r="E4" s="55"/>
      <c r="F4" s="55"/>
      <c r="G4" s="55"/>
      <c r="H4" s="52">
        <v>2.5000000000000001E-2</v>
      </c>
      <c r="I4" s="73"/>
      <c r="J4" s="74"/>
      <c r="K4" s="67"/>
    </row>
    <row r="5" spans="1:11" ht="23.15" customHeight="1" x14ac:dyDescent="0.5">
      <c r="A5" s="50" t="s">
        <v>17</v>
      </c>
      <c r="B5" s="55"/>
      <c r="C5" s="55"/>
      <c r="D5" s="55"/>
      <c r="E5" s="55"/>
      <c r="F5" s="55"/>
      <c r="G5" s="55"/>
      <c r="H5" s="52"/>
      <c r="I5" s="73"/>
      <c r="J5" s="74"/>
      <c r="K5" s="67"/>
    </row>
    <row r="6" spans="1:11" ht="23.15" customHeight="1" x14ac:dyDescent="0.4">
      <c r="A6" s="50" t="s">
        <v>55</v>
      </c>
      <c r="B6" s="51"/>
      <c r="C6" s="51"/>
      <c r="D6" s="51"/>
      <c r="E6" s="51"/>
      <c r="F6" s="51"/>
      <c r="G6" s="51"/>
      <c r="H6" s="52"/>
      <c r="I6" s="73"/>
      <c r="J6" s="74"/>
      <c r="K6" s="67"/>
    </row>
    <row r="7" spans="1:11" ht="23.15" customHeight="1" x14ac:dyDescent="0.4">
      <c r="A7" s="50" t="s">
        <v>47</v>
      </c>
      <c r="B7" s="51"/>
      <c r="C7" s="51"/>
      <c r="D7" s="51"/>
      <c r="E7" s="51"/>
      <c r="F7" s="51"/>
      <c r="G7" s="51"/>
      <c r="H7" s="52"/>
      <c r="I7" s="73"/>
      <c r="J7" s="74"/>
      <c r="K7" s="67"/>
    </row>
    <row r="8" spans="1:11" ht="23.15" customHeight="1" x14ac:dyDescent="0.4">
      <c r="A8" s="50" t="s">
        <v>57</v>
      </c>
      <c r="B8" s="51"/>
      <c r="C8" s="51"/>
      <c r="D8" s="51"/>
      <c r="E8" s="51"/>
      <c r="F8" s="51"/>
      <c r="G8" s="51"/>
      <c r="H8" s="52"/>
      <c r="I8" s="73"/>
      <c r="J8" s="74"/>
      <c r="K8" s="67"/>
    </row>
    <row r="9" spans="1:11" ht="23.15" customHeight="1" x14ac:dyDescent="0.5">
      <c r="A9" s="50" t="s">
        <v>56</v>
      </c>
      <c r="B9" s="55"/>
      <c r="C9" s="55"/>
      <c r="D9" s="55"/>
      <c r="E9" s="55"/>
      <c r="F9" s="55"/>
      <c r="G9" s="55"/>
      <c r="H9" s="52"/>
      <c r="I9" s="73"/>
      <c r="J9" s="74"/>
      <c r="K9" s="68"/>
    </row>
  </sheetData>
  <conditionalFormatting sqref="A1:J9">
    <cfRule type="expression" dxfId="159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D2994-5492-4ABB-8F86-3F9AA9D7C4CD}">
  <dimension ref="A1:K9"/>
  <sheetViews>
    <sheetView zoomScale="80" zoomScaleNormal="80" workbookViewId="0">
      <selection activeCell="K9" sqref="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46168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0.04</v>
      </c>
      <c r="C3" s="54">
        <v>3.49E-2</v>
      </c>
      <c r="D3" s="54">
        <v>3.5000000000000003E-2</v>
      </c>
      <c r="E3" s="54">
        <v>4.99E-2</v>
      </c>
      <c r="F3" s="54">
        <v>4.9000000000000002E-2</v>
      </c>
      <c r="G3" s="54">
        <v>4.7699999999999999E-2</v>
      </c>
      <c r="H3" s="52">
        <v>3.6999999999999998E-2</v>
      </c>
      <c r="I3" s="73">
        <f>(1+H3/365)^365-1</f>
        <v>3.7691074941686109E-2</v>
      </c>
      <c r="J3" s="74"/>
      <c r="K3" s="67">
        <f>H3-'Daily Data'!AR95</f>
        <v>2.4E-2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Data'!Z95</f>
        <v>1.1300000000000001E-2</v>
      </c>
    </row>
    <row r="5" spans="1:11" ht="23.15" customHeight="1" x14ac:dyDescent="0.5">
      <c r="A5" s="50" t="s">
        <v>17</v>
      </c>
      <c r="B5" s="55">
        <v>4.2000000000000003E-2</v>
      </c>
      <c r="C5" s="55">
        <f>((1+$I5)^(C2/365)-1)*365/C2</f>
        <v>3.5922960443012478E-2</v>
      </c>
      <c r="D5" s="55">
        <v>5.2499999999999998E-2</v>
      </c>
      <c r="E5" s="55">
        <f>((1+$I5)^(E2/365)-1)*365/E2</f>
        <v>3.6004362447270476E-2</v>
      </c>
      <c r="F5" s="55">
        <f t="shared" ref="F5:G5" si="2">((1+$I5)^(F2/365)-1)*365/F2</f>
        <v>3.6057583196594925E-2</v>
      </c>
      <c r="G5" s="55">
        <f t="shared" si="2"/>
        <v>3.6217875576784582E-2</v>
      </c>
      <c r="H5" s="52">
        <v>3.5900000000000001E-2</v>
      </c>
      <c r="I5" s="73">
        <f t="shared" si="1"/>
        <v>3.6550356185158339E-2</v>
      </c>
      <c r="J5" s="74"/>
      <c r="K5" s="67">
        <f>H5-'Daily Data'!BJ95</f>
        <v>2.3800000000000002E-2</v>
      </c>
    </row>
    <row r="6" spans="1:11" ht="23.15" customHeight="1" x14ac:dyDescent="0.4">
      <c r="A6" s="50" t="s">
        <v>55</v>
      </c>
      <c r="B6" s="51">
        <v>3.7499999999999999E-2</v>
      </c>
      <c r="C6" s="51">
        <f>((1+I6)^(C2/365)-1)*365/C2</f>
        <v>3.3720232087598924E-2</v>
      </c>
      <c r="D6" s="51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3.2800000000000003E-2</v>
      </c>
      <c r="C7" s="51">
        <f>((1+I7)^(C2/365)-1)*365/C2</f>
        <v>3.121734116151758E-2</v>
      </c>
      <c r="D7" s="51">
        <v>3.4299999999999997E-2</v>
      </c>
      <c r="E7" s="51">
        <f>((1+$I7)^(E2/365)-1)*365/E2</f>
        <v>3.1278805465217829E-2</v>
      </c>
      <c r="F7" s="51">
        <f t="shared" ref="F7:G7" si="4">((1+$I7)^(F2/365)-1)*365/F2</f>
        <v>3.1318977802404467E-2</v>
      </c>
      <c r="G7" s="51">
        <f t="shared" si="4"/>
        <v>3.1439908012476682E-2</v>
      </c>
      <c r="H7" s="52">
        <v>3.1199999999999999E-2</v>
      </c>
      <c r="I7" s="73">
        <f t="shared" si="1"/>
        <v>3.1690445957877067E-2</v>
      </c>
      <c r="J7" s="74"/>
      <c r="K7" s="67">
        <f>H7-1.06%</f>
        <v>2.06E-2</v>
      </c>
    </row>
    <row r="8" spans="1:11" ht="23.15" customHeight="1" x14ac:dyDescent="0.4">
      <c r="A8" s="50" t="s">
        <v>57</v>
      </c>
      <c r="B8" s="51">
        <f>((1+$I8)^(B2/365)-1)*365/B2</f>
        <v>3.5510359898422834E-2</v>
      </c>
      <c r="C8" s="51">
        <f t="shared" ref="C8:G8" si="5">((1+$I8)^(C2/365)-1)*365/C2</f>
        <v>3.5522451541739289E-2</v>
      </c>
      <c r="D8" s="51">
        <f t="shared" si="5"/>
        <v>3.5550110202771878E-2</v>
      </c>
      <c r="E8" s="51">
        <f t="shared" si="5"/>
        <v>3.5602047613818195E-2</v>
      </c>
      <c r="F8" s="51">
        <f t="shared" si="5"/>
        <v>3.5654086196407357E-2</v>
      </c>
      <c r="G8" s="51">
        <f t="shared" si="5"/>
        <v>3.581081119315413E-2</v>
      </c>
      <c r="H8" s="52">
        <v>3.5499999999999997E-2</v>
      </c>
      <c r="I8" s="73">
        <f t="shared" si="1"/>
        <v>3.6135859488784616E-2</v>
      </c>
      <c r="J8" s="74"/>
      <c r="K8" s="67">
        <f>H8-'Daily Data'!H95</f>
        <v>2.2399999999999996E-2</v>
      </c>
    </row>
    <row r="9" spans="1:11" ht="23.15" customHeight="1" x14ac:dyDescent="0.5">
      <c r="A9" s="50" t="s">
        <v>56</v>
      </c>
      <c r="B9" s="55">
        <f>((1+$I9)^(B2/365)-1)*365/B2</f>
        <v>3.5910594695506913E-2</v>
      </c>
      <c r="C9" s="55">
        <f t="shared" ref="C9:G9" si="6">((1+$I9)^(C2/365)-1)*365/C2</f>
        <v>3.5922960443012478E-2</v>
      </c>
      <c r="D9" s="55">
        <f t="shared" si="6"/>
        <v>3.5951246333042218E-2</v>
      </c>
      <c r="E9" s="55">
        <f t="shared" si="6"/>
        <v>3.6004362447270476E-2</v>
      </c>
      <c r="F9" s="55">
        <f t="shared" si="6"/>
        <v>3.6057583196594925E-2</v>
      </c>
      <c r="G9" s="55">
        <f t="shared" si="6"/>
        <v>3.6217875576784582E-2</v>
      </c>
      <c r="H9" s="52">
        <v>3.5900000000000001E-2</v>
      </c>
      <c r="I9" s="73">
        <f t="shared" si="1"/>
        <v>3.6550356185158339E-2</v>
      </c>
      <c r="J9" s="74"/>
      <c r="K9" s="68"/>
    </row>
  </sheetData>
  <conditionalFormatting sqref="A1:J9">
    <cfRule type="expression" dxfId="158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AD8A0-C05A-4043-B2C4-23349B2ED06F}">
  <dimension ref="A1:K9"/>
  <sheetViews>
    <sheetView zoomScale="80" zoomScaleNormal="80" workbookViewId="0">
      <selection activeCell="D20" sqref="D20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46169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0.04</v>
      </c>
      <c r="C3" s="54">
        <v>3.49E-2</v>
      </c>
      <c r="D3" s="54">
        <v>3.5000000000000003E-2</v>
      </c>
      <c r="E3" s="54">
        <v>4.99E-2</v>
      </c>
      <c r="F3" s="54">
        <v>4.9000000000000002E-2</v>
      </c>
      <c r="G3" s="54">
        <v>4.7699999999999999E-2</v>
      </c>
      <c r="H3" s="52">
        <v>3.6999999999999998E-2</v>
      </c>
      <c r="I3" s="73">
        <f>(1+H3/365)^365-1</f>
        <v>3.7691074941686109E-2</v>
      </c>
      <c r="J3" s="74"/>
      <c r="K3" s="67">
        <f>H3-'Daily Data'!AR96</f>
        <v>2.3599999999999996E-2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Data'!Z96</f>
        <v>1.1100000000000002E-2</v>
      </c>
    </row>
    <row r="5" spans="1:11" ht="23.15" customHeight="1" x14ac:dyDescent="0.5">
      <c r="A5" s="50" t="s">
        <v>17</v>
      </c>
      <c r="B5" s="55">
        <v>4.2000000000000003E-2</v>
      </c>
      <c r="C5" s="55">
        <f>((1+I5)^(C2/365)-1)*365/C2</f>
        <v>3.7024389340166004E-2</v>
      </c>
      <c r="D5" s="55">
        <v>5.2499999999999998E-2</v>
      </c>
      <c r="E5" s="55">
        <f>((1+$I5)^(E2/365)-1)*365/E2</f>
        <v>3.7110862363455399E-2</v>
      </c>
      <c r="F5" s="55">
        <f>((1+$I5)^(F2/365)-1)*365/F2</f>
        <v>3.7167402871694732E-2</v>
      </c>
      <c r="G5" s="55">
        <f>((1+$I5)^(G2/365)-1)*365/G2</f>
        <v>3.7337714413147337E-2</v>
      </c>
      <c r="H5" s="52">
        <v>3.6999999999999998E-2</v>
      </c>
      <c r="I5" s="73">
        <f t="shared" si="1"/>
        <v>3.7691074941686109E-2</v>
      </c>
      <c r="J5" s="74"/>
      <c r="K5" s="67">
        <f>H5-'Daily Data'!BJ96</f>
        <v>2.4299999999999999E-2</v>
      </c>
    </row>
    <row r="6" spans="1:11" ht="23.15" customHeight="1" x14ac:dyDescent="0.4">
      <c r="A6" s="50" t="s">
        <v>55</v>
      </c>
      <c r="B6" s="51">
        <v>3.7499999999999999E-2</v>
      </c>
      <c r="C6" s="51">
        <f>((1+I6)^(C2/365)-1)*365/C2</f>
        <v>3.3720232087598924E-2</v>
      </c>
      <c r="D6" s="51">
        <v>0.06</v>
      </c>
      <c r="E6" s="51">
        <f>((1+$I6)^(E2/365)-1)*365/E2</f>
        <v>3.3791952704462558E-2</v>
      </c>
      <c r="F6" s="51">
        <f t="shared" ref="F6:G6" si="2">((1+$I6)^(F2/365)-1)*365/F2</f>
        <v>3.3838836584806672E-2</v>
      </c>
      <c r="G6" s="51">
        <f t="shared" si="2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3.5900000000000001E-2</v>
      </c>
      <c r="C7" s="51">
        <f t="shared" ref="C7:G7" si="3">((1+$I7)^(C2/365)-1)*365/C2</f>
        <v>3.4220837014135107E-2</v>
      </c>
      <c r="D7" s="51">
        <v>3.7600000000000001E-2</v>
      </c>
      <c r="E7" s="51">
        <f t="shared" si="3"/>
        <v>3.4294704023164348E-2</v>
      </c>
      <c r="F7" s="51">
        <f t="shared" si="3"/>
        <v>3.4342992680180727E-2</v>
      </c>
      <c r="G7" s="51">
        <f t="shared" si="3"/>
        <v>3.4488403232455951E-2</v>
      </c>
      <c r="H7" s="52">
        <v>3.4200000000000001E-2</v>
      </c>
      <c r="I7" s="73">
        <f t="shared" si="1"/>
        <v>3.4789886456186414E-2</v>
      </c>
      <c r="J7" s="74"/>
      <c r="K7" s="67">
        <f>H7-2%</f>
        <v>1.4200000000000001E-2</v>
      </c>
    </row>
    <row r="8" spans="1:11" ht="23.15" customHeight="1" x14ac:dyDescent="0.4">
      <c r="A8" s="50" t="s">
        <v>57</v>
      </c>
      <c r="B8" s="51">
        <f>((1+$I8)^(B2/365)-1)*365/B2</f>
        <v>3.6811132610262698E-2</v>
      </c>
      <c r="C8" s="51">
        <f t="shared" ref="C8:G8" si="4">((1+$I8)^(C2/365)-1)*365/C2</f>
        <v>3.6824126331346081E-2</v>
      </c>
      <c r="D8" s="51">
        <f t="shared" si="4"/>
        <v>3.6853849234498227E-2</v>
      </c>
      <c r="E8" s="51">
        <f t="shared" si="4"/>
        <v>3.6909665927788916E-2</v>
      </c>
      <c r="F8" s="51">
        <f t="shared" si="4"/>
        <v>3.6965595336695314E-2</v>
      </c>
      <c r="G8" s="51">
        <f t="shared" si="4"/>
        <v>3.7134062420906062E-2</v>
      </c>
      <c r="H8" s="52">
        <v>3.6799999999999999E-2</v>
      </c>
      <c r="I8" s="73">
        <f t="shared" si="1"/>
        <v>3.7483578454069244E-2</v>
      </c>
      <c r="J8" s="74"/>
      <c r="K8" s="67">
        <f>H8-'Daily Data'!H96</f>
        <v>2.2699999999999998E-2</v>
      </c>
    </row>
    <row r="9" spans="1:11" ht="23.15" customHeight="1" x14ac:dyDescent="0.5">
      <c r="A9" s="50" t="s">
        <v>56</v>
      </c>
      <c r="B9" s="55">
        <f>((1+$I9)^(B2/365)-1)*365/B2</f>
        <v>4.2815059161980883E-2</v>
      </c>
      <c r="C9" s="55">
        <f t="shared" ref="C9:G9" si="5">((1+$I9)^(C2/365)-1)*365/C2</f>
        <v>4.2832637114085803E-2</v>
      </c>
      <c r="D9" s="55">
        <f t="shared" si="5"/>
        <v>4.287285143257006E-2</v>
      </c>
      <c r="E9" s="55">
        <f t="shared" si="5"/>
        <v>4.2948389023937085E-2</v>
      </c>
      <c r="F9" s="55">
        <f t="shared" si="5"/>
        <v>4.3024104068013491E-2</v>
      </c>
      <c r="G9" s="55">
        <f t="shared" si="5"/>
        <v>4.3252318612913926E-2</v>
      </c>
      <c r="H9" s="52">
        <v>4.2799999999999998E-2</v>
      </c>
      <c r="I9" s="73">
        <f t="shared" si="1"/>
        <v>4.3726509254560675E-2</v>
      </c>
      <c r="J9" s="74"/>
      <c r="K9" s="68"/>
    </row>
  </sheetData>
  <conditionalFormatting sqref="A1:J9">
    <cfRule type="expression" dxfId="157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28CAE-D8CC-482E-9792-790664C75C8E}">
  <dimension ref="A1:K9"/>
  <sheetViews>
    <sheetView zoomScale="80" zoomScaleNormal="80" workbookViewId="0">
      <selection activeCell="K9" sqref="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46170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0.04</v>
      </c>
      <c r="C3" s="54">
        <v>3.49E-2</v>
      </c>
      <c r="D3" s="54">
        <v>3.5000000000000003E-2</v>
      </c>
      <c r="E3" s="54">
        <v>4.99E-2</v>
      </c>
      <c r="F3" s="54">
        <v>4.9000000000000002E-2</v>
      </c>
      <c r="G3" s="54">
        <v>4.7699999999999999E-2</v>
      </c>
      <c r="H3" s="52">
        <v>3.6999999999999998E-2</v>
      </c>
      <c r="I3" s="73">
        <f>(1+H3/365)^365-1</f>
        <v>3.7691074941686109E-2</v>
      </c>
      <c r="J3" s="74"/>
      <c r="K3" s="67">
        <f>H3-'Daily Data'!AR97</f>
        <v>2.3E-2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Data'!Z97</f>
        <v>1.0800000000000001E-2</v>
      </c>
    </row>
    <row r="5" spans="1:11" ht="23.15" customHeight="1" x14ac:dyDescent="0.5">
      <c r="A5" s="50" t="s">
        <v>17</v>
      </c>
      <c r="B5" s="55">
        <v>4.3499999999999997E-2</v>
      </c>
      <c r="C5" s="55">
        <f>((1+I5)^(C2/365)-1)*365/C2</f>
        <v>3.8025725780286922E-2</v>
      </c>
      <c r="D5" s="55">
        <v>5.5E-2</v>
      </c>
      <c r="E5" s="55">
        <f>((1+$I5)^(E2/365)-1)*365/E2</f>
        <v>3.8116942104048458E-2</v>
      </c>
      <c r="F5" s="55">
        <f t="shared" ref="F5:G5" si="2">((1+$I5)^(F2/365)-1)*365/F2</f>
        <v>3.8176588168356236E-2</v>
      </c>
      <c r="G5" s="55">
        <f t="shared" si="2"/>
        <v>3.8356274017090804E-2</v>
      </c>
      <c r="H5" s="52">
        <v>3.7999999999999999E-2</v>
      </c>
      <c r="I5" s="73">
        <f t="shared" si="1"/>
        <v>3.8729178327362002E-2</v>
      </c>
      <c r="J5" s="74"/>
      <c r="K5" s="67">
        <f>H5-'Daily Data'!BJ97</f>
        <v>2.4500000000000001E-2</v>
      </c>
    </row>
    <row r="6" spans="1:11" ht="23.15" customHeight="1" x14ac:dyDescent="0.4">
      <c r="A6" s="50" t="s">
        <v>55</v>
      </c>
      <c r="B6" s="51">
        <v>3.7499999999999999E-2</v>
      </c>
      <c r="C6" s="51">
        <f>((1+I6)^(C2/365)-1)*365/C2</f>
        <v>3.3720232087598924E-2</v>
      </c>
      <c r="D6" s="51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3.5900000000000001E-2</v>
      </c>
      <c r="C7" s="51">
        <f>((1+$I7)^(C2/365)-1)*365/C2</f>
        <v>3.4220837014135107E-2</v>
      </c>
      <c r="D7" s="51">
        <v>3.7600000000000001E-2</v>
      </c>
      <c r="E7" s="51">
        <f>((1+$I7)^(E2/365)-1)*365/E2</f>
        <v>3.4294704023164348E-2</v>
      </c>
      <c r="F7" s="51">
        <f t="shared" ref="F7:G7" si="4">((1+$I7)^(F2/365)-1)*365/F2</f>
        <v>3.4342992680180727E-2</v>
      </c>
      <c r="G7" s="51">
        <f t="shared" si="4"/>
        <v>3.4488403232455951E-2</v>
      </c>
      <c r="H7" s="52">
        <v>3.4200000000000001E-2</v>
      </c>
      <c r="I7" s="73">
        <f t="shared" si="1"/>
        <v>3.4789886456186414E-2</v>
      </c>
      <c r="J7" s="74"/>
      <c r="K7" s="67">
        <f>H7-1.06%</f>
        <v>2.3600000000000003E-2</v>
      </c>
    </row>
    <row r="8" spans="1:11" ht="23.15" customHeight="1" x14ac:dyDescent="0.4">
      <c r="A8" s="50" t="s">
        <v>57</v>
      </c>
      <c r="B8" s="51">
        <f>((1+$I8)^(B2/365)-1)*365/B2</f>
        <v>3.751156019854017E-2</v>
      </c>
      <c r="C8" s="51">
        <f t="shared" ref="C8:G8" si="5">((1+$I8)^(C2/365)-1)*365/C2</f>
        <v>3.7525053102707075E-2</v>
      </c>
      <c r="D8" s="51">
        <f t="shared" si="5"/>
        <v>3.7555918332129311E-2</v>
      </c>
      <c r="E8" s="51">
        <f t="shared" si="5"/>
        <v>3.7613881907545298E-2</v>
      </c>
      <c r="F8" s="51">
        <f t="shared" si="5"/>
        <v>3.7671964763798499E-2</v>
      </c>
      <c r="G8" s="51">
        <f t="shared" si="5"/>
        <v>3.7846931782462699E-2</v>
      </c>
      <c r="H8" s="52">
        <v>3.7499999999999999E-2</v>
      </c>
      <c r="I8" s="73">
        <f t="shared" si="1"/>
        <v>3.8209997240440829E-2</v>
      </c>
      <c r="J8" s="74"/>
      <c r="K8" s="67">
        <f>H8-'Daily Data'!H98</f>
        <v>2.2399999999999996E-2</v>
      </c>
    </row>
    <row r="9" spans="1:11" ht="23.15" customHeight="1" x14ac:dyDescent="0.5">
      <c r="A9" s="50" t="s">
        <v>56</v>
      </c>
      <c r="B9" s="55">
        <f>((1+$I9)^(B2/365)-1)*365/B2</f>
        <v>3.9212632178726885E-2</v>
      </c>
      <c r="C9" s="55">
        <f t="shared" ref="C9:G9" si="6">((1+$I9)^(C2/365)-1)*365/C2</f>
        <v>3.9227376581002268E-2</v>
      </c>
      <c r="D9" s="55">
        <f t="shared" si="6"/>
        <v>3.9261105836655874E-2</v>
      </c>
      <c r="E9" s="55">
        <f t="shared" si="6"/>
        <v>3.932445245712831E-2</v>
      </c>
      <c r="F9" s="55">
        <f t="shared" si="6"/>
        <v>3.9387935354773279E-2</v>
      </c>
      <c r="G9" s="55">
        <f t="shared" si="6"/>
        <v>3.9579205013178513E-2</v>
      </c>
      <c r="H9" s="52">
        <v>3.9199999999999999E-2</v>
      </c>
      <c r="I9" s="73">
        <f t="shared" si="1"/>
        <v>3.9976269562287836E-2</v>
      </c>
      <c r="J9" s="74"/>
      <c r="K9" s="68"/>
    </row>
  </sheetData>
  <conditionalFormatting sqref="A1:J9">
    <cfRule type="expression" dxfId="156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D361F-0357-46CD-874E-40265DB778C8}">
  <dimension ref="A1:K9"/>
  <sheetViews>
    <sheetView zoomScale="80" zoomScaleNormal="80" workbookViewId="0">
      <selection activeCell="K9" sqref="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46171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0.04</v>
      </c>
      <c r="C3" s="54">
        <v>3.49E-2</v>
      </c>
      <c r="D3" s="54">
        <v>3.5000000000000003E-2</v>
      </c>
      <c r="E3" s="54">
        <v>4.99E-2</v>
      </c>
      <c r="F3" s="54">
        <v>4.9000000000000002E-2</v>
      </c>
      <c r="G3" s="54">
        <v>4.7699999999999999E-2</v>
      </c>
      <c r="H3" s="52">
        <v>3.6999999999999998E-2</v>
      </c>
      <c r="I3" s="73">
        <f>((1+H3/365)^365-1)</f>
        <v>3.7691074941686109E-2</v>
      </c>
      <c r="J3" s="74"/>
      <c r="K3" s="67">
        <f>H3-'Daily Data'!AR98</f>
        <v>2.1599999999999998E-2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((1+H4/365)^365-1)</f>
        <v>2.5314242726610869E-2</v>
      </c>
      <c r="J4" s="74"/>
      <c r="K4" s="67">
        <f>H4-'Daily Data'!Z98</f>
        <v>1.0600000000000002E-2</v>
      </c>
    </row>
    <row r="5" spans="1:11" ht="23.15" customHeight="1" x14ac:dyDescent="0.5">
      <c r="A5" s="50" t="s">
        <v>17</v>
      </c>
      <c r="B5" s="55">
        <v>4.3499999999999997E-2</v>
      </c>
      <c r="C5" s="55">
        <f>((1+I5)^(C2/365)-1)*365/C2</f>
        <v>3.8626544761562069E-2</v>
      </c>
      <c r="D5" s="55">
        <v>5.5E-2</v>
      </c>
      <c r="E5" s="55">
        <f>((1+$I5)^(E2/365)-1)*365/E2</f>
        <v>3.8720668005707982E-2</v>
      </c>
      <c r="F5" s="55">
        <f t="shared" ref="F5:G5" si="2">((1+$I5)^(F2/365)-1)*365/F2</f>
        <v>3.8782217460826149E-2</v>
      </c>
      <c r="G5" s="55">
        <f t="shared" si="2"/>
        <v>3.8967649563848281E-2</v>
      </c>
      <c r="H5" s="52">
        <v>3.8600000000000002E-2</v>
      </c>
      <c r="I5" s="73">
        <f t="shared" si="1"/>
        <v>3.9352537413389843E-2</v>
      </c>
      <c r="J5" s="74"/>
      <c r="K5" s="67">
        <f>H5-'Daily Data'!BJ98</f>
        <v>2.4600000000000004E-2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3.3599999999999998E-2</v>
      </c>
      <c r="C7" s="51">
        <f t="shared" ref="C7:G7" si="4">((1+$I7)^(C2/365)-1)*365/C2</f>
        <v>3.2018242012937716E-2</v>
      </c>
      <c r="D7" s="51">
        <v>3.5200000000000002E-2</v>
      </c>
      <c r="E7" s="51">
        <f t="shared" si="4"/>
        <v>3.2082902098360046E-2</v>
      </c>
      <c r="F7" s="51">
        <f t="shared" si="4"/>
        <v>3.2125165508335836E-2</v>
      </c>
      <c r="G7" s="51">
        <f t="shared" si="4"/>
        <v>3.2252401622451465E-2</v>
      </c>
      <c r="H7" s="52">
        <v>3.2000000000000001E-2</v>
      </c>
      <c r="I7" s="73">
        <f t="shared" si="1"/>
        <v>3.2516057037460744E-2</v>
      </c>
      <c r="J7" s="74"/>
      <c r="K7" s="67">
        <f>H7-1.06%</f>
        <v>2.1400000000000002E-2</v>
      </c>
    </row>
    <row r="8" spans="1:11" ht="23.15" customHeight="1" x14ac:dyDescent="0.4">
      <c r="A8" s="50" t="s">
        <v>57</v>
      </c>
      <c r="B8" s="51">
        <f>((1+$I8)^(B2/365)-1)*365/B2</f>
        <v>3.851218501867569E-2</v>
      </c>
      <c r="C8" s="51">
        <f t="shared" ref="C8:G8" si="5">((1+$I8)^(C2/365)-1)*365/C2</f>
        <v>3.8526407373154492E-2</v>
      </c>
      <c r="D8" s="51">
        <f t="shared" si="5"/>
        <v>3.8558941915132906E-2</v>
      </c>
      <c r="E8" s="51">
        <f t="shared" si="5"/>
        <v>3.862004295629589E-2</v>
      </c>
      <c r="F8" s="51">
        <f t="shared" si="5"/>
        <v>3.8681273092882745E-2</v>
      </c>
      <c r="G8" s="51">
        <f t="shared" si="5"/>
        <v>3.8865741147578438E-2</v>
      </c>
      <c r="H8" s="52">
        <v>3.85E-2</v>
      </c>
      <c r="I8" s="73">
        <f t="shared" si="1"/>
        <v>3.9248618331255036E-2</v>
      </c>
      <c r="J8" s="74"/>
      <c r="K8" s="67">
        <f>H8-'Daily Data'!H98</f>
        <v>2.3399999999999997E-2</v>
      </c>
    </row>
    <row r="9" spans="1:11" ht="23.15" customHeight="1" x14ac:dyDescent="0.5">
      <c r="A9" s="50" t="s">
        <v>56</v>
      </c>
      <c r="B9" s="55">
        <f>((1+$I9)^(B2/365)-1)*365/B2</f>
        <v>3.9212632178726885E-2</v>
      </c>
      <c r="C9" s="55">
        <f t="shared" ref="C9:G9" si="6">((1+$I9)^(C2/365)-1)*365/C2</f>
        <v>3.9227376581002268E-2</v>
      </c>
      <c r="D9" s="55">
        <f t="shared" si="6"/>
        <v>3.9261105836655874E-2</v>
      </c>
      <c r="E9" s="55">
        <f t="shared" si="6"/>
        <v>3.932445245712831E-2</v>
      </c>
      <c r="F9" s="55">
        <f t="shared" si="6"/>
        <v>3.9387935354773279E-2</v>
      </c>
      <c r="G9" s="55">
        <f t="shared" si="6"/>
        <v>3.9579205013178513E-2</v>
      </c>
      <c r="H9" s="52">
        <v>3.9199999999999999E-2</v>
      </c>
      <c r="I9" s="73">
        <f t="shared" si="1"/>
        <v>3.9976269562287836E-2</v>
      </c>
      <c r="J9" s="74"/>
      <c r="K9" s="68"/>
    </row>
  </sheetData>
  <conditionalFormatting sqref="A1:J9">
    <cfRule type="expression" dxfId="155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A9522-A862-4FBC-B887-C8EF252EF836}">
  <dimension ref="A1:K9"/>
  <sheetViews>
    <sheetView zoomScale="80" zoomScaleNormal="80" workbookViewId="0">
      <selection activeCell="B8" sqref="B8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46172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0.04</v>
      </c>
      <c r="C3" s="54">
        <v>3.49E-2</v>
      </c>
      <c r="D3" s="54">
        <v>3.5000000000000003E-2</v>
      </c>
      <c r="E3" s="54">
        <v>4.99E-2</v>
      </c>
      <c r="F3" s="54">
        <v>4.9000000000000002E-2</v>
      </c>
      <c r="G3" s="54">
        <v>4.7699999999999999E-2</v>
      </c>
      <c r="H3" s="52">
        <v>3.6999999999999998E-2</v>
      </c>
      <c r="I3" s="73">
        <f>(1+H3/365)^365-1</f>
        <v>3.7691074941686109E-2</v>
      </c>
      <c r="J3" s="74"/>
      <c r="K3" s="67">
        <f>H3-'Daily Data'!AR99</f>
        <v>2.1399999999999999E-2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Data'!Z99</f>
        <v>1.0700000000000001E-2</v>
      </c>
    </row>
    <row r="5" spans="1:11" ht="23.15" customHeight="1" x14ac:dyDescent="0.5">
      <c r="A5" s="50" t="s">
        <v>17</v>
      </c>
      <c r="B5" s="55">
        <v>4.3499999999999997E-2</v>
      </c>
      <c r="C5" s="55">
        <f t="shared" ref="C5:G5" si="2">((1+$I5)^(C2/365)-1)*365/C2</f>
        <v>3.8225997347559368E-2</v>
      </c>
      <c r="D5" s="55">
        <v>5.5E-2</v>
      </c>
      <c r="E5" s="55">
        <f t="shared" si="2"/>
        <v>3.8318177566042645E-2</v>
      </c>
      <c r="F5" s="55">
        <f t="shared" si="2"/>
        <v>3.837845475532109E-2</v>
      </c>
      <c r="G5" s="55">
        <f t="shared" si="2"/>
        <v>3.8560045880042144E-2</v>
      </c>
      <c r="H5" s="52">
        <v>3.8199999999999998E-2</v>
      </c>
      <c r="I5" s="73">
        <f t="shared" si="1"/>
        <v>3.8936923251637001E-2</v>
      </c>
      <c r="J5" s="74"/>
      <c r="K5" s="67">
        <f>H5-'Daily Data'!BJ99</f>
        <v>2.4399999999999998E-2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3.3599999999999998E-2</v>
      </c>
      <c r="C7" s="51">
        <f t="shared" ref="C7:G7" si="4">((1+$I7)^(C2/365)-1)*365/C2</f>
        <v>3.2018242012937716E-2</v>
      </c>
      <c r="D7" s="51">
        <v>3.5200000000000002E-2</v>
      </c>
      <c r="E7" s="51">
        <f t="shared" si="4"/>
        <v>3.2082902098360046E-2</v>
      </c>
      <c r="F7" s="51">
        <f t="shared" si="4"/>
        <v>3.2125165508335836E-2</v>
      </c>
      <c r="G7" s="51">
        <f t="shared" si="4"/>
        <v>3.2252401622451465E-2</v>
      </c>
      <c r="H7" s="52">
        <v>3.2000000000000001E-2</v>
      </c>
      <c r="I7" s="73">
        <f t="shared" si="1"/>
        <v>3.2516057037460744E-2</v>
      </c>
      <c r="J7" s="74"/>
      <c r="K7" s="67">
        <f>H7-1.06%</f>
        <v>2.1400000000000002E-2</v>
      </c>
    </row>
    <row r="8" spans="1:11" ht="23.15" customHeight="1" x14ac:dyDescent="0.4">
      <c r="A8" s="50" t="s">
        <v>57</v>
      </c>
      <c r="B8" s="51">
        <f>((1+$I8)^(B2/365)-1)*365/B2</f>
        <v>3.8312058738885373E-2</v>
      </c>
      <c r="C8" s="51">
        <f t="shared" ref="C8:G8" si="5">((1+$I8)^(C2/365)-1)*365/C2</f>
        <v>3.8326133666167612E-2</v>
      </c>
      <c r="D8" s="51">
        <f t="shared" si="5"/>
        <v>3.8358330823753763E-2</v>
      </c>
      <c r="E8" s="51">
        <f t="shared" si="5"/>
        <v>3.8418797736503744E-2</v>
      </c>
      <c r="F8" s="51">
        <f t="shared" si="5"/>
        <v>3.8479391740204962E-2</v>
      </c>
      <c r="G8" s="51">
        <f t="shared" si="5"/>
        <v>3.8661939305934263E-2</v>
      </c>
      <c r="H8" s="52">
        <v>3.8300000000000001E-2</v>
      </c>
      <c r="I8" s="73">
        <f t="shared" si="1"/>
        <v>3.9040811251424667E-2</v>
      </c>
      <c r="J8" s="74"/>
      <c r="K8" s="67">
        <f>H8-'Daily Data'!H99</f>
        <v>2.3300000000000001E-2</v>
      </c>
    </row>
    <row r="9" spans="1:11" ht="23.15" customHeight="1" x14ac:dyDescent="0.5">
      <c r="A9" s="50" t="s">
        <v>56</v>
      </c>
      <c r="B9" s="55">
        <f>((1+$I9)^(B2/365)-1)*365/B2</f>
        <v>3.8812375671868189E-2</v>
      </c>
      <c r="C9" s="55">
        <f t="shared" ref="C9:G9" si="6">((1+$I9)^(C2/365)-1)*365/C2</f>
        <v>3.8826820608222859E-2</v>
      </c>
      <c r="D9" s="55">
        <f t="shared" si="6"/>
        <v>3.8859864528720513E-2</v>
      </c>
      <c r="E9" s="55">
        <f t="shared" si="6"/>
        <v>3.8921922983701972E-2</v>
      </c>
      <c r="F9" s="55">
        <f t="shared" si="6"/>
        <v>3.8984113580225445E-2</v>
      </c>
      <c r="G9" s="55">
        <f t="shared" si="6"/>
        <v>3.9171481388509101E-2</v>
      </c>
      <c r="H9" s="52">
        <v>3.8800000000000001E-2</v>
      </c>
      <c r="I9" s="73">
        <f t="shared" si="1"/>
        <v>3.9560406667257908E-2</v>
      </c>
      <c r="J9" s="74"/>
      <c r="K9" s="68"/>
    </row>
  </sheetData>
  <conditionalFormatting sqref="A1:J9">
    <cfRule type="expression" dxfId="154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32294-5F49-4A2A-9A71-90C63ACB4DE4}">
  <dimension ref="A1:K9"/>
  <sheetViews>
    <sheetView zoomScale="80" zoomScaleNormal="80" workbookViewId="0">
      <selection activeCell="K9" sqref="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46173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0.04</v>
      </c>
      <c r="C3" s="54">
        <v>3.49E-2</v>
      </c>
      <c r="D3" s="54">
        <v>3.5000000000000003E-2</v>
      </c>
      <c r="E3" s="54">
        <v>4.99E-2</v>
      </c>
      <c r="F3" s="54">
        <v>4.9000000000000002E-2</v>
      </c>
      <c r="G3" s="54">
        <v>4.7699999999999999E-2</v>
      </c>
      <c r="H3" s="52">
        <v>3.6999999999999998E-2</v>
      </c>
      <c r="I3" s="73">
        <f>(1+H3/365)^365-1</f>
        <v>3.7691074941686109E-2</v>
      </c>
      <c r="J3" s="74"/>
      <c r="K3" s="67">
        <f>H3-'Daily Data'!AR100</f>
        <v>2.1099999999999997E-2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Data'!Z100</f>
        <v>1.1500000000000002E-2</v>
      </c>
    </row>
    <row r="5" spans="1:11" ht="23.15" customHeight="1" x14ac:dyDescent="0.5">
      <c r="A5" s="50" t="s">
        <v>17</v>
      </c>
      <c r="B5" s="55">
        <v>4.7300000000000002E-2</v>
      </c>
      <c r="C5" s="55">
        <f t="shared" ref="C5:G5" si="2">((1+$I5)^(C2/365)-1)*365/C2</f>
        <v>3.8326133666167612E-2</v>
      </c>
      <c r="D5" s="55">
        <v>5.67E-2</v>
      </c>
      <c r="E5" s="55">
        <f t="shared" si="2"/>
        <v>3.8418797736503744E-2</v>
      </c>
      <c r="F5" s="55">
        <f t="shared" si="2"/>
        <v>3.8479391740204962E-2</v>
      </c>
      <c r="G5" s="55">
        <f t="shared" si="2"/>
        <v>3.8661939305934263E-2</v>
      </c>
      <c r="H5" s="52">
        <v>3.8300000000000001E-2</v>
      </c>
      <c r="I5" s="73">
        <f t="shared" si="1"/>
        <v>3.9040811251424667E-2</v>
      </c>
      <c r="J5" s="74"/>
      <c r="K5" s="67">
        <f>H5-'Daily Data'!BJ100</f>
        <v>2.4500000000000001E-2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3.3599999999999998E-2</v>
      </c>
      <c r="C7" s="51">
        <f t="shared" ref="C7:G7" si="4">((1+$I7)^(C2/365)-1)*365/C2</f>
        <v>3.2018242012937716E-2</v>
      </c>
      <c r="D7" s="51">
        <v>3.5200000000000002E-2</v>
      </c>
      <c r="E7" s="51">
        <f t="shared" si="4"/>
        <v>3.2082902098360046E-2</v>
      </c>
      <c r="F7" s="51">
        <f t="shared" si="4"/>
        <v>3.2125165508335836E-2</v>
      </c>
      <c r="G7" s="51">
        <f t="shared" si="4"/>
        <v>3.2252401622451465E-2</v>
      </c>
      <c r="H7" s="52">
        <v>3.2000000000000001E-2</v>
      </c>
      <c r="I7" s="73">
        <f t="shared" si="1"/>
        <v>3.2516057037460744E-2</v>
      </c>
      <c r="J7" s="74"/>
      <c r="K7" s="67">
        <f>H7-1.06%</f>
        <v>2.1400000000000002E-2</v>
      </c>
    </row>
    <row r="8" spans="1:11" ht="23.15" customHeight="1" x14ac:dyDescent="0.4">
      <c r="A8" s="50" t="s">
        <v>57</v>
      </c>
      <c r="B8" s="51">
        <f>((1+$I8)^(B2/365)-1)*365/B2</f>
        <v>3.851218501867569E-2</v>
      </c>
      <c r="C8" s="51">
        <f t="shared" ref="C8:G8" si="5">((1+$I8)^(C2/365)-1)*365/C2</f>
        <v>3.8526407373154492E-2</v>
      </c>
      <c r="D8" s="51">
        <f t="shared" si="5"/>
        <v>3.8558941915132906E-2</v>
      </c>
      <c r="E8" s="51">
        <f t="shared" si="5"/>
        <v>3.862004295629589E-2</v>
      </c>
      <c r="F8" s="51">
        <f t="shared" si="5"/>
        <v>3.8681273092882745E-2</v>
      </c>
      <c r="G8" s="51">
        <f t="shared" si="5"/>
        <v>3.8865741147578438E-2</v>
      </c>
      <c r="H8" s="52">
        <v>3.85E-2</v>
      </c>
      <c r="I8" s="73">
        <f t="shared" si="1"/>
        <v>3.9248618331255036E-2</v>
      </c>
      <c r="J8" s="74"/>
      <c r="K8" s="67">
        <f>H8-'Daily Data'!H100</f>
        <v>2.35E-2</v>
      </c>
    </row>
    <row r="9" spans="1:11" ht="23.15" customHeight="1" x14ac:dyDescent="0.5">
      <c r="A9" s="50" t="s">
        <v>56</v>
      </c>
      <c r="B9" s="55">
        <f>((1+$I9)^(B2/365)-1)*365/B2</f>
        <v>3.9212632178726885E-2</v>
      </c>
      <c r="C9" s="55">
        <f t="shared" ref="C9:G9" si="6">((1+$I9)^(C2/365)-1)*365/C2</f>
        <v>3.9227376581002268E-2</v>
      </c>
      <c r="D9" s="55">
        <f t="shared" si="6"/>
        <v>3.9261105836655874E-2</v>
      </c>
      <c r="E9" s="55">
        <f t="shared" si="6"/>
        <v>3.932445245712831E-2</v>
      </c>
      <c r="F9" s="55">
        <f t="shared" si="6"/>
        <v>3.9387935354773279E-2</v>
      </c>
      <c r="G9" s="55">
        <f t="shared" si="6"/>
        <v>3.9579205013178513E-2</v>
      </c>
      <c r="H9" s="52">
        <v>3.9199999999999999E-2</v>
      </c>
      <c r="I9" s="73">
        <f t="shared" si="1"/>
        <v>3.9976269562287836E-2</v>
      </c>
      <c r="J9" s="74"/>
      <c r="K9" s="68"/>
    </row>
  </sheetData>
  <conditionalFormatting sqref="A1:J9">
    <cfRule type="expression" dxfId="153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7FDC4-508C-44F0-A0D4-C3FD37436318}">
  <dimension ref="A1:K20"/>
  <sheetViews>
    <sheetView topLeftCell="A2" zoomScale="80" zoomScaleNormal="80" workbookViewId="0">
      <selection activeCell="B8" sqref="B8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46174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3.4599999999999999E-2</v>
      </c>
      <c r="C3" s="54">
        <v>3.49E-2</v>
      </c>
      <c r="D3" s="54">
        <v>4.99E-2</v>
      </c>
      <c r="E3" s="54">
        <v>4.8899999999999999E-2</v>
      </c>
      <c r="F3" s="54">
        <v>4.8899999999999999E-2</v>
      </c>
      <c r="G3" s="54">
        <v>5.4399999999999997E-2</v>
      </c>
      <c r="H3" s="52">
        <v>4.2099999999999999E-2</v>
      </c>
      <c r="I3" s="73">
        <f>(1+H3/365)^365-1</f>
        <v>4.2996241252897249E-2</v>
      </c>
      <c r="J3" s="74"/>
      <c r="K3" s="67">
        <f>H3-'Daily Data'!AR101</f>
        <v>2.4599999999999997E-2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Data'!Z101</f>
        <v>1.1500000000000002E-2</v>
      </c>
    </row>
    <row r="5" spans="1:11" ht="23.15" customHeight="1" x14ac:dyDescent="0.5">
      <c r="A5" s="50" t="s">
        <v>17</v>
      </c>
      <c r="B5" s="55">
        <v>4.7300000000000002E-2</v>
      </c>
      <c r="C5" s="55">
        <f t="shared" ref="C5:G5" si="2">((1+$I5)^(C2/365)-1)*365/C2</f>
        <v>3.9527797305134844E-2</v>
      </c>
      <c r="D5" s="55">
        <v>5.67E-2</v>
      </c>
      <c r="E5" s="55">
        <f t="shared" si="2"/>
        <v>3.9626366640761357E-2</v>
      </c>
      <c r="F5" s="55">
        <f t="shared" si="2"/>
        <v>3.969082753132306E-2</v>
      </c>
      <c r="G5" s="55">
        <f t="shared" si="2"/>
        <v>3.9885050217776455E-2</v>
      </c>
      <c r="H5" s="52">
        <v>3.95E-2</v>
      </c>
      <c r="I5" s="73">
        <f t="shared" si="1"/>
        <v>4.0288275604905666E-2</v>
      </c>
      <c r="J5" s="74"/>
      <c r="K5" s="67">
        <f>H5-'Daily Data'!BJ101</f>
        <v>2.5700000000000001E-2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3.5200000000000002E-2</v>
      </c>
      <c r="C7" s="51">
        <f t="shared" ref="C7:G7" si="4">((1+$I7)^(C2/365)-1)*365/C2</f>
        <v>3.3620112171935869E-2</v>
      </c>
      <c r="D7" s="51">
        <v>3.6900000000000002E-2</v>
      </c>
      <c r="E7" s="51">
        <f t="shared" si="4"/>
        <v>3.3691407316138212E-2</v>
      </c>
      <c r="F7" s="51">
        <f t="shared" si="4"/>
        <v>3.3738012740671279E-2</v>
      </c>
      <c r="G7" s="51">
        <f t="shared" si="4"/>
        <v>3.3878345364413684E-2</v>
      </c>
      <c r="H7" s="52">
        <v>3.3599999999999998E-2</v>
      </c>
      <c r="I7" s="73">
        <f t="shared" si="1"/>
        <v>3.4169256374043444E-2</v>
      </c>
      <c r="J7" s="74"/>
      <c r="K7" s="67">
        <f>H7-1.06%</f>
        <v>2.3E-2</v>
      </c>
    </row>
    <row r="8" spans="1:11" ht="23.15" customHeight="1" x14ac:dyDescent="0.4">
      <c r="A8" s="50" t="s">
        <v>57</v>
      </c>
      <c r="B8" s="51">
        <f>((1+$I8)^(B2/365)-1)*365/B2</f>
        <v>3.8612248405269937E-2</v>
      </c>
      <c r="C8" s="51">
        <f t="shared" ref="C8:G8" si="5">((1+$I8)^(C2/365)-1)*365/C2</f>
        <v>3.8626544761562069E-2</v>
      </c>
      <c r="D8" s="51">
        <f t="shared" si="5"/>
        <v>3.8659248656118694E-2</v>
      </c>
      <c r="E8" s="51">
        <f t="shared" si="5"/>
        <v>3.8720668005707982E-2</v>
      </c>
      <c r="F8" s="51">
        <f t="shared" si="5"/>
        <v>3.8782217460826149E-2</v>
      </c>
      <c r="G8" s="51">
        <f t="shared" si="5"/>
        <v>3.8967649563848281E-2</v>
      </c>
      <c r="H8" s="52">
        <v>3.8600000000000002E-2</v>
      </c>
      <c r="I8" s="73">
        <f t="shared" si="1"/>
        <v>3.9352537413389843E-2</v>
      </c>
      <c r="J8" s="74"/>
      <c r="K8" s="67">
        <f>H8-'Daily Data'!H101</f>
        <v>2.2800000000000001E-2</v>
      </c>
    </row>
    <row r="9" spans="1:11" ht="23.15" customHeight="1" x14ac:dyDescent="0.5">
      <c r="A9" s="50" t="s">
        <v>56</v>
      </c>
      <c r="B9" s="55">
        <f>((1+$I9)^(B2/365)-1)*365/B2</f>
        <v>3.9212632178726885E-2</v>
      </c>
      <c r="C9" s="55">
        <f t="shared" ref="C9:G9" si="6">((1+$I9)^(C2/365)-1)*365/C2</f>
        <v>3.9227376581002268E-2</v>
      </c>
      <c r="D9" s="55">
        <f t="shared" si="6"/>
        <v>3.9261105836655874E-2</v>
      </c>
      <c r="E9" s="55">
        <f t="shared" si="6"/>
        <v>3.932445245712831E-2</v>
      </c>
      <c r="F9" s="55">
        <f t="shared" si="6"/>
        <v>3.9387935354773279E-2</v>
      </c>
      <c r="G9" s="55">
        <f t="shared" si="6"/>
        <v>3.9579205013178513E-2</v>
      </c>
      <c r="H9" s="52">
        <v>3.9199999999999999E-2</v>
      </c>
      <c r="I9" s="73">
        <f t="shared" si="1"/>
        <v>3.9976269562287836E-2</v>
      </c>
      <c r="J9" s="74"/>
      <c r="K9" s="68"/>
    </row>
    <row r="16" spans="1:11" x14ac:dyDescent="0.35">
      <c r="G16" s="18"/>
    </row>
    <row r="17" spans="7:7" x14ac:dyDescent="0.35">
      <c r="G17" s="18"/>
    </row>
    <row r="18" spans="7:7" x14ac:dyDescent="0.35">
      <c r="G18" s="59"/>
    </row>
    <row r="19" spans="7:7" x14ac:dyDescent="0.35">
      <c r="G19" s="59"/>
    </row>
    <row r="20" spans="7:7" x14ac:dyDescent="0.35">
      <c r="G20" s="18"/>
    </row>
  </sheetData>
  <conditionalFormatting sqref="A1:J9">
    <cfRule type="expression" dxfId="152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0608F-00C6-41B4-8B26-1E71F4136743}">
  <dimension ref="A1:K9"/>
  <sheetViews>
    <sheetView zoomScale="80" zoomScaleNormal="80" workbookViewId="0">
      <selection activeCell="K7" sqref="K7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46175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3.4500000000000003E-2</v>
      </c>
      <c r="C3" s="54">
        <v>3.4799999999999998E-2</v>
      </c>
      <c r="D3" s="54">
        <v>4.8899999999999999E-2</v>
      </c>
      <c r="E3" s="54">
        <v>0.04</v>
      </c>
      <c r="F3" s="54">
        <v>4.8800000000000003E-2</v>
      </c>
      <c r="G3" s="54">
        <v>5.5E-2</v>
      </c>
      <c r="H3" s="52">
        <v>4.65E-2</v>
      </c>
      <c r="I3" s="73">
        <f>(1+H3/365)^365-1</f>
        <v>4.7594976365493258E-2</v>
      </c>
      <c r="J3" s="74"/>
      <c r="K3" s="67">
        <f>H3-'Daily Data'!AR102</f>
        <v>2.58E-2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Data'!H102</f>
        <v>5.8000000000000031E-3</v>
      </c>
    </row>
    <row r="5" spans="1:11" ht="23.15" customHeight="1" x14ac:dyDescent="0.5">
      <c r="A5" s="50" t="s">
        <v>17</v>
      </c>
      <c r="B5" s="55">
        <v>5.1200000000000002E-2</v>
      </c>
      <c r="C5" s="55">
        <f t="shared" ref="C5:G5" si="2">((1+$I5)^(C2/365)-1)*365/C2</f>
        <v>4.2732484746831965E-2</v>
      </c>
      <c r="D5" s="55">
        <v>6.1499999999999999E-2</v>
      </c>
      <c r="E5" s="55">
        <f t="shared" si="2"/>
        <v>4.2847695644248965E-2</v>
      </c>
      <c r="F5" s="55">
        <f t="shared" si="2"/>
        <v>4.2923056280611376E-2</v>
      </c>
      <c r="G5" s="55">
        <f t="shared" si="2"/>
        <v>4.315020010039558E-2</v>
      </c>
      <c r="H5" s="52">
        <v>4.2700000000000002E-2</v>
      </c>
      <c r="I5" s="73">
        <f t="shared" si="1"/>
        <v>4.3622154043978734E-2</v>
      </c>
      <c r="J5" s="74"/>
      <c r="K5" s="67">
        <f>H5-'Daily Data'!BJ102</f>
        <v>2.6600000000000002E-2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3.5200000000000002E-2</v>
      </c>
      <c r="C7" s="51">
        <f t="shared" ref="C7:G7" si="4">((1+$I7)^(C2/365)-1)*365/C2</f>
        <v>3.3620112171935869E-2</v>
      </c>
      <c r="D7" s="51">
        <v>3.6900000000000002E-2</v>
      </c>
      <c r="E7" s="51">
        <f t="shared" si="4"/>
        <v>3.3691407316138212E-2</v>
      </c>
      <c r="F7" s="51">
        <f t="shared" si="4"/>
        <v>3.3738012740671279E-2</v>
      </c>
      <c r="G7" s="51">
        <f t="shared" si="4"/>
        <v>3.3878345364413684E-2</v>
      </c>
      <c r="H7" s="52">
        <v>3.3599999999999998E-2</v>
      </c>
      <c r="I7" s="73">
        <f t="shared" si="1"/>
        <v>3.4169256374043444E-2</v>
      </c>
      <c r="J7" s="74"/>
      <c r="K7" s="67">
        <f>H7-1.06%</f>
        <v>2.3E-2</v>
      </c>
    </row>
    <row r="8" spans="1:11" ht="23.15" customHeight="1" x14ac:dyDescent="0.4">
      <c r="A8" s="50" t="s">
        <v>57</v>
      </c>
      <c r="B8" s="51">
        <f>((1+$I8)^(B2/365)-1)*365/B2</f>
        <v>4.2514848771842341E-2</v>
      </c>
      <c r="C8" s="51">
        <f t="shared" ref="C8:G8" si="5">((1+$I8)^(C2/365)-1)*365/C2</f>
        <v>4.2532181082204676E-2</v>
      </c>
      <c r="D8" s="51">
        <f t="shared" si="5"/>
        <v>4.2571833178827546E-2</v>
      </c>
      <c r="E8" s="51">
        <f t="shared" si="5"/>
        <v>4.2646313767056111E-2</v>
      </c>
      <c r="F8" s="51">
        <f t="shared" si="5"/>
        <v>4.2720968096388673E-2</v>
      </c>
      <c r="G8" s="51">
        <f t="shared" si="5"/>
        <v>4.2945978096879549E-2</v>
      </c>
      <c r="H8" s="52">
        <v>4.2500000000000003E-2</v>
      </c>
      <c r="I8" s="73">
        <f t="shared" si="1"/>
        <v>4.3413474837240562E-2</v>
      </c>
      <c r="J8" s="74"/>
      <c r="K8" s="67">
        <f>H8-1.92%</f>
        <v>2.3300000000000005E-2</v>
      </c>
    </row>
    <row r="9" spans="1:11" ht="23.15" customHeight="1" x14ac:dyDescent="0.5">
      <c r="A9" s="50" t="s">
        <v>56</v>
      </c>
      <c r="B9" s="55">
        <f>((1+$I9)^(B2/365)-1)*365/B2</f>
        <v>4.2915129621032513E-2</v>
      </c>
      <c r="C9" s="55">
        <f t="shared" ref="C9:G9" si="6">((1+$I9)^(C2/365)-1)*365/C2</f>
        <v>4.2932789838088001E-2</v>
      </c>
      <c r="D9" s="55">
        <f t="shared" si="6"/>
        <v>4.2973192444788845E-2</v>
      </c>
      <c r="E9" s="55">
        <f t="shared" si="6"/>
        <v>4.3049084031183106E-2</v>
      </c>
      <c r="F9" s="55">
        <f t="shared" si="6"/>
        <v>4.3125154319151399E-2</v>
      </c>
      <c r="G9" s="55">
        <f t="shared" si="6"/>
        <v>4.3354442133061333E-2</v>
      </c>
      <c r="H9" s="52">
        <v>4.2900000000000001E-2</v>
      </c>
      <c r="I9" s="73">
        <f t="shared" si="1"/>
        <v>4.3830874871463754E-2</v>
      </c>
      <c r="J9" s="74"/>
      <c r="K9" s="68"/>
    </row>
  </sheetData>
  <conditionalFormatting sqref="A1:J9">
    <cfRule type="expression" dxfId="151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9A206-CD6A-4297-8F66-6D11A37D5E8C}">
  <dimension ref="A1:K9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46176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3.5000000000000003E-2</v>
      </c>
      <c r="C3" s="54">
        <v>3.49E-2</v>
      </c>
      <c r="D3" s="54">
        <v>4.8800000000000003E-2</v>
      </c>
      <c r="E3" s="54">
        <v>0.04</v>
      </c>
      <c r="F3" s="54">
        <v>4.8000000000000001E-2</v>
      </c>
      <c r="G3" s="54">
        <v>5.8999999999999997E-2</v>
      </c>
      <c r="H3" s="52">
        <v>4.6899999999999997E-2</v>
      </c>
      <c r="I3" s="73">
        <f>(1+H3/365)^365-1</f>
        <v>4.8014044546304424E-2</v>
      </c>
      <c r="J3" s="74"/>
      <c r="K3" s="67">
        <f>H3-'Daily Data'!AR103</f>
        <v>2.6699999999999998E-2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Data'!Z103</f>
        <v>9.1000000000000004E-3</v>
      </c>
    </row>
    <row r="5" spans="1:11" ht="23.15" customHeight="1" x14ac:dyDescent="0.5">
      <c r="A5" s="50" t="s">
        <v>17</v>
      </c>
      <c r="B5" s="55">
        <v>5.28E-2</v>
      </c>
      <c r="C5" s="55">
        <f>((1+I5)^(C2/365)-1)*365/C2</f>
        <v>4.4134650346251733E-2</v>
      </c>
      <c r="D5" s="55">
        <v>6.3799999999999996E-2</v>
      </c>
      <c r="E5" s="55">
        <f>((1+$I5)^(E2/365)-1)*365/E2</f>
        <v>4.4257551069836011E-2</v>
      </c>
      <c r="F5" s="55">
        <f t="shared" ref="F5:G5" si="2">((1+$I5)^(F2/365)-1)*365/F2</f>
        <v>4.4337949518542676E-2</v>
      </c>
      <c r="G5" s="55">
        <f t="shared" si="2"/>
        <v>4.4580315051523496E-2</v>
      </c>
      <c r="H5" s="52">
        <v>4.41E-2</v>
      </c>
      <c r="I5" s="73">
        <f t="shared" si="1"/>
        <v>4.5084074336688928E-2</v>
      </c>
      <c r="J5" s="74"/>
      <c r="K5" s="67">
        <f>H5-'Daily Data'!BJ103</f>
        <v>2.63E-2</v>
      </c>
    </row>
    <row r="6" spans="1:11" ht="23.15" customHeight="1" x14ac:dyDescent="0.4">
      <c r="A6" s="50" t="s">
        <v>55</v>
      </c>
      <c r="B6" s="51">
        <v>3.7499999999999999E-2</v>
      </c>
      <c r="C6" s="51">
        <f>((1+I6)^(C2/365)-1)*365/C2</f>
        <v>3.3720232087598924E-2</v>
      </c>
      <c r="D6" s="51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3.4099999999999998E-2</v>
      </c>
      <c r="C7" s="51">
        <f>((1+I7)^(C2/365)-1)*365/C2</f>
        <v>3.2518816632587697E-2</v>
      </c>
      <c r="D7" s="51">
        <v>3.5799999999999998E-2</v>
      </c>
      <c r="E7" s="51">
        <f>((1+$I7)^(E2/365)-1)*365/E2</f>
        <v>3.2585515295304769E-2</v>
      </c>
      <c r="F7" s="51">
        <f t="shared" ref="F7:G7" si="4">((1+$I7)^(F2/365)-1)*365/F2</f>
        <v>3.2629112682946743E-2</v>
      </c>
      <c r="G7" s="51">
        <f t="shared" si="4"/>
        <v>3.2760372011032608E-2</v>
      </c>
      <c r="H7" s="52">
        <v>3.2500000000000001E-2</v>
      </c>
      <c r="I7" s="73">
        <f t="shared" si="1"/>
        <v>3.303239851864892E-2</v>
      </c>
      <c r="J7" s="74"/>
      <c r="K7" s="67">
        <f>H7-1.06%</f>
        <v>2.1900000000000003E-2</v>
      </c>
    </row>
    <row r="8" spans="1:11" ht="23.15" customHeight="1" x14ac:dyDescent="0.4">
      <c r="A8" s="50" t="s">
        <v>57</v>
      </c>
      <c r="B8" s="51">
        <f>((1+$I8)^(B2/365)-1)*365/B2</f>
        <v>4.3015200244608094E-2</v>
      </c>
      <c r="C8" s="51">
        <f t="shared" ref="C8:G8" si="5">((1+$I8)^(C2/365)-1)*365/C2</f>
        <v>4.3032942918809609E-2</v>
      </c>
      <c r="D8" s="51">
        <f t="shared" si="5"/>
        <v>4.3073534254197764E-2</v>
      </c>
      <c r="E8" s="51">
        <f t="shared" si="5"/>
        <v>4.3149780665970826E-2</v>
      </c>
      <c r="F8" s="51">
        <f t="shared" si="5"/>
        <v>4.3226207034042216E-2</v>
      </c>
      <c r="G8" s="51">
        <f t="shared" si="5"/>
        <v>4.3456570661041326E-2</v>
      </c>
      <c r="H8" s="52">
        <v>4.2999999999999997E-2</v>
      </c>
      <c r="I8" s="73">
        <f t="shared" si="1"/>
        <v>4.3935250895680733E-2</v>
      </c>
      <c r="J8" s="74"/>
      <c r="K8" s="67">
        <f>H8-'Daily Data'!H103</f>
        <v>2.3299999999999998E-2</v>
      </c>
    </row>
    <row r="9" spans="1:11" ht="23.15" customHeight="1" x14ac:dyDescent="0.5">
      <c r="A9" s="50" t="s">
        <v>56</v>
      </c>
      <c r="B9" s="55">
        <f>((1+$I9)^(B2/365)-1)*365/B2</f>
        <v>4.4916573342820607E-2</v>
      </c>
      <c r="C9" s="55">
        <f t="shared" ref="C9:G9" si="6">((1+$I9)^(C2/365)-1)*365/C2</f>
        <v>4.4935919219425809E-2</v>
      </c>
      <c r="D9" s="55">
        <f t="shared" si="6"/>
        <v>4.4980180096211742E-2</v>
      </c>
      <c r="E9" s="55">
        <f t="shared" si="6"/>
        <v>4.5063325983943532E-2</v>
      </c>
      <c r="F9" s="55">
        <f t="shared" si="6"/>
        <v>4.5146676798634426E-2</v>
      </c>
      <c r="G9" s="55">
        <f t="shared" si="6"/>
        <v>4.5397964494985968E-2</v>
      </c>
      <c r="H9" s="52">
        <v>4.4900000000000002E-2</v>
      </c>
      <c r="I9" s="73">
        <f t="shared" si="1"/>
        <v>4.5920374111655837E-2</v>
      </c>
      <c r="J9" s="74"/>
      <c r="K9" s="68"/>
    </row>
  </sheetData>
  <conditionalFormatting sqref="A1:J9">
    <cfRule type="expression" dxfId="150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E89E5-6B17-460D-A8FA-2408FE61DFE5}">
  <dimension ref="A1:K9"/>
  <sheetViews>
    <sheetView zoomScale="70" zoomScaleNormal="7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46177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3.95E-2</v>
      </c>
      <c r="C3" s="54">
        <v>3.49E-2</v>
      </c>
      <c r="D3" s="54">
        <v>4.87E-2</v>
      </c>
      <c r="E3" s="54">
        <v>0.04</v>
      </c>
      <c r="F3" s="54">
        <v>4.7E-2</v>
      </c>
      <c r="G3" s="54">
        <v>5.9200000000000003E-2</v>
      </c>
      <c r="H3" s="52">
        <v>4.9099999999999998E-2</v>
      </c>
      <c r="I3" s="73">
        <f>(1+H3/365)^365-1</f>
        <v>5.0321909665185904E-2</v>
      </c>
      <c r="J3" s="74"/>
      <c r="K3" s="67">
        <f>H3-'Daily Data'!AR104</f>
        <v>2.8299999999999999E-2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Data'!Z103</f>
        <v>9.1000000000000004E-3</v>
      </c>
    </row>
    <row r="5" spans="1:11" ht="23.15" customHeight="1" x14ac:dyDescent="0.5">
      <c r="A5" s="50" t="s">
        <v>17</v>
      </c>
      <c r="B5" s="55">
        <v>5.5800000000000002E-2</v>
      </c>
      <c r="C5" s="55">
        <f t="shared" ref="C5:G5" si="2">((1+$I5)^(C2/365)-1)*365/C2</f>
        <v>4.6538525450946423E-2</v>
      </c>
      <c r="D5" s="55">
        <v>6.6900000000000001E-2</v>
      </c>
      <c r="E5" s="55">
        <f t="shared" si="2"/>
        <v>4.6675188403669354E-2</v>
      </c>
      <c r="F5" s="55">
        <f t="shared" si="2"/>
        <v>4.6764604648815496E-2</v>
      </c>
      <c r="G5" s="55">
        <f t="shared" si="2"/>
        <v>4.7034225939659821E-2</v>
      </c>
      <c r="H5" s="52">
        <v>4.65E-2</v>
      </c>
      <c r="I5" s="73">
        <f t="shared" si="1"/>
        <v>4.7594976365493258E-2</v>
      </c>
      <c r="J5" s="74"/>
      <c r="K5" s="67">
        <f>H5-'Daily Data'!BJ104</f>
        <v>2.75E-2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2.9000000000000001E-2</v>
      </c>
      <c r="C7" s="51">
        <f t="shared" ref="C7:G7" si="4">((1+$I7)^(C2/365)-1)*365/C2</f>
        <v>2.7613569693030509E-2</v>
      </c>
      <c r="D7" s="51">
        <v>3.0300000000000001E-2</v>
      </c>
      <c r="E7" s="51">
        <f t="shared" si="4"/>
        <v>2.7661657006941637E-2</v>
      </c>
      <c r="F7" s="51">
        <f t="shared" si="4"/>
        <v>2.7693078446810349E-2</v>
      </c>
      <c r="G7" s="51">
        <f t="shared" si="4"/>
        <v>2.7787628574820866E-2</v>
      </c>
      <c r="H7" s="52">
        <v>2.76E-2</v>
      </c>
      <c r="I7" s="73">
        <f t="shared" si="1"/>
        <v>2.7983335754216743E-2</v>
      </c>
      <c r="J7" s="74"/>
      <c r="K7" s="67">
        <f>H7-1.06%</f>
        <v>1.7000000000000001E-2</v>
      </c>
    </row>
    <row r="8" spans="1:11" ht="23.15" customHeight="1" x14ac:dyDescent="0.4">
      <c r="A8" s="50" t="s">
        <v>57</v>
      </c>
      <c r="B8" s="51">
        <f>((1+$I8)^(B2/365)-1)*365/B2</f>
        <v>4.3615627439733053E-2</v>
      </c>
      <c r="C8" s="51">
        <f t="shared" ref="C8:G8" si="5">((1+$I8)^(C2/365)-1)*365/C2</f>
        <v>4.363386889274766E-2</v>
      </c>
      <c r="D8" s="51">
        <f t="shared" si="5"/>
        <v>4.3675601850457969E-2</v>
      </c>
      <c r="E8" s="51">
        <f t="shared" si="5"/>
        <v>4.3753994653074044E-2</v>
      </c>
      <c r="F8" s="51">
        <f t="shared" si="5"/>
        <v>4.3832575064065793E-2</v>
      </c>
      <c r="G8" s="51">
        <f t="shared" si="5"/>
        <v>4.4069447005582213E-2</v>
      </c>
      <c r="H8" s="52">
        <v>4.36E-2</v>
      </c>
      <c r="I8" s="73">
        <f t="shared" si="1"/>
        <v>4.4561725651013573E-2</v>
      </c>
      <c r="J8" s="74"/>
      <c r="K8" s="67">
        <f>H8-'Daily Data'!H104</f>
        <v>2.3400000000000001E-2</v>
      </c>
    </row>
    <row r="9" spans="1:11" ht="23.15" customHeight="1" x14ac:dyDescent="0.5">
      <c r="A9" s="50" t="s">
        <v>56</v>
      </c>
      <c r="B9" s="55">
        <f>((1+$I9)^(B2/365)-1)*365/B2</f>
        <v>4.4916573342820607E-2</v>
      </c>
      <c r="C9" s="55">
        <f t="shared" ref="C9:G9" si="6">((1+$I9)^(C2/365)-1)*365/C2</f>
        <v>4.4935919219425809E-2</v>
      </c>
      <c r="D9" s="55">
        <f t="shared" si="6"/>
        <v>4.4980180096211742E-2</v>
      </c>
      <c r="E9" s="55">
        <f t="shared" si="6"/>
        <v>4.5063325983943532E-2</v>
      </c>
      <c r="F9" s="55">
        <f t="shared" si="6"/>
        <v>4.5146676798634426E-2</v>
      </c>
      <c r="G9" s="55">
        <f t="shared" si="6"/>
        <v>4.5397964494985968E-2</v>
      </c>
      <c r="H9" s="52">
        <v>4.4900000000000002E-2</v>
      </c>
      <c r="I9" s="73">
        <f t="shared" si="1"/>
        <v>4.5920374111655837E-2</v>
      </c>
      <c r="J9" s="74"/>
      <c r="K9" s="68"/>
    </row>
  </sheetData>
  <conditionalFormatting sqref="A1:J9">
    <cfRule type="expression" dxfId="149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88A17-34D7-46C7-A02C-753C2B364658}">
  <dimension ref="A1:K9"/>
  <sheetViews>
    <sheetView zoomScale="85" zoomScaleNormal="85" workbookViewId="0">
      <selection activeCell="B21" sqref="B21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46178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3.7499999999999999E-2</v>
      </c>
      <c r="C3" s="54">
        <v>3.7999999999999999E-2</v>
      </c>
      <c r="D3" s="54">
        <v>4.4999999999999998E-2</v>
      </c>
      <c r="E3" s="54">
        <v>0.04</v>
      </c>
      <c r="F3" s="54">
        <v>4.7E-2</v>
      </c>
      <c r="G3" s="54">
        <v>5.9900000000000002E-2</v>
      </c>
      <c r="H3" s="52">
        <v>4.41E-2</v>
      </c>
      <c r="I3" s="73">
        <f>(1+H3/365)^365-1</f>
        <v>4.5084074336688928E-2</v>
      </c>
      <c r="J3" s="74"/>
      <c r="K3" s="67">
        <f>H3-'Daily Data'!AR105</f>
        <v>2.75E-2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Data'!Z105</f>
        <v>9.700000000000002E-3</v>
      </c>
    </row>
    <row r="5" spans="1:11" ht="23.15" customHeight="1" x14ac:dyDescent="0.5">
      <c r="A5" s="50" t="s">
        <v>17</v>
      </c>
      <c r="B5" s="55">
        <v>4.8599999999999997E-2</v>
      </c>
      <c r="C5" s="55">
        <f t="shared" ref="C5:G5" si="2">((1+$I5)^(C2/365)-1)*365/C2</f>
        <v>4.052922289982909E-2</v>
      </c>
      <c r="D5" s="55">
        <v>5.8299999999999998E-2</v>
      </c>
      <c r="E5" s="55">
        <f t="shared" si="2"/>
        <v>4.0632852986788683E-2</v>
      </c>
      <c r="F5" s="55">
        <f t="shared" si="2"/>
        <v>4.0700628138462452E-2</v>
      </c>
      <c r="G5" s="55">
        <f t="shared" si="2"/>
        <v>4.0904859236788139E-2</v>
      </c>
      <c r="H5" s="56">
        <v>4.0500000000000001E-2</v>
      </c>
      <c r="I5" s="73">
        <f t="shared" si="1"/>
        <v>4.1328970092306072E-2</v>
      </c>
      <c r="J5" s="74"/>
      <c r="K5" s="67">
        <f>H5-'Daily Data'!BJ105</f>
        <v>2.5300000000000003E-2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2.5700000000000001E-2</v>
      </c>
      <c r="C7" s="51">
        <f t="shared" ref="C7:G7" si="4">((1+$I7)^(C2/365)-1)*365/C2</f>
        <v>2.4510692254110272E-2</v>
      </c>
      <c r="D7" s="51">
        <v>2.69E-2</v>
      </c>
      <c r="E7" s="51">
        <f t="shared" si="4"/>
        <v>2.4548576373024433E-2</v>
      </c>
      <c r="F7" s="51">
        <f t="shared" si="4"/>
        <v>2.457332546501876E-2</v>
      </c>
      <c r="G7" s="51">
        <f t="shared" si="4"/>
        <v>2.4647772518713307E-2</v>
      </c>
      <c r="H7" s="52">
        <v>2.4500000000000001E-2</v>
      </c>
      <c r="I7" s="73">
        <f t="shared" si="1"/>
        <v>2.4801748490785425E-2</v>
      </c>
      <c r="J7" s="74"/>
      <c r="K7" s="67">
        <f>H7-1.06%</f>
        <v>1.3900000000000001E-2</v>
      </c>
    </row>
    <row r="8" spans="1:11" ht="23.15" customHeight="1" x14ac:dyDescent="0.4">
      <c r="A8" s="50" t="s">
        <v>57</v>
      </c>
      <c r="B8" s="51">
        <f>((1+$I8)^(B2/365)-1)*365/B2</f>
        <v>3.8712311956318669E-2</v>
      </c>
      <c r="C8" s="51">
        <f t="shared" ref="C8:G8" si="5">((1+$I8)^(C2/365)-1)*365/C2</f>
        <v>3.8726682506561701E-2</v>
      </c>
      <c r="D8" s="51">
        <f t="shared" si="5"/>
        <v>3.8759556193956914E-2</v>
      </c>
      <c r="E8" s="51">
        <f t="shared" si="5"/>
        <v>3.8821294681477138E-2</v>
      </c>
      <c r="F8" s="51">
        <f t="shared" si="5"/>
        <v>3.8883164289896549E-2</v>
      </c>
      <c r="G8" s="51">
        <f t="shared" si="5"/>
        <v>3.9069562977386327E-2</v>
      </c>
      <c r="H8" s="52">
        <v>3.8699999999999998E-2</v>
      </c>
      <c r="I8" s="73">
        <f t="shared" si="1"/>
        <v>3.9456466858355688E-2</v>
      </c>
      <c r="J8" s="74"/>
      <c r="K8" s="67">
        <f>H8-'Daily Data'!H105</f>
        <v>2.24E-2</v>
      </c>
    </row>
    <row r="9" spans="1:11" ht="23.15" customHeight="1" x14ac:dyDescent="0.5">
      <c r="A9" s="50" t="s">
        <v>56</v>
      </c>
      <c r="B9" s="55">
        <f>((1+$I9)^(B2/365)-1)*365/B2</f>
        <v>4.2614918737380006E-2</v>
      </c>
      <c r="C9" s="55">
        <f t="shared" ref="C9:G9" si="6">((1+$I9)^(C2/365)-1)*365/C2</f>
        <v>4.263233273613546E-2</v>
      </c>
      <c r="D9" s="55">
        <f t="shared" si="6"/>
        <v>4.2672171799586711E-2</v>
      </c>
      <c r="E9" s="55">
        <f t="shared" si="6"/>
        <v>4.2747003891891823E-2</v>
      </c>
      <c r="F9" s="55">
        <f t="shared" si="6"/>
        <v>4.2822010956684808E-2</v>
      </c>
      <c r="G9" s="55">
        <f t="shared" si="6"/>
        <v>4.3048086595060091E-2</v>
      </c>
      <c r="H9" s="52">
        <v>4.2599999999999999E-2</v>
      </c>
      <c r="I9" s="73">
        <f t="shared" si="1"/>
        <v>4.3517809238476701E-2</v>
      </c>
      <c r="J9" s="74"/>
      <c r="K9" s="68"/>
    </row>
  </sheetData>
  <conditionalFormatting sqref="A1:J9">
    <cfRule type="expression" dxfId="148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BEE35-1847-43BE-AEF0-FC640A65B7D6}">
  <dimension ref="A1:K9"/>
  <sheetViews>
    <sheetView zoomScale="80" zoomScaleNormal="80" workbookViewId="0">
      <selection activeCell="F49" sqref="F4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46179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0.04</v>
      </c>
      <c r="C3" s="54">
        <v>3.9E-2</v>
      </c>
      <c r="D3" s="54">
        <v>4.2999999999999997E-2</v>
      </c>
      <c r="E3" s="54">
        <v>0.04</v>
      </c>
      <c r="F3" s="54">
        <v>4.4900000000000002E-2</v>
      </c>
      <c r="G3" s="54">
        <v>4.4999999999999998E-2</v>
      </c>
      <c r="H3" s="52">
        <v>4.0399999999999998E-2</v>
      </c>
      <c r="I3" s="73">
        <f>(1+H3/365)^365-1</f>
        <v>4.1224853939605843E-2</v>
      </c>
      <c r="J3" s="74"/>
      <c r="K3" s="67">
        <f>H3-'Daily Data'!AR106</f>
        <v>2.5899999999999999E-2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Data'!Z106</f>
        <v>1.0100000000000001E-2</v>
      </c>
    </row>
    <row r="5" spans="1:11" ht="23.15" customHeight="1" x14ac:dyDescent="0.5">
      <c r="A5" s="50" t="s">
        <v>17</v>
      </c>
      <c r="B5" s="55">
        <v>4.4200000000000003E-2</v>
      </c>
      <c r="C5" s="55">
        <f t="shared" ref="C5:G5" si="2">((1+$I5)^(C2/365)-1)*365/C2</f>
        <v>3.8225997347559368E-2</v>
      </c>
      <c r="D5" s="55">
        <v>5.2999999999999999E-2</v>
      </c>
      <c r="E5" s="55">
        <f t="shared" si="2"/>
        <v>3.8318177566042645E-2</v>
      </c>
      <c r="F5" s="55">
        <f t="shared" si="2"/>
        <v>3.837845475532109E-2</v>
      </c>
      <c r="G5" s="55">
        <f t="shared" si="2"/>
        <v>3.8560045880042144E-2</v>
      </c>
      <c r="H5" s="56">
        <v>3.8199999999999998E-2</v>
      </c>
      <c r="I5" s="73">
        <f t="shared" si="1"/>
        <v>3.8936923251637001E-2</v>
      </c>
      <c r="J5" s="74"/>
      <c r="K5" s="67">
        <f>H5-'Daily Data'!BJ106</f>
        <v>2.4299999999999999E-2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2.1899999999999999E-2</v>
      </c>
      <c r="C7" s="51">
        <f t="shared" ref="C7:G7" si="4">((1+$I7)^(C2/365)-1)*365/C2</f>
        <v>2.090778059017687E-2</v>
      </c>
      <c r="D7" s="51">
        <v>2.29E-2</v>
      </c>
      <c r="E7" s="51">
        <f t="shared" si="4"/>
        <v>2.0935342936297952E-2</v>
      </c>
      <c r="F7" s="51">
        <f t="shared" si="4"/>
        <v>2.0953344478137657E-2</v>
      </c>
      <c r="G7" s="51">
        <f t="shared" si="4"/>
        <v>2.1007473023389494E-2</v>
      </c>
      <c r="H7" s="52">
        <v>2.0899999999999998E-2</v>
      </c>
      <c r="I7" s="73">
        <f t="shared" si="1"/>
        <v>2.1119323554426916E-2</v>
      </c>
      <c r="J7" s="74"/>
      <c r="K7" s="67">
        <f>H7-1.06%</f>
        <v>1.0299999999999998E-2</v>
      </c>
    </row>
    <row r="8" spans="1:11" ht="23.15" customHeight="1" x14ac:dyDescent="0.4">
      <c r="A8" s="50" t="s">
        <v>57</v>
      </c>
      <c r="B8" s="51">
        <f>((1+$I8)^(B2/365)-1)*365/B2</f>
        <v>3.6410891892388886E-2</v>
      </c>
      <c r="C8" s="51">
        <f t="shared" ref="C8:G8" si="5">((1+$I8)^(C2/365)-1)*365/C2</f>
        <v>3.6423604592851447E-2</v>
      </c>
      <c r="D8" s="51">
        <f t="shared" si="5"/>
        <v>3.6452684422008552E-2</v>
      </c>
      <c r="E8" s="51">
        <f t="shared" si="5"/>
        <v>3.6507292567278249E-2</v>
      </c>
      <c r="F8" s="51">
        <f t="shared" si="5"/>
        <v>3.6562009787260347E-2</v>
      </c>
      <c r="G8" s="51">
        <f t="shared" si="5"/>
        <v>3.672681834941291E-2</v>
      </c>
      <c r="H8" s="52">
        <v>3.6400000000000002E-2</v>
      </c>
      <c r="I8" s="73">
        <f t="shared" si="1"/>
        <v>3.7068709602530836E-2</v>
      </c>
      <c r="J8" s="74"/>
      <c r="K8" s="67">
        <f>H8-'Daily Data'!H106</f>
        <v>2.1900000000000003E-2</v>
      </c>
    </row>
    <row r="9" spans="1:11" ht="23.15" customHeight="1" x14ac:dyDescent="0.5">
      <c r="A9" s="50" t="s">
        <v>56</v>
      </c>
      <c r="B9" s="55">
        <f>((1+$I9)^(B2/365)-1)*365/B2</f>
        <v>4.0513484000246666E-2</v>
      </c>
      <c r="C9" s="55">
        <f t="shared" ref="C9:G9" si="6">((1+$I9)^(C2/365)-1)*365/C2</f>
        <v>4.052922289982909E-2</v>
      </c>
      <c r="D9" s="55">
        <f t="shared" si="6"/>
        <v>4.0565228148374044E-2</v>
      </c>
      <c r="E9" s="55">
        <f t="shared" si="6"/>
        <v>4.0632852986788683E-2</v>
      </c>
      <c r="F9" s="55">
        <f t="shared" si="6"/>
        <v>4.0700628138462452E-2</v>
      </c>
      <c r="G9" s="55">
        <f t="shared" si="6"/>
        <v>4.0904859236788139E-2</v>
      </c>
      <c r="H9" s="52">
        <v>4.0500000000000001E-2</v>
      </c>
      <c r="I9" s="73">
        <f t="shared" si="1"/>
        <v>4.1328970092306072E-2</v>
      </c>
      <c r="J9" s="74"/>
      <c r="K9" s="68"/>
    </row>
  </sheetData>
  <conditionalFormatting sqref="A1:J9">
    <cfRule type="expression" dxfId="147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638DD-D47B-4BE9-A415-020C9E62597A}">
  <dimension ref="A1:K9"/>
  <sheetViews>
    <sheetView view="pageBreakPreview" zoomScale="82" zoomScaleNormal="100" zoomScaleSheetLayoutView="82" workbookViewId="0">
      <selection activeCell="H6" sqref="H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46180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0.04</v>
      </c>
      <c r="C3" s="54">
        <v>3.9E-2</v>
      </c>
      <c r="D3" s="54">
        <v>4.2999999999999997E-2</v>
      </c>
      <c r="E3" s="54">
        <v>0.04</v>
      </c>
      <c r="F3" s="54">
        <v>4.4900000000000002E-2</v>
      </c>
      <c r="G3" s="54">
        <v>4.4999999999999998E-2</v>
      </c>
      <c r="H3" s="52">
        <v>4.0399999999999998E-2</v>
      </c>
      <c r="I3" s="73">
        <f>(1+H3/365)^365-1</f>
        <v>4.1224853939605843E-2</v>
      </c>
      <c r="J3" s="74"/>
      <c r="K3" s="67">
        <f>H3-'Daily Data'!AR107</f>
        <v>2.5700000000000001E-2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Data'!Z107</f>
        <v>1.0000000000000002E-2</v>
      </c>
    </row>
    <row r="5" spans="1:11" ht="23.15" customHeight="1" x14ac:dyDescent="0.5">
      <c r="A5" s="50" t="s">
        <v>17</v>
      </c>
      <c r="B5" s="55">
        <v>4.4200000000000003E-2</v>
      </c>
      <c r="C5" s="55">
        <f t="shared" ref="C5:G5" si="2">((1+$I5)^(C2/365)-1)*365/C2</f>
        <v>3.7224653775365733E-2</v>
      </c>
      <c r="D5" s="55">
        <v>5.2999999999999999E-2</v>
      </c>
      <c r="E5" s="55">
        <f t="shared" si="2"/>
        <v>3.7312065302985954E-2</v>
      </c>
      <c r="F5" s="55">
        <f t="shared" si="2"/>
        <v>3.7369220247494755E-2</v>
      </c>
      <c r="G5" s="55">
        <f t="shared" si="2"/>
        <v>3.7541386378962212E-2</v>
      </c>
      <c r="H5" s="56">
        <v>3.7199999999999997E-2</v>
      </c>
      <c r="I5" s="73">
        <f t="shared" si="1"/>
        <v>3.7898612814819987E-2</v>
      </c>
      <c r="J5" s="74"/>
      <c r="K5" s="67">
        <f>H5-'Daily Data'!BJ107</f>
        <v>2.1599999999999998E-2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2.1899999999999999E-2</v>
      </c>
      <c r="C7" s="51">
        <f t="shared" ref="C7:G7" si="4">((1+$I7)^(C2/365)-1)*365/C2</f>
        <v>2.090778059017687E-2</v>
      </c>
      <c r="D7" s="51">
        <v>2.29E-2</v>
      </c>
      <c r="E7" s="51">
        <f t="shared" si="4"/>
        <v>2.0935342936297952E-2</v>
      </c>
      <c r="F7" s="51">
        <f t="shared" si="4"/>
        <v>2.0953344478137657E-2</v>
      </c>
      <c r="G7" s="51">
        <f t="shared" si="4"/>
        <v>2.1007473023389494E-2</v>
      </c>
      <c r="H7" s="52">
        <v>2.0899999999999998E-2</v>
      </c>
      <c r="I7" s="73">
        <f t="shared" si="1"/>
        <v>2.1119323554426916E-2</v>
      </c>
      <c r="J7" s="74"/>
      <c r="K7" s="67">
        <f>H7-1.06%</f>
        <v>1.0299999999999998E-2</v>
      </c>
    </row>
    <row r="8" spans="1:11" ht="23.15" customHeight="1" x14ac:dyDescent="0.4">
      <c r="A8" s="50" t="s">
        <v>57</v>
      </c>
      <c r="B8" s="51">
        <f>((1+$I8)^(B2/365)-1)*365/B2</f>
        <v>3.6310832124105845E-2</v>
      </c>
      <c r="C8" s="51">
        <f t="shared" ref="C8:G8" si="5">((1+$I8)^(C2/365)-1)*365/C2</f>
        <v>3.6323475049729645E-2</v>
      </c>
      <c r="D8" s="51">
        <f t="shared" si="5"/>
        <v>3.6352395210776788E-2</v>
      </c>
      <c r="E8" s="51">
        <f t="shared" si="5"/>
        <v>3.6406703291771501E-2</v>
      </c>
      <c r="F8" s="51">
        <f t="shared" si="5"/>
        <v>3.6461119549689336E-2</v>
      </c>
      <c r="G8" s="51">
        <f t="shared" si="5"/>
        <v>3.6625019812009267E-2</v>
      </c>
      <c r="H8" s="52">
        <v>3.6299999999999999E-2</v>
      </c>
      <c r="I8" s="73">
        <f t="shared" si="1"/>
        <v>3.6965018242766767E-2</v>
      </c>
      <c r="J8" s="74"/>
      <c r="K8" s="67">
        <f>H8-'Daily Data'!H107</f>
        <v>2.23E-2</v>
      </c>
    </row>
    <row r="9" spans="1:11" ht="23.15" customHeight="1" x14ac:dyDescent="0.5">
      <c r="A9" s="50" t="s">
        <v>56</v>
      </c>
      <c r="B9" s="55">
        <f>((1+$I9)^(B2/365)-1)*365/B2</f>
        <v>3.8712311956318669E-2</v>
      </c>
      <c r="C9" s="55">
        <f t="shared" ref="C9:G9" si="6">((1+$I9)^(C2/365)-1)*365/C2</f>
        <v>3.8726682506561701E-2</v>
      </c>
      <c r="D9" s="55">
        <f t="shared" si="6"/>
        <v>3.8759556193956914E-2</v>
      </c>
      <c r="E9" s="55">
        <f t="shared" si="6"/>
        <v>3.8821294681477138E-2</v>
      </c>
      <c r="F9" s="55">
        <f t="shared" si="6"/>
        <v>3.8883164289896549E-2</v>
      </c>
      <c r="G9" s="55">
        <f t="shared" si="6"/>
        <v>3.9069562977386327E-2</v>
      </c>
      <c r="H9" s="52">
        <v>3.8699999999999998E-2</v>
      </c>
      <c r="I9" s="73">
        <f t="shared" si="1"/>
        <v>3.9456466858355688E-2</v>
      </c>
      <c r="J9" s="74"/>
      <c r="K9" s="68"/>
    </row>
  </sheetData>
  <conditionalFormatting sqref="A1:J9">
    <cfRule type="expression" dxfId="146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0240A-61FD-43EE-BF2B-4C44E29180D5}">
  <dimension ref="A1:K9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46181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0.04</v>
      </c>
      <c r="C3" s="54">
        <v>3.9E-2</v>
      </c>
      <c r="D3" s="54">
        <v>4.2999999999999997E-2</v>
      </c>
      <c r="E3" s="54">
        <v>0.04</v>
      </c>
      <c r="F3" s="54">
        <v>4.4900000000000002E-2</v>
      </c>
      <c r="G3" s="54">
        <v>4.4999999999999998E-2</v>
      </c>
      <c r="H3" s="52">
        <v>4.0399999999999998E-2</v>
      </c>
      <c r="I3" s="73">
        <f>(1+H3/365)^365-1</f>
        <v>4.1224853939605843E-2</v>
      </c>
      <c r="J3" s="74"/>
      <c r="K3" s="67">
        <f>H3-'Daily Data'!AR108</f>
        <v>2.64E-2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Data'!Z108</f>
        <v>1.0800000000000001E-2</v>
      </c>
    </row>
    <row r="5" spans="1:11" ht="23.15" customHeight="1" x14ac:dyDescent="0.5">
      <c r="A5" s="50" t="s">
        <v>17</v>
      </c>
      <c r="B5" s="55">
        <v>4.4200000000000003E-2</v>
      </c>
      <c r="C5" s="55">
        <f t="shared" ref="C5:G5" si="2">((1+$I5)^(C2/365)-1)*365/C2</f>
        <v>3.6824126331346081E-2</v>
      </c>
      <c r="D5" s="55">
        <v>5.2999999999999999E-2</v>
      </c>
      <c r="E5" s="55">
        <f t="shared" si="2"/>
        <v>3.6909665927788916E-2</v>
      </c>
      <c r="F5" s="55">
        <f t="shared" si="2"/>
        <v>3.6965595336695314E-2</v>
      </c>
      <c r="G5" s="55">
        <f t="shared" si="2"/>
        <v>3.7134062420906062E-2</v>
      </c>
      <c r="H5" s="56">
        <v>3.6799999999999999E-2</v>
      </c>
      <c r="I5" s="73">
        <f t="shared" si="1"/>
        <v>3.7483578454069244E-2</v>
      </c>
      <c r="J5" s="74"/>
      <c r="K5" s="67">
        <f>H5-'Daily Data'!BJ108</f>
        <v>2.3699999999999999E-2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2.1899999999999999E-2</v>
      </c>
      <c r="C7" s="51">
        <f t="shared" ref="C7:G7" si="4">((1+$I7)^(C2/365)-1)*365/C2</f>
        <v>2.090778059017687E-2</v>
      </c>
      <c r="D7" s="51">
        <v>2.29E-2</v>
      </c>
      <c r="E7" s="51">
        <f t="shared" si="4"/>
        <v>2.0935342936297952E-2</v>
      </c>
      <c r="F7" s="51">
        <f t="shared" si="4"/>
        <v>2.0953344478137657E-2</v>
      </c>
      <c r="G7" s="51">
        <f t="shared" si="4"/>
        <v>2.1007473023389494E-2</v>
      </c>
      <c r="H7" s="52">
        <v>2.0899999999999998E-2</v>
      </c>
      <c r="I7" s="73">
        <f t="shared" si="1"/>
        <v>2.1119323554426916E-2</v>
      </c>
      <c r="J7" s="74"/>
      <c r="K7" s="67">
        <f>H7-1.06%</f>
        <v>1.0299999999999998E-2</v>
      </c>
    </row>
    <row r="8" spans="1:11" ht="23.15" customHeight="1" x14ac:dyDescent="0.4">
      <c r="A8" s="50" t="s">
        <v>57</v>
      </c>
      <c r="B8" s="51">
        <f>((1+$I8)^(B2/365)-1)*365/B2</f>
        <v>3.6410891892388886E-2</v>
      </c>
      <c r="C8" s="51">
        <f t="shared" ref="C8:G8" si="5">((1+$I8)^(C2/365)-1)*365/C2</f>
        <v>3.6423604592851447E-2</v>
      </c>
      <c r="D8" s="51">
        <f t="shared" si="5"/>
        <v>3.6452684422008552E-2</v>
      </c>
      <c r="E8" s="51">
        <f t="shared" si="5"/>
        <v>3.6507292567278249E-2</v>
      </c>
      <c r="F8" s="51">
        <f t="shared" si="5"/>
        <v>3.6562009787260347E-2</v>
      </c>
      <c r="G8" s="51">
        <f t="shared" si="5"/>
        <v>3.672681834941291E-2</v>
      </c>
      <c r="H8" s="52">
        <v>3.6400000000000002E-2</v>
      </c>
      <c r="I8" s="73">
        <f t="shared" si="1"/>
        <v>3.7068709602530836E-2</v>
      </c>
      <c r="J8" s="74"/>
      <c r="K8" s="67">
        <f>H8-'Daily Data'!H108</f>
        <v>2.23E-2</v>
      </c>
    </row>
    <row r="9" spans="1:11" ht="23.15" customHeight="1" x14ac:dyDescent="0.5">
      <c r="A9" s="50" t="s">
        <v>56</v>
      </c>
      <c r="B9" s="55">
        <f>((1+$I9)^(B2/365)-1)*365/B2</f>
        <v>3.8111933116994026E-2</v>
      </c>
      <c r="C9" s="55">
        <f t="shared" ref="C9:G9" si="6">((1+$I9)^(C2/365)-1)*365/C2</f>
        <v>3.8125861385658953E-2</v>
      </c>
      <c r="D9" s="55">
        <f t="shared" si="6"/>
        <v>3.8157722919830293E-2</v>
      </c>
      <c r="E9" s="55">
        <f t="shared" si="6"/>
        <v>3.8217559021958877E-2</v>
      </c>
      <c r="F9" s="55">
        <f t="shared" si="6"/>
        <v>3.8277520231449862E-2</v>
      </c>
      <c r="G9" s="55">
        <f t="shared" si="6"/>
        <v>3.8458157450568138E-2</v>
      </c>
      <c r="H9" s="52">
        <v>3.8100000000000002E-2</v>
      </c>
      <c r="I9" s="73">
        <f t="shared" si="1"/>
        <v>3.88330456106869E-2</v>
      </c>
      <c r="J9" s="74"/>
      <c r="K9" s="68"/>
    </row>
  </sheetData>
  <conditionalFormatting sqref="A1:J9">
    <cfRule type="expression" dxfId="145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A9CB7-58FD-4E92-8F4F-F7F5581F808F}">
  <dimension ref="A1:K9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46182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4.4499999999999998E-2</v>
      </c>
      <c r="C3" s="54">
        <v>3.9E-2</v>
      </c>
      <c r="D3" s="54">
        <v>4.2999999999999997E-2</v>
      </c>
      <c r="E3" s="54">
        <v>0.04</v>
      </c>
      <c r="F3" s="54">
        <v>4.4900000000000002E-2</v>
      </c>
      <c r="G3" s="54">
        <v>4.4999999999999998E-2</v>
      </c>
      <c r="H3" s="52">
        <v>4.0399999999999998E-2</v>
      </c>
      <c r="I3" s="73">
        <f>(1+H3/365)^365-1</f>
        <v>4.1224853939605843E-2</v>
      </c>
      <c r="J3" s="74"/>
      <c r="K3" s="67">
        <f>H3-'Daily Data'!AR109</f>
        <v>2.5599999999999998E-2</v>
      </c>
    </row>
    <row r="4" spans="1:11" ht="23.15" customHeight="1" x14ac:dyDescent="0.5">
      <c r="A4" s="50" t="s">
        <v>15</v>
      </c>
      <c r="B4" s="55">
        <f>((1+$I5)^(B2/365)-1)*365/B2</f>
        <v>3.6611011922457352E-2</v>
      </c>
      <c r="C4" s="55">
        <f t="shared" ref="C4:G4" si="0">((1+$I5)^(C2/365)-1)*365/C2</f>
        <v>3.6623864748969649E-2</v>
      </c>
      <c r="D4" s="55">
        <f t="shared" si="0"/>
        <v>3.6653265234805166E-2</v>
      </c>
      <c r="E4" s="55">
        <f t="shared" si="0"/>
        <v>3.6708475995860898E-2</v>
      </c>
      <c r="F4" s="55">
        <f t="shared" si="0"/>
        <v>3.6763797642103878E-2</v>
      </c>
      <c r="G4" s="55">
        <f t="shared" si="0"/>
        <v>3.6930430400372957E-2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Data'!Z109</f>
        <v>1.0300000000000002E-2</v>
      </c>
    </row>
    <row r="5" spans="1:11" ht="23.15" customHeight="1" x14ac:dyDescent="0.5">
      <c r="A5" s="50" t="s">
        <v>17</v>
      </c>
      <c r="B5" s="55">
        <v>4.3799999999999999E-2</v>
      </c>
      <c r="C5" s="55">
        <f t="shared" ref="C5:F5" si="2">((1+$I5)^(C2/365)-1)*365/C2</f>
        <v>3.6623864748969649E-2</v>
      </c>
      <c r="D5" s="55">
        <v>5.2600000000000001E-2</v>
      </c>
      <c r="E5" s="55">
        <f t="shared" si="2"/>
        <v>3.6708475995860898E-2</v>
      </c>
      <c r="F5" s="55">
        <f t="shared" si="2"/>
        <v>3.6763797642103878E-2</v>
      </c>
      <c r="G5" s="55">
        <f>((1+$I5)^(G2/365)-1)*365/G2</f>
        <v>3.6930430400372957E-2</v>
      </c>
      <c r="H5" s="56">
        <v>3.6600000000000001E-2</v>
      </c>
      <c r="I5" s="73">
        <f t="shared" si="1"/>
        <v>3.727612334382413E-2</v>
      </c>
      <c r="J5" s="74"/>
      <c r="K5" s="67">
        <f>H5-'Daily Data'!BJ109</f>
        <v>2.3900000000000001E-2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2.1999999999999999E-2</v>
      </c>
      <c r="C7" s="51">
        <f t="shared" ref="C7:G7" si="4">((1+$I7)^(C2/365)-1)*365/C2</f>
        <v>2.1007855232316502E-2</v>
      </c>
      <c r="D7" s="51">
        <v>2.3099999999999999E-2</v>
      </c>
      <c r="E7" s="51">
        <f t="shared" si="4"/>
        <v>2.1035682144425177E-2</v>
      </c>
      <c r="F7" s="51">
        <f t="shared" si="4"/>
        <v>2.1053856606007598E-2</v>
      </c>
      <c r="G7" s="51">
        <f t="shared" si="4"/>
        <v>2.1108505700553632E-2</v>
      </c>
      <c r="H7" s="52">
        <v>2.1000000000000001E-2</v>
      </c>
      <c r="I7" s="73">
        <f t="shared" si="1"/>
        <v>2.1221434731349964E-2</v>
      </c>
      <c r="J7" s="74"/>
      <c r="K7" s="67">
        <f>H7-1.06%</f>
        <v>1.0400000000000001E-2</v>
      </c>
    </row>
    <row r="8" spans="1:11" ht="23.15" customHeight="1" x14ac:dyDescent="0.4">
      <c r="A8" s="50" t="s">
        <v>57</v>
      </c>
      <c r="B8" s="51">
        <f>((1+$I8)^(B2/365)-1)*365/B2</f>
        <v>3.5810535749577328E-2</v>
      </c>
      <c r="C8" s="51">
        <f t="shared" ref="C8:G8" si="5">((1+$I8)^(C2/365)-1)*365/C2</f>
        <v>3.5822832682856749E-2</v>
      </c>
      <c r="D8" s="51">
        <f t="shared" si="5"/>
        <v>3.5850961105459378E-2</v>
      </c>
      <c r="E8" s="51">
        <f t="shared" si="5"/>
        <v>3.5903781300481455E-2</v>
      </c>
      <c r="F8" s="51">
        <f t="shared" si="5"/>
        <v>3.5956705257407101E-2</v>
      </c>
      <c r="G8" s="51">
        <f t="shared" si="5"/>
        <v>3.6116101995444835E-2</v>
      </c>
      <c r="H8" s="52">
        <v>3.5799999999999998E-2</v>
      </c>
      <c r="I8" s="73">
        <f t="shared" si="1"/>
        <v>3.6446716511065569E-2</v>
      </c>
      <c r="J8" s="74"/>
      <c r="K8" s="67">
        <f>H8-'Daily Data'!H109</f>
        <v>2.2199999999999998E-2</v>
      </c>
    </row>
    <row r="9" spans="1:11" ht="23.15" customHeight="1" x14ac:dyDescent="0.5">
      <c r="A9" s="50" t="s">
        <v>56</v>
      </c>
      <c r="B9" s="55">
        <f>((1+$I9)^(B2/365)-1)*365/B2</f>
        <v>3.8111933116994026E-2</v>
      </c>
      <c r="C9" s="55">
        <f t="shared" ref="C9:G9" si="6">((1+$I9)^(C2/365)-1)*365/C2</f>
        <v>3.8125861385658953E-2</v>
      </c>
      <c r="D9" s="55">
        <f t="shared" si="6"/>
        <v>3.8157722919830293E-2</v>
      </c>
      <c r="E9" s="55">
        <f t="shared" si="6"/>
        <v>3.8217559021958877E-2</v>
      </c>
      <c r="F9" s="55">
        <f t="shared" si="6"/>
        <v>3.8277520231449862E-2</v>
      </c>
      <c r="G9" s="55">
        <f t="shared" si="6"/>
        <v>3.8458157450568138E-2</v>
      </c>
      <c r="H9" s="52">
        <v>3.8100000000000002E-2</v>
      </c>
      <c r="I9" s="73">
        <f t="shared" si="1"/>
        <v>3.88330456106869E-2</v>
      </c>
      <c r="J9" s="74"/>
      <c r="K9" s="68"/>
    </row>
  </sheetData>
  <conditionalFormatting sqref="A1:J9">
    <cfRule type="expression" dxfId="144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48FD5-BC9F-412C-B18F-ADC011811169}">
  <dimension ref="A1:K9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46183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3.7999999999999999E-2</v>
      </c>
      <c r="C3" s="54">
        <v>3.9E-2</v>
      </c>
      <c r="D3" s="54">
        <v>3.7999999999999999E-2</v>
      </c>
      <c r="E3" s="54">
        <v>3.9E-2</v>
      </c>
      <c r="F3" s="54">
        <v>4.5400000000000003E-2</v>
      </c>
      <c r="G3" s="54">
        <v>5.3999999999999999E-2</v>
      </c>
      <c r="H3" s="52">
        <v>4.0300000000000002E-2</v>
      </c>
      <c r="I3" s="73">
        <f>(1+H3/365)^365-1</f>
        <v>4.1120748168237853E-2</v>
      </c>
      <c r="J3" s="74"/>
      <c r="K3" s="67">
        <f>H3-'Daily Data'!AR110</f>
        <v>2.6300000000000004E-2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Data'!Z110</f>
        <v>1.0100000000000001E-2</v>
      </c>
    </row>
    <row r="5" spans="1:11" ht="23.15" customHeight="1" x14ac:dyDescent="0.5">
      <c r="A5" s="50" t="s">
        <v>17</v>
      </c>
      <c r="B5" s="55">
        <v>4.4400000000000002E-2</v>
      </c>
      <c r="C5" s="55">
        <f>((1+I5)^(C2/365)-1)*365/C2</f>
        <v>3.7124521379478526E-2</v>
      </c>
      <c r="D5" s="55">
        <v>5.3199999999999997E-2</v>
      </c>
      <c r="E5" s="55">
        <f>((1+$I5)^(E2/365)-1)*365/E2</f>
        <v>3.7211463020234627E-2</v>
      </c>
      <c r="F5" s="55">
        <f t="shared" ref="F5:G5" si="2">((1+$I5)^(F2/365)-1)*365/F2</f>
        <v>3.7268310329474294E-2</v>
      </c>
      <c r="G5" s="55">
        <f t="shared" si="2"/>
        <v>3.7439547899246244E-2</v>
      </c>
      <c r="H5" s="56">
        <v>3.7100000000000001E-2</v>
      </c>
      <c r="I5" s="73">
        <f t="shared" si="1"/>
        <v>3.7794838704558797E-2</v>
      </c>
      <c r="J5" s="74"/>
      <c r="K5" s="67">
        <f>H5-'Daily Data'!BJ110</f>
        <v>2.29E-2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2.23E-2</v>
      </c>
      <c r="C7" s="51">
        <f t="shared" ref="C7:G7" si="4">((1+$I7)^(C2/365)-1)*365/C2</f>
        <v>2.1208005585827774E-2</v>
      </c>
      <c r="D7" s="51">
        <v>2.3400000000000001E-2</v>
      </c>
      <c r="E7" s="51">
        <f t="shared" si="4"/>
        <v>2.1236365426236359E-2</v>
      </c>
      <c r="F7" s="51">
        <f t="shared" si="4"/>
        <v>2.1254888214009424E-2</v>
      </c>
      <c r="G7" s="51">
        <f t="shared" si="4"/>
        <v>2.1310585918899037E-2</v>
      </c>
      <c r="H7" s="52">
        <v>2.12E-2</v>
      </c>
      <c r="I7" s="73">
        <f t="shared" si="1"/>
        <v>2.1425687635407309E-2</v>
      </c>
      <c r="J7" s="74"/>
      <c r="K7" s="67">
        <f>H7-1.06%</f>
        <v>1.06E-2</v>
      </c>
    </row>
    <row r="8" spans="1:11" ht="23.15" customHeight="1" x14ac:dyDescent="0.4">
      <c r="A8" s="50" t="s">
        <v>57</v>
      </c>
      <c r="B8" s="51">
        <f>((1+$I8)^(B2/365)-1)*365/B2</f>
        <v>3.5810535749577328E-2</v>
      </c>
      <c r="C8" s="51">
        <f t="shared" ref="C8:G8" si="5">((1+$I8)^(C2/365)-1)*365/C2</f>
        <v>3.5822832682856749E-2</v>
      </c>
      <c r="D8" s="51">
        <f t="shared" si="5"/>
        <v>3.5850961105459378E-2</v>
      </c>
      <c r="E8" s="51">
        <f t="shared" si="5"/>
        <v>3.5903781300481455E-2</v>
      </c>
      <c r="F8" s="51">
        <f t="shared" si="5"/>
        <v>3.5956705257407101E-2</v>
      </c>
      <c r="G8" s="51">
        <f t="shared" si="5"/>
        <v>3.6116101995444835E-2</v>
      </c>
      <c r="H8" s="52">
        <v>3.5799999999999998E-2</v>
      </c>
      <c r="I8" s="73">
        <f t="shared" si="1"/>
        <v>3.6446716511065569E-2</v>
      </c>
      <c r="J8" s="74"/>
      <c r="K8" s="67">
        <f>H8-'Daily Data'!H110</f>
        <v>2.2099999999999998E-2</v>
      </c>
    </row>
    <row r="9" spans="1:11" ht="23.15" customHeight="1" x14ac:dyDescent="0.5">
      <c r="A9" s="50" t="s">
        <v>56</v>
      </c>
      <c r="B9" s="55">
        <f>((1+$I9)^(B2/365)-1)*365/B2</f>
        <v>3.8612248405269937E-2</v>
      </c>
      <c r="C9" s="55">
        <f t="shared" ref="C9:G9" si="6">((1+$I9)^(C2/365)-1)*365/C2</f>
        <v>3.8626544761562069E-2</v>
      </c>
      <c r="D9" s="55">
        <f t="shared" si="6"/>
        <v>3.8659248656118694E-2</v>
      </c>
      <c r="E9" s="55">
        <f t="shared" si="6"/>
        <v>3.8720668005707982E-2</v>
      </c>
      <c r="F9" s="55">
        <f t="shared" si="6"/>
        <v>3.8782217460826149E-2</v>
      </c>
      <c r="G9" s="55">
        <f t="shared" si="6"/>
        <v>3.8967649563848281E-2</v>
      </c>
      <c r="H9" s="52">
        <v>3.8600000000000002E-2</v>
      </c>
      <c r="I9" s="73">
        <f t="shared" si="1"/>
        <v>3.9352537413389843E-2</v>
      </c>
      <c r="J9" s="74"/>
      <c r="K9" s="68"/>
    </row>
  </sheetData>
  <conditionalFormatting sqref="A1:J9">
    <cfRule type="expression" dxfId="143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A321E-7298-4D16-9E2E-A45EA83B91FA}">
  <dimension ref="A1:K9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46184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3.5000000000000003E-2</v>
      </c>
      <c r="C3" s="54">
        <v>3.6900000000000002E-2</v>
      </c>
      <c r="D3" s="54">
        <v>3.7999999999999999E-2</v>
      </c>
      <c r="E3" s="54">
        <v>3.9E-2</v>
      </c>
      <c r="F3" s="54">
        <v>4.5400000000000003E-2</v>
      </c>
      <c r="G3" s="54">
        <v>5.45E-2</v>
      </c>
      <c r="H3" s="52">
        <v>4.0399999999999998E-2</v>
      </c>
      <c r="I3" s="73">
        <f>(1+H3/365)^365-1</f>
        <v>4.1224853939605843E-2</v>
      </c>
      <c r="J3" s="74"/>
      <c r="K3" s="67">
        <f>H3-'Daily Data'!AR111</f>
        <v>2.7099999999999999E-2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Data'!Z111</f>
        <v>1.0200000000000001E-2</v>
      </c>
    </row>
    <row r="5" spans="1:11" ht="23.15" customHeight="1" x14ac:dyDescent="0.5">
      <c r="A5" s="50" t="s">
        <v>17</v>
      </c>
      <c r="B5" s="55">
        <v>4.4200000000000003E-2</v>
      </c>
      <c r="C5" s="55">
        <f t="shared" ref="C5:G5" si="2">((1+$I5)^(C2/365)-1)*365/C2</f>
        <v>3.6824126331346081E-2</v>
      </c>
      <c r="D5" s="55">
        <v>5.2999999999999999E-2</v>
      </c>
      <c r="E5" s="55">
        <f t="shared" si="2"/>
        <v>3.6909665927788916E-2</v>
      </c>
      <c r="F5" s="55">
        <f t="shared" si="2"/>
        <v>3.6965595336695314E-2</v>
      </c>
      <c r="G5" s="55">
        <f t="shared" si="2"/>
        <v>3.7134062420906062E-2</v>
      </c>
      <c r="H5" s="56">
        <v>3.6799999999999999E-2</v>
      </c>
      <c r="I5" s="73">
        <f t="shared" si="1"/>
        <v>3.7483578454069244E-2</v>
      </c>
      <c r="J5" s="74"/>
      <c r="K5" s="67">
        <f>H5-'Daily Data'!BJ111</f>
        <v>2.29E-2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2.2700000000000001E-2</v>
      </c>
      <c r="C7" s="51">
        <f t="shared" ref="C7:G7" si="4">((1+$I7)^(C2/365)-1)*365/C2</f>
        <v>2.1608310569760963E-2</v>
      </c>
      <c r="D7" s="51">
        <v>2.3800000000000002E-2</v>
      </c>
      <c r="E7" s="51">
        <f t="shared" si="4"/>
        <v>2.1637751452725933E-2</v>
      </c>
      <c r="F7" s="51">
        <f t="shared" si="4"/>
        <v>2.1656980840644872E-2</v>
      </c>
      <c r="G7" s="51">
        <f t="shared" si="4"/>
        <v>2.1714805818345999E-2</v>
      </c>
      <c r="H7" s="52">
        <v>2.1600000000000001E-2</v>
      </c>
      <c r="I7" s="73">
        <f t="shared" si="1"/>
        <v>2.1834315672647486E-2</v>
      </c>
      <c r="J7" s="74"/>
      <c r="K7" s="67">
        <f>H7-1.06%</f>
        <v>1.1000000000000001E-2</v>
      </c>
    </row>
    <row r="8" spans="1:11" ht="23.15" customHeight="1" x14ac:dyDescent="0.4">
      <c r="A8" s="50" t="s">
        <v>57</v>
      </c>
      <c r="B8" s="51">
        <f>((1+$I8)^(B2/365)-1)*365/B2</f>
        <v>3.6110713080949521E-2</v>
      </c>
      <c r="C8" s="51">
        <f t="shared" ref="C8:G8" si="5">((1+$I8)^(C2/365)-1)*365/C2</f>
        <v>3.6123217033267992E-2</v>
      </c>
      <c r="D8" s="51">
        <f t="shared" si="5"/>
        <v>3.615181917853557E-2</v>
      </c>
      <c r="E8" s="51">
        <f t="shared" si="5"/>
        <v>3.6205529618120479E-2</v>
      </c>
      <c r="F8" s="51">
        <f t="shared" si="5"/>
        <v>3.6259346453876025E-2</v>
      </c>
      <c r="G8" s="51">
        <f t="shared" si="5"/>
        <v>3.6421437712058899E-2</v>
      </c>
      <c r="H8" s="52">
        <v>3.61E-2</v>
      </c>
      <c r="I8" s="73">
        <f t="shared" si="1"/>
        <v>3.6757666539783518E-2</v>
      </c>
      <c r="J8" s="74"/>
      <c r="K8" s="67">
        <f>H8-'Daily Data'!H111</f>
        <v>2.23E-2</v>
      </c>
    </row>
    <row r="9" spans="1:11" ht="23.15" customHeight="1" x14ac:dyDescent="0.5">
      <c r="A9" s="50" t="s">
        <v>56</v>
      </c>
      <c r="B9" s="55">
        <f>((1+$I9)^(B2/365)-1)*365/B2</f>
        <v>3.8412121796570657E-2</v>
      </c>
      <c r="C9" s="55">
        <f t="shared" ref="C9:G9" si="6">((1+$I9)^(C2/365)-1)*365/C2</f>
        <v>3.8426270341367919E-2</v>
      </c>
      <c r="D9" s="55">
        <f t="shared" si="6"/>
        <v>3.8458635971029276E-2</v>
      </c>
      <c r="E9" s="55">
        <f t="shared" si="6"/>
        <v>3.8519419533253031E-2</v>
      </c>
      <c r="F9" s="55">
        <f t="shared" si="6"/>
        <v>3.8580331186044731E-2</v>
      </c>
      <c r="G9" s="55">
        <f t="shared" si="6"/>
        <v>3.8763837728371019E-2</v>
      </c>
      <c r="H9" s="52">
        <v>3.8399999999999997E-2</v>
      </c>
      <c r="I9" s="73">
        <f t="shared" si="1"/>
        <v>3.9144709610959838E-2</v>
      </c>
      <c r="J9" s="74"/>
      <c r="K9" s="68"/>
    </row>
  </sheetData>
  <conditionalFormatting sqref="A1:J9">
    <cfRule type="expression" dxfId="142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2211C-A956-41A0-9D9D-E8582761281A}">
  <dimension ref="A1:K9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46185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3.4500000000000003E-2</v>
      </c>
      <c r="C3" s="54">
        <v>3.6799999999999999E-2</v>
      </c>
      <c r="D3" s="54">
        <v>3.9899999999999998E-2</v>
      </c>
      <c r="E3" s="54" t="s">
        <v>64</v>
      </c>
      <c r="F3" s="54">
        <v>4.4999999999999998E-2</v>
      </c>
      <c r="G3" s="54">
        <v>5.5E-2</v>
      </c>
      <c r="H3" s="52">
        <v>3.9899999999999998E-2</v>
      </c>
      <c r="I3" s="73">
        <f>(1+H3/365)^365-1</f>
        <v>4.0704428876507048E-2</v>
      </c>
      <c r="J3" s="74"/>
      <c r="K3" s="67">
        <f>H3-'Daily Data'!AR112</f>
        <v>2.6699999999999998E-2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Data'!Z111</f>
        <v>1.0200000000000001E-2</v>
      </c>
    </row>
    <row r="5" spans="1:11" ht="23.15" customHeight="1" x14ac:dyDescent="0.5">
      <c r="A5" s="50" t="s">
        <v>17</v>
      </c>
      <c r="B5" s="55">
        <v>4.36E-2</v>
      </c>
      <c r="C5" s="55">
        <f t="shared" ref="C5:G5" si="2">((1+$I5)^(C2/365)-1)*365/C2</f>
        <v>3.6523734492600046E-2</v>
      </c>
      <c r="D5" s="55">
        <v>5.2299999999999999E-2</v>
      </c>
      <c r="E5" s="55">
        <f t="shared" si="2"/>
        <v>3.6607883468631482E-2</v>
      </c>
      <c r="F5" s="55">
        <f t="shared" si="2"/>
        <v>3.666290248471115E-2</v>
      </c>
      <c r="G5" s="55">
        <f t="shared" si="2"/>
        <v>3.6828621878785224E-2</v>
      </c>
      <c r="H5" s="56">
        <v>3.6499999999999998E-2</v>
      </c>
      <c r="I5" s="73">
        <f t="shared" si="1"/>
        <v>3.7172411302539565E-2</v>
      </c>
      <c r="J5" s="74"/>
      <c r="K5" s="67">
        <f>H5-'Daily Data'!BJ112</f>
        <v>2.2599999999999999E-2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2.29E-2</v>
      </c>
      <c r="C7" s="51">
        <f t="shared" ref="C7:G7" si="4">((1+$I7)^(C2/365)-1)*365/C2</f>
        <v>2.1808465200333398E-2</v>
      </c>
      <c r="D7" s="51">
        <v>2.4E-2</v>
      </c>
      <c r="E7" s="51">
        <f t="shared" si="4"/>
        <v>2.1838454197951385E-2</v>
      </c>
      <c r="F7" s="51">
        <f t="shared" si="4"/>
        <v>2.1858041860356409E-2</v>
      </c>
      <c r="G7" s="51">
        <f t="shared" si="4"/>
        <v>2.1916945503448543E-2</v>
      </c>
      <c r="H7" s="52">
        <v>2.18E-2</v>
      </c>
      <c r="I7" s="73">
        <f t="shared" si="1"/>
        <v>2.2038690822175022E-2</v>
      </c>
      <c r="J7" s="74"/>
      <c r="K7" s="67">
        <f>H7-1.01%</f>
        <v>1.17E-2</v>
      </c>
    </row>
    <row r="8" spans="1:11" ht="23.15" customHeight="1" x14ac:dyDescent="0.4">
      <c r="A8" s="50" t="s">
        <v>57</v>
      </c>
      <c r="B8" s="51">
        <f>((1+$I8)^(B2/365)-1)*365/B2</f>
        <v>3.6110713080949521E-2</v>
      </c>
      <c r="C8" s="51">
        <f t="shared" ref="C8:G8" si="5">((1+$I8)^(C2/365)-1)*365/C2</f>
        <v>3.6123217033267992E-2</v>
      </c>
      <c r="D8" s="51">
        <f t="shared" si="5"/>
        <v>3.615181917853557E-2</v>
      </c>
      <c r="E8" s="51">
        <f t="shared" si="5"/>
        <v>3.6205529618120479E-2</v>
      </c>
      <c r="F8" s="51">
        <f t="shared" si="5"/>
        <v>3.6259346453876025E-2</v>
      </c>
      <c r="G8" s="51">
        <f t="shared" si="5"/>
        <v>3.6421437712058899E-2</v>
      </c>
      <c r="H8" s="52">
        <v>3.61E-2</v>
      </c>
      <c r="I8" s="73">
        <f t="shared" si="1"/>
        <v>3.6757666539783518E-2</v>
      </c>
      <c r="J8" s="74"/>
      <c r="K8" s="67">
        <f>H8-'Daily Data'!H111</f>
        <v>2.23E-2</v>
      </c>
    </row>
    <row r="9" spans="1:11" ht="23.15" customHeight="1" x14ac:dyDescent="0.5">
      <c r="A9" s="50" t="s">
        <v>56</v>
      </c>
      <c r="B9" s="55">
        <f>((1+$I9)^(B2/365)-1)*365/B2</f>
        <v>3.7811745917646675E-2</v>
      </c>
      <c r="C9" s="55">
        <f t="shared" ref="C9:G9" si="6">((1+$I9)^(C2/365)-1)*365/C2</f>
        <v>3.7825455639434812E-2</v>
      </c>
      <c r="D9" s="55">
        <f t="shared" si="6"/>
        <v>3.7856817040241096E-2</v>
      </c>
      <c r="E9" s="55">
        <f t="shared" si="6"/>
        <v>3.7915713146943579E-2</v>
      </c>
      <c r="F9" s="55">
        <f t="shared" si="6"/>
        <v>3.7974731424557651E-2</v>
      </c>
      <c r="G9" s="55">
        <f t="shared" si="6"/>
        <v>3.8152522137446708E-2</v>
      </c>
      <c r="H9" s="52">
        <v>3.78E-2</v>
      </c>
      <c r="I9" s="73">
        <f t="shared" si="1"/>
        <v>3.8521474829770863E-2</v>
      </c>
      <c r="J9" s="74"/>
      <c r="K9" s="68"/>
    </row>
  </sheetData>
  <conditionalFormatting sqref="A1:J9">
    <cfRule type="expression" dxfId="141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01BEC-021F-45CA-873E-3002E2B2BD7A}">
  <dimension ref="A1:K10"/>
  <sheetViews>
    <sheetView zoomScale="80" zoomScaleNormal="80" workbookViewId="0">
      <selection activeCell="C22" sqref="C22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46186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3.2000000000000001E-2</v>
      </c>
      <c r="C3" s="54">
        <v>3.2000000000000001E-2</v>
      </c>
      <c r="D3" s="54">
        <v>4.2999999999999997E-2</v>
      </c>
      <c r="E3" s="54">
        <v>0.04</v>
      </c>
      <c r="F3" s="54">
        <v>4.8000000000000001E-2</v>
      </c>
      <c r="G3" s="54">
        <v>5.2999999999999999E-2</v>
      </c>
      <c r="H3" s="52">
        <v>3.6600000000000001E-2</v>
      </c>
      <c r="I3" s="73">
        <f>(1+H3/365)^365-1</f>
        <v>3.727612334382413E-2</v>
      </c>
      <c r="J3" s="74"/>
      <c r="K3" s="67">
        <f>H3-'Daily Data'!I128</f>
        <v>-46200.963400000001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Data'!Z113</f>
        <v>1.0400000000000001E-2</v>
      </c>
    </row>
    <row r="5" spans="1:11" ht="23.15" customHeight="1" x14ac:dyDescent="0.5">
      <c r="A5" s="50" t="s">
        <v>17</v>
      </c>
      <c r="B5" s="55">
        <v>4.19E-2</v>
      </c>
      <c r="C5" s="55">
        <f t="shared" ref="C5:G5" si="2">((1+$I5)^(C2/365)-1)*365/C2</f>
        <v>3.5422325207818642E-2</v>
      </c>
      <c r="D5" s="55">
        <v>5.0299999999999997E-2</v>
      </c>
      <c r="E5" s="55">
        <f t="shared" si="2"/>
        <v>3.5501472969416858E-2</v>
      </c>
      <c r="F5" s="55">
        <f t="shared" si="2"/>
        <v>3.5553218094735967E-2</v>
      </c>
      <c r="G5" s="55">
        <f t="shared" si="2"/>
        <v>3.5709057572161224E-2</v>
      </c>
      <c r="H5" s="56">
        <v>3.5400000000000001E-2</v>
      </c>
      <c r="I5" s="73">
        <f t="shared" si="1"/>
        <v>3.6032261144603783E-2</v>
      </c>
      <c r="J5" s="74"/>
      <c r="K5" s="67">
        <f>H5-'Daily Data'!BJ113</f>
        <v>2.3199999999999998E-2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2.69E-2</v>
      </c>
      <c r="C7" s="51">
        <f t="shared" ref="C7:G7" si="4">((1+$I7)^(C2/365)-1)*365/C2</f>
        <v>2.5611674069389738E-2</v>
      </c>
      <c r="D7" s="51">
        <v>2.81E-2</v>
      </c>
      <c r="E7" s="51">
        <f t="shared" si="4"/>
        <v>2.5653039346812418E-2</v>
      </c>
      <c r="F7" s="51">
        <f t="shared" si="4"/>
        <v>2.5680064688384588E-2</v>
      </c>
      <c r="G7" s="51">
        <f t="shared" si="4"/>
        <v>2.576136868155746E-2</v>
      </c>
      <c r="H7" s="52">
        <v>2.5600000000000001E-2</v>
      </c>
      <c r="I7" s="73">
        <f t="shared" si="1"/>
        <v>2.5929573201264544E-2</v>
      </c>
      <c r="J7" s="74"/>
      <c r="K7" s="67">
        <f>H7-1.06%</f>
        <v>1.5000000000000001E-2</v>
      </c>
    </row>
    <row r="8" spans="1:11" ht="23.15" customHeight="1" x14ac:dyDescent="0.4">
      <c r="A8" s="50" t="s">
        <v>57</v>
      </c>
      <c r="B8" s="51">
        <f>((1+$I8)^(B2/365)-1)*365/B2</f>
        <v>3.3008952033828365E-2</v>
      </c>
      <c r="C8" s="51">
        <f t="shared" ref="C8:G8" si="5">((1+$I8)^(C2/365)-1)*365/C2</f>
        <v>3.3019400165881306E-2</v>
      </c>
      <c r="D8" s="51">
        <f t="shared" si="5"/>
        <v>3.3043298171878198E-2</v>
      </c>
      <c r="E8" s="51">
        <f t="shared" si="5"/>
        <v>3.3088169112457676E-2</v>
      </c>
      <c r="F8" s="51">
        <f t="shared" si="5"/>
        <v>3.3133121295987555E-2</v>
      </c>
      <c r="G8" s="51">
        <f t="shared" si="5"/>
        <v>3.3268466960937645E-2</v>
      </c>
      <c r="H8" s="52">
        <v>3.3000000000000002E-2</v>
      </c>
      <c r="I8" s="73">
        <f t="shared" si="1"/>
        <v>3.3548997504548206E-2</v>
      </c>
      <c r="J8" s="74"/>
      <c r="K8" s="67">
        <f>H8-'Daily Data'!H113</f>
        <v>2.0700000000000003E-2</v>
      </c>
    </row>
    <row r="9" spans="1:11" ht="23.15" customHeight="1" x14ac:dyDescent="0.5">
      <c r="A9" s="50" t="s">
        <v>56</v>
      </c>
      <c r="B9" s="55">
        <f>((1+$I9)^(B2/365)-1)*365/B2</f>
        <v>3.7211375959605046E-2</v>
      </c>
      <c r="C9" s="55">
        <f t="shared" ref="C9:G9" si="6">((1+$I9)^(C2/365)-1)*365/C2</f>
        <v>3.7224653775365733E-2</v>
      </c>
      <c r="D9" s="55">
        <f t="shared" si="6"/>
        <v>3.7255026795251799E-2</v>
      </c>
      <c r="E9" s="55">
        <f t="shared" si="6"/>
        <v>3.7312065302985954E-2</v>
      </c>
      <c r="F9" s="55">
        <f t="shared" si="6"/>
        <v>3.7369220247494755E-2</v>
      </c>
      <c r="G9" s="55">
        <f t="shared" si="6"/>
        <v>3.7541386378962212E-2</v>
      </c>
      <c r="H9" s="52">
        <v>3.7199999999999997E-2</v>
      </c>
      <c r="I9" s="73">
        <f t="shared" si="1"/>
        <v>3.7898612814819987E-2</v>
      </c>
      <c r="J9" s="74"/>
      <c r="K9" s="68"/>
    </row>
    <row r="10" spans="1:11" ht="21" x14ac:dyDescent="0.35">
      <c r="A10" s="50" t="s">
        <v>65</v>
      </c>
      <c r="B10" s="51">
        <v>3.5000000000000003E-2</v>
      </c>
      <c r="C10" s="51">
        <v>3.5000000000000003E-2</v>
      </c>
      <c r="D10" s="51">
        <v>0.06</v>
      </c>
      <c r="E10" s="51">
        <v>0.06</v>
      </c>
      <c r="F10" s="51">
        <v>0.06</v>
      </c>
      <c r="G10" s="11"/>
      <c r="H10" s="11"/>
      <c r="I10" s="11"/>
      <c r="J10" s="11"/>
      <c r="K10" s="11"/>
    </row>
  </sheetData>
  <conditionalFormatting sqref="A10:F10">
    <cfRule type="expression" dxfId="140" priority="1">
      <formula>_xlfn.ISFORMULA(A10)</formula>
    </cfRule>
    <cfRule type="expression" priority="2">
      <formula>_xlfn.ISFORMULA(A10)</formula>
    </cfRule>
  </conditionalFormatting>
  <conditionalFormatting sqref="A1:J9">
    <cfRule type="expression" dxfId="139" priority="3">
      <formula>_xlfn.ISFORMULA(A1)</formula>
    </cfRule>
    <cfRule type="expression" priority="4">
      <formula>_xlfn.ISFORMULA(A1)</formula>
    </cfRule>
  </conditionalFormatting>
  <pageMargins left="0.7" right="0.7" top="0.75" bottom="0.75" header="0.3" footer="0.3"/>
  <legacy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1E3E1-6330-4389-ADB4-972028ACEFDA}">
  <dimension ref="A1:K10"/>
  <sheetViews>
    <sheetView zoomScale="80" zoomScaleNormal="80" workbookViewId="0">
      <selection activeCell="A10" sqref="A10:XFD10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46187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3.2000000000000001E-2</v>
      </c>
      <c r="C3" s="54">
        <v>3.2000000000000001E-2</v>
      </c>
      <c r="D3" s="54">
        <v>4.2999999999999997E-2</v>
      </c>
      <c r="E3" s="54">
        <v>0.04</v>
      </c>
      <c r="F3" s="54">
        <v>4.8000000000000001E-2</v>
      </c>
      <c r="G3" s="54">
        <v>5.2999999999999999E-2</v>
      </c>
      <c r="H3" s="52">
        <v>3.5999999999999997E-2</v>
      </c>
      <c r="I3" s="73">
        <f>(1+H3/365)^365-1</f>
        <v>3.6654006194406952E-2</v>
      </c>
      <c r="J3" s="74"/>
      <c r="K3" s="67">
        <f>H3-'Daily Data'!BJ114</f>
        <v>2.3899999999999998E-2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Data'!Z114</f>
        <v>1.0400000000000001E-2</v>
      </c>
    </row>
    <row r="5" spans="1:11" ht="23.15" customHeight="1" x14ac:dyDescent="0.5">
      <c r="A5" s="50" t="s">
        <v>17</v>
      </c>
      <c r="B5" s="55">
        <v>4.19E-2</v>
      </c>
      <c r="C5" s="55">
        <f t="shared" ref="C5:G5" si="2">((1+$I5)^(C2/365)-1)*365/C2</f>
        <v>3.5422325207818642E-2</v>
      </c>
      <c r="D5" s="55">
        <v>5.0299999999999997E-2</v>
      </c>
      <c r="E5" s="55">
        <f t="shared" si="2"/>
        <v>3.5501472969416858E-2</v>
      </c>
      <c r="F5" s="55">
        <f t="shared" si="2"/>
        <v>3.5553218094735967E-2</v>
      </c>
      <c r="G5" s="55">
        <f t="shared" si="2"/>
        <v>3.5709057572161224E-2</v>
      </c>
      <c r="H5" s="56">
        <v>3.5400000000000001E-2</v>
      </c>
      <c r="I5" s="73">
        <f t="shared" si="1"/>
        <v>3.6032261144603783E-2</v>
      </c>
      <c r="J5" s="74"/>
      <c r="K5" s="67">
        <f>H5-'Daily Data'!BJ114</f>
        <v>2.3300000000000001E-2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2.5999999999999999E-2</v>
      </c>
      <c r="C7" s="51">
        <f t="shared" ref="C7:G7" si="4">((1+$I7)^(C2/365)-1)*365/C2</f>
        <v>2.4710867557852234E-2</v>
      </c>
      <c r="D7" s="51">
        <v>2.7199999999999998E-2</v>
      </c>
      <c r="E7" s="51">
        <f t="shared" si="4"/>
        <v>2.4749373217086885E-2</v>
      </c>
      <c r="F7" s="51">
        <f t="shared" si="4"/>
        <v>2.4774528700820298E-2</v>
      </c>
      <c r="G7" s="51">
        <f t="shared" si="4"/>
        <v>2.4850199871383649E-2</v>
      </c>
      <c r="H7" s="52">
        <v>2.47E-2</v>
      </c>
      <c r="I7" s="73">
        <f t="shared" si="1"/>
        <v>2.5006715522271517E-2</v>
      </c>
      <c r="J7" s="74"/>
      <c r="K7" s="67">
        <f>H7-1.06%</f>
        <v>1.41E-2</v>
      </c>
    </row>
    <row r="8" spans="1:11" ht="23.15" customHeight="1" x14ac:dyDescent="0.4">
      <c r="A8" s="50" t="s">
        <v>57</v>
      </c>
      <c r="B8" s="51">
        <f>((1+$I8)^(B2/365)-1)*365/B2</f>
        <v>3.2508682795319786E-2</v>
      </c>
      <c r="C8" s="51">
        <f t="shared" ref="C8:G8" si="5">((1+$I8)^(C2/365)-1)*365/C2</f>
        <v>3.2518816632587697E-2</v>
      </c>
      <c r="D8" s="51">
        <f t="shared" si="5"/>
        <v>3.2541995508796773E-2</v>
      </c>
      <c r="E8" s="51">
        <f t="shared" si="5"/>
        <v>3.2585515295304769E-2</v>
      </c>
      <c r="F8" s="51">
        <f t="shared" si="5"/>
        <v>3.2629112682946743E-2</v>
      </c>
      <c r="G8" s="51">
        <f t="shared" si="5"/>
        <v>3.2760372011032608E-2</v>
      </c>
      <c r="H8" s="52">
        <v>3.2500000000000001E-2</v>
      </c>
      <c r="I8" s="73">
        <f t="shared" si="1"/>
        <v>3.303239851864892E-2</v>
      </c>
      <c r="J8" s="74"/>
      <c r="K8" s="67">
        <f>H8-'Daily Data'!H114</f>
        <v>2.1200000000000004E-2</v>
      </c>
    </row>
    <row r="9" spans="1:11" ht="23.15" customHeight="1" x14ac:dyDescent="0.5">
      <c r="A9" s="50" t="s">
        <v>56</v>
      </c>
      <c r="B9" s="55">
        <f>((1+$I9)^(B2/365)-1)*365/B2</f>
        <v>3.561041835104687E-2</v>
      </c>
      <c r="C9" s="55">
        <f t="shared" ref="C9:G9" si="6">((1+$I9)^(C2/365)-1)*365/C2</f>
        <v>3.5622578232228842E-2</v>
      </c>
      <c r="D9" s="55">
        <f t="shared" si="6"/>
        <v>3.5650393040337715E-2</v>
      </c>
      <c r="E9" s="55">
        <f t="shared" si="6"/>
        <v>3.5702623883787733E-2</v>
      </c>
      <c r="F9" s="55">
        <f t="shared" si="6"/>
        <v>3.5754956757379511E-2</v>
      </c>
      <c r="G9" s="55">
        <f t="shared" si="6"/>
        <v>3.5912569803879281E-2</v>
      </c>
      <c r="H9" s="52">
        <v>3.56E-2</v>
      </c>
      <c r="I9" s="73">
        <f t="shared" si="1"/>
        <v>3.623946816391288E-2</v>
      </c>
      <c r="J9" s="74"/>
      <c r="K9" s="68"/>
    </row>
    <row r="10" spans="1:11" ht="21" x14ac:dyDescent="0.35">
      <c r="A10" s="50" t="s">
        <v>65</v>
      </c>
      <c r="B10" s="51">
        <v>3.5000000000000003E-2</v>
      </c>
      <c r="C10" s="51">
        <v>3.5000000000000003E-2</v>
      </c>
      <c r="D10" s="51">
        <v>0.06</v>
      </c>
      <c r="E10" s="51">
        <v>0.06</v>
      </c>
      <c r="F10" s="51">
        <v>0.06</v>
      </c>
      <c r="G10" s="11"/>
      <c r="H10" s="11"/>
      <c r="I10" s="11"/>
      <c r="J10" s="11"/>
      <c r="K10" s="11"/>
    </row>
  </sheetData>
  <conditionalFormatting sqref="A10:F10">
    <cfRule type="expression" dxfId="138" priority="1">
      <formula>_xlfn.ISFORMULA(A10)</formula>
    </cfRule>
    <cfRule type="expression" priority="2">
      <formula>_xlfn.ISFORMULA(A10)</formula>
    </cfRule>
  </conditionalFormatting>
  <conditionalFormatting sqref="A1:J9">
    <cfRule type="expression" dxfId="137" priority="3">
      <formula>_xlfn.ISFORMULA(A1)</formula>
    </cfRule>
    <cfRule type="expression" priority="4">
      <formula>_xlfn.ISFORMULA(A1)</formula>
    </cfRule>
  </conditionalFormatting>
  <pageMargins left="0.7" right="0.7" top="0.75" bottom="0.75" header="0.3" footer="0.3"/>
  <legacy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972DF-2E9B-430A-A2AA-3FC436B2EA29}">
  <dimension ref="A1:K10"/>
  <sheetViews>
    <sheetView zoomScaleNormal="10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46188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3.2000000000000001E-2</v>
      </c>
      <c r="C3" s="54">
        <v>3.2000000000000001E-2</v>
      </c>
      <c r="D3" s="54">
        <v>4.2999999999999997E-2</v>
      </c>
      <c r="E3" s="54">
        <v>0.04</v>
      </c>
      <c r="F3" s="54">
        <v>4.8000000000000001E-2</v>
      </c>
      <c r="G3" s="54">
        <v>5.2999999999999999E-2</v>
      </c>
      <c r="H3" s="52">
        <v>3.5099999999999999E-2</v>
      </c>
      <c r="I3" s="73">
        <f>(1+H3/365)^365-1</f>
        <v>3.5721528087785392E-2</v>
      </c>
      <c r="J3" s="74"/>
      <c r="K3" s="67">
        <f>H3-'Daily Data'!AR115</f>
        <v>2.3199999999999998E-2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Data'!Z115</f>
        <v>1.0700000000000001E-2</v>
      </c>
    </row>
    <row r="5" spans="1:11" ht="23.15" customHeight="1" x14ac:dyDescent="0.5">
      <c r="A5" s="50" t="s">
        <v>17</v>
      </c>
      <c r="B5" s="55">
        <v>4.19E-2</v>
      </c>
      <c r="C5" s="55">
        <f t="shared" ref="C5:G5" si="2">((1+$I5)^(C2/365)-1)*365/C2</f>
        <v>3.4721450854841733E-2</v>
      </c>
      <c r="D5" s="55">
        <v>5.0299999999999997E-2</v>
      </c>
      <c r="E5" s="55">
        <f t="shared" si="2"/>
        <v>3.4797495973070948E-2</v>
      </c>
      <c r="F5" s="55">
        <f t="shared" si="2"/>
        <v>3.4847210239193682E-2</v>
      </c>
      <c r="G5" s="55">
        <f t="shared" si="2"/>
        <v>3.4996921918003271E-2</v>
      </c>
      <c r="H5" s="56">
        <v>3.4700000000000002E-2</v>
      </c>
      <c r="I5" s="73">
        <f t="shared" si="1"/>
        <v>3.5307361916328883E-2</v>
      </c>
      <c r="J5" s="74"/>
      <c r="K5" s="67">
        <f>H5-'Daily Data'!BJ115</f>
        <v>2.2200000000000001E-2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F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>((1+$I6)^(G2/365)-1)*365/G2</f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2.5999999999999999E-2</v>
      </c>
      <c r="C7" s="51">
        <f t="shared" ref="C7:G7" si="4">((1+$I7)^(C2/365)-1)*365/C2</f>
        <v>2.4710867557852234E-2</v>
      </c>
      <c r="D7" s="51">
        <v>2.7199999999999998E-2</v>
      </c>
      <c r="E7" s="51">
        <f t="shared" si="4"/>
        <v>2.4749373217086885E-2</v>
      </c>
      <c r="F7" s="51">
        <f t="shared" si="4"/>
        <v>2.4774528700820298E-2</v>
      </c>
      <c r="G7" s="51">
        <f t="shared" si="4"/>
        <v>2.4850199871383649E-2</v>
      </c>
      <c r="H7" s="52">
        <v>2.47E-2</v>
      </c>
      <c r="I7" s="73">
        <f t="shared" si="1"/>
        <v>2.5006715522271517E-2</v>
      </c>
      <c r="J7" s="74"/>
      <c r="K7" s="67">
        <f>H7-1.06%</f>
        <v>1.41E-2</v>
      </c>
    </row>
    <row r="8" spans="1:11" ht="23.15" customHeight="1" x14ac:dyDescent="0.4">
      <c r="A8" s="50" t="s">
        <v>57</v>
      </c>
      <c r="B8" s="51">
        <f>((1+$I8)^(B2/365)-1)*365/B2</f>
        <v>3.2508682795319786E-2</v>
      </c>
      <c r="C8" s="51">
        <f t="shared" ref="C8:G8" si="5">((1+$I8)^(C2/365)-1)*365/C2</f>
        <v>3.2518816632587697E-2</v>
      </c>
      <c r="D8" s="51">
        <f t="shared" si="5"/>
        <v>3.2541995508796773E-2</v>
      </c>
      <c r="E8" s="51">
        <f t="shared" si="5"/>
        <v>3.2585515295304769E-2</v>
      </c>
      <c r="F8" s="51">
        <f t="shared" si="5"/>
        <v>3.2629112682946743E-2</v>
      </c>
      <c r="G8" s="51">
        <f t="shared" si="5"/>
        <v>3.2760372011032608E-2</v>
      </c>
      <c r="H8" s="52">
        <v>3.2500000000000001E-2</v>
      </c>
      <c r="I8" s="73">
        <f t="shared" si="1"/>
        <v>3.303239851864892E-2</v>
      </c>
      <c r="J8" s="74"/>
      <c r="K8" s="67">
        <f>H8-'Daily Data'!H115</f>
        <v>2.1200000000000004E-2</v>
      </c>
    </row>
    <row r="9" spans="1:11" ht="23.15" customHeight="1" x14ac:dyDescent="0.5">
      <c r="A9" s="50" t="s">
        <v>56</v>
      </c>
      <c r="B9" s="55">
        <f>((1+$I9)^(B2/365)-1)*365/B2</f>
        <v>3.5710476968021175E-2</v>
      </c>
      <c r="C9" s="55">
        <f t="shared" ref="C9:G9" si="6">((1+$I9)^(C2/365)-1)*365/C2</f>
        <v>3.5722705279200455E-2</v>
      </c>
      <c r="D9" s="55">
        <f t="shared" si="6"/>
        <v>3.5750676674493942E-2</v>
      </c>
      <c r="E9" s="55">
        <f t="shared" si="6"/>
        <v>3.5803201779262009E-2</v>
      </c>
      <c r="F9" s="55">
        <f t="shared" si="6"/>
        <v>3.5855829777621806E-2</v>
      </c>
      <c r="G9" s="55">
        <f t="shared" si="6"/>
        <v>3.6014333404489757E-2</v>
      </c>
      <c r="H9" s="52">
        <v>3.5700000000000003E-2</v>
      </c>
      <c r="I9" s="73">
        <f t="shared" si="1"/>
        <v>3.6343087170924049E-2</v>
      </c>
      <c r="J9" s="74"/>
      <c r="K9" s="68"/>
    </row>
    <row r="10" spans="1:11" ht="21" x14ac:dyDescent="0.35">
      <c r="A10" s="50" t="s">
        <v>65</v>
      </c>
      <c r="B10" s="51">
        <v>3.5000000000000003E-2</v>
      </c>
      <c r="C10" s="51">
        <v>3.5000000000000003E-2</v>
      </c>
      <c r="D10" s="51">
        <v>0.06</v>
      </c>
      <c r="E10" s="51">
        <v>0.06</v>
      </c>
      <c r="F10" s="51">
        <v>0.06</v>
      </c>
      <c r="G10" s="11"/>
      <c r="H10" s="11"/>
      <c r="I10" s="11"/>
      <c r="J10" s="11"/>
      <c r="K10" s="11"/>
    </row>
  </sheetData>
  <conditionalFormatting sqref="A1:J9 A10:F10">
    <cfRule type="expression" dxfId="136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9C95-5633-47C0-8B6F-2CA60DA2CDBD}">
  <dimension ref="A1:K10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46189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0.03</v>
      </c>
      <c r="C3" s="54">
        <v>3.5000000000000003E-2</v>
      </c>
      <c r="D3" s="54">
        <v>3.9E-2</v>
      </c>
      <c r="E3" s="54">
        <v>0.04</v>
      </c>
      <c r="F3" s="54">
        <v>4.7300000000000002E-2</v>
      </c>
      <c r="G3" s="54">
        <v>5.2999999999999999E-2</v>
      </c>
      <c r="H3" s="52">
        <v>3.7199999999999997E-2</v>
      </c>
      <c r="I3" s="73">
        <f>(1+H3/365)^365-1</f>
        <v>3.7898612814819987E-2</v>
      </c>
      <c r="J3" s="74"/>
      <c r="K3" s="67">
        <f>H3-'Daily Data'!AR116</f>
        <v>2.4499999999999997E-2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Data'!Z116</f>
        <v>1.0000000000000002E-2</v>
      </c>
    </row>
    <row r="5" spans="1:11" ht="23.15" customHeight="1" x14ac:dyDescent="0.5">
      <c r="A5" s="50" t="s">
        <v>17</v>
      </c>
      <c r="B5" s="55">
        <v>4.1200000000000001E-2</v>
      </c>
      <c r="C5" s="55">
        <f t="shared" ref="C5:G5" si="2">((1+$I5)^(C2/365)-1)*365/C2</f>
        <v>3.4120715315691226E-2</v>
      </c>
      <c r="D5" s="55">
        <v>4.9000000000000002E-2</v>
      </c>
      <c r="E5" s="55">
        <f t="shared" si="2"/>
        <v>3.4194150509021019E-2</v>
      </c>
      <c r="F5" s="55">
        <f t="shared" si="2"/>
        <v>3.4242156544242203E-2</v>
      </c>
      <c r="G5" s="55">
        <f t="shared" si="2"/>
        <v>3.4386714456067322E-2</v>
      </c>
      <c r="H5" s="56">
        <v>3.4099999999999998E-2</v>
      </c>
      <c r="I5" s="73">
        <f t="shared" si="1"/>
        <v>3.4686422321102972E-2</v>
      </c>
      <c r="J5" s="74"/>
      <c r="K5" s="67">
        <f>H5-'Daily Data'!BJ116</f>
        <v>2.2199999999999998E-2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2.4199999999999999E-2</v>
      </c>
      <c r="C7" s="51">
        <f t="shared" ref="C7:G7" si="4">((1+$I7)^(C2/365)-1)*365/C2</f>
        <v>2.3109505049901946E-2</v>
      </c>
      <c r="D7" s="51">
        <v>2.5399999999999999E-2</v>
      </c>
      <c r="E7" s="51">
        <f t="shared" si="4"/>
        <v>2.3143180200244085E-2</v>
      </c>
      <c r="F7" s="51">
        <f t="shared" si="4"/>
        <v>2.3165177501613794E-2</v>
      </c>
      <c r="G7" s="51">
        <f t="shared" si="4"/>
        <v>2.3231336803506069E-2</v>
      </c>
      <c r="H7" s="52">
        <v>2.3099999999999999E-2</v>
      </c>
      <c r="I7" s="73">
        <f t="shared" si="1"/>
        <v>2.3368123294949417E-2</v>
      </c>
      <c r="J7" s="74"/>
      <c r="K7" s="67">
        <f>H7-1.06%</f>
        <v>1.2499999999999999E-2</v>
      </c>
    </row>
    <row r="8" spans="1:11" ht="23.15" customHeight="1" x14ac:dyDescent="0.4">
      <c r="A8" s="50" t="s">
        <v>57</v>
      </c>
      <c r="B8" s="51">
        <f>((1+$I8)^(B2/365)-1)*365/B2</f>
        <v>3.320906088040159E-2</v>
      </c>
      <c r="C8" s="51">
        <f t="shared" ref="C8:G8" si="5">((1+$I8)^(C2/365)-1)*365/C2</f>
        <v>3.3219636075024761E-2</v>
      </c>
      <c r="D8" s="51">
        <f t="shared" si="5"/>
        <v>3.3243824812786905E-2</v>
      </c>
      <c r="E8" s="51">
        <f t="shared" si="5"/>
        <v>3.3289242013672393E-2</v>
      </c>
      <c r="F8" s="51">
        <f t="shared" si="5"/>
        <v>3.3334741945595443E-2</v>
      </c>
      <c r="G8" s="51">
        <f t="shared" si="5"/>
        <v>3.3471739824844977E-2</v>
      </c>
      <c r="H8" s="52">
        <v>3.32E-2</v>
      </c>
      <c r="I8" s="73">
        <f t="shared" si="1"/>
        <v>3.3755709228882935E-2</v>
      </c>
      <c r="J8" s="74"/>
      <c r="K8" s="67">
        <f>H8-'Daily Data'!H116</f>
        <v>2.1499999999999998E-2</v>
      </c>
    </row>
    <row r="9" spans="1:11" ht="23.15" customHeight="1" x14ac:dyDescent="0.5">
      <c r="A9" s="50" t="s">
        <v>56</v>
      </c>
      <c r="B9" s="55">
        <f>((1+$I9)^(B2/365)-1)*365/B2</f>
        <v>3.5010070102444092E-2</v>
      </c>
      <c r="C9" s="55">
        <f t="shared" ref="C9:G9" si="6">((1+$I9)^(C2/365)-1)*365/C2</f>
        <v>3.5021823438143466E-2</v>
      </c>
      <c r="D9" s="55">
        <f t="shared" si="6"/>
        <v>3.5048707965300539E-2</v>
      </c>
      <c r="E9" s="55">
        <f t="shared" si="6"/>
        <v>3.5099190647355928E-2</v>
      </c>
      <c r="F9" s="55">
        <f t="shared" si="6"/>
        <v>3.5149770280249383E-2</v>
      </c>
      <c r="G9" s="55">
        <f t="shared" si="6"/>
        <v>3.5302092981027482E-2</v>
      </c>
      <c r="H9" s="52">
        <v>3.5000000000000003E-2</v>
      </c>
      <c r="I9" s="73">
        <f t="shared" si="1"/>
        <v>3.5617971057199993E-2</v>
      </c>
      <c r="J9" s="74"/>
      <c r="K9" s="67"/>
    </row>
    <row r="10" spans="1:11" ht="21" x14ac:dyDescent="0.35">
      <c r="A10" s="50" t="s">
        <v>65</v>
      </c>
      <c r="B10" s="51">
        <v>3.5000000000000003E-2</v>
      </c>
      <c r="C10" s="51">
        <v>3.5000000000000003E-2</v>
      </c>
      <c r="D10" s="51">
        <v>0.06</v>
      </c>
      <c r="E10" s="51">
        <v>0.06</v>
      </c>
      <c r="F10" s="51">
        <v>0.06</v>
      </c>
      <c r="G10" s="11"/>
      <c r="H10" s="11"/>
      <c r="I10" s="11"/>
      <c r="J10" s="11"/>
      <c r="K10" s="11"/>
    </row>
  </sheetData>
  <conditionalFormatting sqref="A1:J9 A10:F10">
    <cfRule type="expression" dxfId="135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8FF09-A24B-4DE4-B777-F654DBA15DB9}">
  <dimension ref="A1:K10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46190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2.8500000000000001E-2</v>
      </c>
      <c r="C3" s="54">
        <v>3.5000000000000003E-2</v>
      </c>
      <c r="D3" s="54">
        <v>3.7999999999999999E-2</v>
      </c>
      <c r="E3" s="54">
        <v>5.7200000000000001E-2</v>
      </c>
      <c r="F3" s="54">
        <v>4.8000000000000001E-2</v>
      </c>
      <c r="G3" s="54">
        <v>5.2999999999999999E-2</v>
      </c>
      <c r="H3" s="52">
        <v>3.7199999999999997E-2</v>
      </c>
      <c r="I3" s="73">
        <f>(1+H3/365)^365-1</f>
        <v>3.7898612814819987E-2</v>
      </c>
      <c r="J3" s="74"/>
      <c r="K3" s="67">
        <f>H3-'Daily Data'!AR117</f>
        <v>2.4999999999999994E-2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Data'!Z117</f>
        <v>9.8000000000000014E-3</v>
      </c>
    </row>
    <row r="5" spans="1:11" ht="23.15" customHeight="1" x14ac:dyDescent="0.5">
      <c r="A5" s="50" t="s">
        <v>17</v>
      </c>
      <c r="B5" s="55">
        <v>4.1200000000000001E-2</v>
      </c>
      <c r="C5" s="55">
        <f t="shared" ref="C5:G5" si="2">((1+$I5)^(C2/365)-1)*365/C2</f>
        <v>3.4320959069194204E-2</v>
      </c>
      <c r="D5" s="55">
        <v>4.9399999999999999E-2</v>
      </c>
      <c r="E5" s="55">
        <f t="shared" si="2"/>
        <v>3.4395259162604379E-2</v>
      </c>
      <c r="F5" s="55">
        <f t="shared" si="2"/>
        <v>3.4443831274714017E-2</v>
      </c>
      <c r="G5" s="55">
        <f t="shared" si="2"/>
        <v>3.459009699547997E-2</v>
      </c>
      <c r="H5" s="56">
        <v>3.4299999999999997E-2</v>
      </c>
      <c r="I5" s="73">
        <f t="shared" si="1"/>
        <v>3.4893360908936799E-2</v>
      </c>
      <c r="J5" s="74"/>
      <c r="K5" s="67">
        <f>H5-'Daily Data'!BJ117</f>
        <v>2.1899999999999996E-2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2.52E-2</v>
      </c>
      <c r="C7" s="51">
        <f t="shared" ref="C7:G7" si="4">((1+$I7)^(C2/365)-1)*365/C2</f>
        <v>2.4010260232618413E-2</v>
      </c>
      <c r="D7" s="51">
        <v>2.6200000000000001E-2</v>
      </c>
      <c r="E7" s="51">
        <f t="shared" si="4"/>
        <v>2.4046612660404476E-2</v>
      </c>
      <c r="F7" s="51">
        <f t="shared" si="4"/>
        <v>2.4070360298483404E-2</v>
      </c>
      <c r="G7" s="51">
        <f t="shared" si="4"/>
        <v>2.4141790986210568E-2</v>
      </c>
      <c r="H7" s="52">
        <v>2.4E-2</v>
      </c>
      <c r="I7" s="73">
        <f t="shared" si="1"/>
        <v>2.4289509719223279E-2</v>
      </c>
      <c r="J7" s="74"/>
      <c r="K7" s="67">
        <f>H7-1.06%</f>
        <v>1.34E-2</v>
      </c>
    </row>
    <row r="8" spans="1:11" ht="23.15" customHeight="1" x14ac:dyDescent="0.4">
      <c r="A8" s="50" t="s">
        <v>57</v>
      </c>
      <c r="B8" s="51">
        <f>((1+$I8)^(B2/365)-1)*365/B2</f>
        <v>3.3309115550375711E-2</v>
      </c>
      <c r="C8" s="51">
        <f t="shared" ref="C8:G8" si="5">((1+$I8)^(C2/365)-1)*365/C2</f>
        <v>3.3319754564417998E-2</v>
      </c>
      <c r="D8" s="51">
        <f t="shared" si="5"/>
        <v>3.3344089328047145E-2</v>
      </c>
      <c r="E8" s="51">
        <f t="shared" si="5"/>
        <v>3.3389780901737866E-2</v>
      </c>
      <c r="F8" s="51">
        <f t="shared" si="5"/>
        <v>3.3435555957286103E-2</v>
      </c>
      <c r="G8" s="51">
        <f t="shared" si="5"/>
        <v>3.3573383732896381E-2</v>
      </c>
      <c r="H8" s="52">
        <v>3.3300000000000003E-2</v>
      </c>
      <c r="I8" s="73">
        <f t="shared" si="1"/>
        <v>3.3859080551566834E-2</v>
      </c>
      <c r="J8" s="74"/>
      <c r="K8" s="67">
        <f>H8-'Daily Data'!H117</f>
        <v>2.1500000000000005E-2</v>
      </c>
    </row>
    <row r="9" spans="1:11" ht="23.15" customHeight="1" x14ac:dyDescent="0.5">
      <c r="A9" s="50" t="s">
        <v>56</v>
      </c>
      <c r="B9" s="55">
        <f>((1+$I9)^(B2/365)-1)*365/B2</f>
        <v>3.5110127732749401E-2</v>
      </c>
      <c r="C9" s="55">
        <f t="shared" ref="C9:G9" si="6">((1+$I9)^(C2/365)-1)*365/C2</f>
        <v>3.5121948345736405E-2</v>
      </c>
      <c r="D9" s="55">
        <f t="shared" si="6"/>
        <v>3.5148986819484897E-2</v>
      </c>
      <c r="E9" s="55">
        <f t="shared" si="6"/>
        <v>3.5199758789666746E-2</v>
      </c>
      <c r="F9" s="55">
        <f t="shared" si="6"/>
        <v>3.5250628545236418E-2</v>
      </c>
      <c r="G9" s="55">
        <f t="shared" si="6"/>
        <v>3.5403826645448506E-2</v>
      </c>
      <c r="H9" s="52">
        <v>3.5099999999999999E-2</v>
      </c>
      <c r="I9" s="73">
        <f t="shared" si="1"/>
        <v>3.5721528087785392E-2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J3 A4:H9 J4:J9 I4:I10 A10:F10">
    <cfRule type="expression" dxfId="134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B1850-3E60-4BD3-921A-37108592A3DF}">
  <dimension ref="A1:K10"/>
  <sheetViews>
    <sheetView zoomScale="60" zoomScaleNormal="6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46191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3.1E-2</v>
      </c>
      <c r="C3" s="54">
        <v>0.04</v>
      </c>
      <c r="D3" s="54">
        <v>3.6999999999999998E-2</v>
      </c>
      <c r="E3" s="54">
        <v>5.7000000000000002E-2</v>
      </c>
      <c r="F3" s="54">
        <v>4.8000000000000001E-2</v>
      </c>
      <c r="G3" s="54">
        <v>5.79E-2</v>
      </c>
      <c r="H3" s="52">
        <v>3.6400000000000002E-2</v>
      </c>
      <c r="I3" s="73">
        <f>(1+H3/365)^365-1</f>
        <v>3.7068709602530836E-2</v>
      </c>
      <c r="J3" s="74"/>
      <c r="K3" s="67">
        <f>H3-'Daily Data'!AR118</f>
        <v>2.4E-2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Data'!Z118</f>
        <v>9.700000000000002E-3</v>
      </c>
    </row>
    <row r="5" spans="1:11" ht="23.15" customHeight="1" x14ac:dyDescent="0.5">
      <c r="A5" s="50" t="s">
        <v>17</v>
      </c>
      <c r="B5" s="55">
        <v>4.1000000000000002E-2</v>
      </c>
      <c r="C5" s="55">
        <f t="shared" ref="C5:G5" si="2">((1+$I5)^(C2/365)-1)*365/C2</f>
        <v>3.4020593973874136E-2</v>
      </c>
      <c r="D5" s="55">
        <v>4.82E-2</v>
      </c>
      <c r="E5" s="55">
        <f t="shared" si="2"/>
        <v>3.4093598620163604E-2</v>
      </c>
      <c r="F5" s="55">
        <f t="shared" si="2"/>
        <v>3.4141322866853417E-2</v>
      </c>
      <c r="G5" s="55">
        <f t="shared" si="2"/>
        <v>3.4285030666084418E-2</v>
      </c>
      <c r="H5" s="56">
        <v>3.4000000000000002E-2</v>
      </c>
      <c r="I5" s="73">
        <f t="shared" si="1"/>
        <v>3.4582968502674616E-2</v>
      </c>
      <c r="J5" s="74"/>
      <c r="K5" s="67">
        <f>H5-'Daily Data'!BJ118</f>
        <v>2.1200000000000004E-2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2.6100000000000002E-2</v>
      </c>
      <c r="C7" s="51">
        <f t="shared" ref="C7:G7" si="4">((1+$I7)^(C2/365)-1)*365/C2</f>
        <v>2.4911044287406679E-2</v>
      </c>
      <c r="D7" s="51">
        <v>2.7400000000000001E-2</v>
      </c>
      <c r="E7" s="51">
        <f t="shared" si="4"/>
        <v>2.4950176552328323E-2</v>
      </c>
      <c r="F7" s="51">
        <f t="shared" si="4"/>
        <v>2.4975741748298013E-2</v>
      </c>
      <c r="G7" s="51">
        <f t="shared" si="4"/>
        <v>2.5052647078200485E-2</v>
      </c>
      <c r="H7" s="52">
        <v>2.4899999999999999E-2</v>
      </c>
      <c r="I7" s="73">
        <f t="shared" si="1"/>
        <v>2.5211723436161959E-2</v>
      </c>
      <c r="J7" s="74"/>
      <c r="K7" s="67">
        <f>H7-1.06%</f>
        <v>1.4299999999999998E-2</v>
      </c>
    </row>
    <row r="8" spans="1:11" ht="23.15" customHeight="1" x14ac:dyDescent="0.4">
      <c r="A8" s="50" t="s">
        <v>57</v>
      </c>
      <c r="B8" s="51">
        <f>((1+$I8)^(B2/365)-1)*365/B2</f>
        <v>3.2508682795319786E-2</v>
      </c>
      <c r="C8" s="51">
        <f t="shared" ref="C8:G8" si="5">((1+$I8)^(C2/365)-1)*365/C2</f>
        <v>3.2518816632587697E-2</v>
      </c>
      <c r="D8" s="51">
        <f t="shared" si="5"/>
        <v>3.2541995508796773E-2</v>
      </c>
      <c r="E8" s="51">
        <f t="shared" si="5"/>
        <v>3.2585515295304769E-2</v>
      </c>
      <c r="F8" s="51">
        <f t="shared" si="5"/>
        <v>3.2629112682946743E-2</v>
      </c>
      <c r="G8" s="51">
        <f t="shared" si="5"/>
        <v>3.2760372011032608E-2</v>
      </c>
      <c r="H8" s="52">
        <v>3.2500000000000001E-2</v>
      </c>
      <c r="I8" s="73">
        <f t="shared" si="1"/>
        <v>3.303239851864892E-2</v>
      </c>
      <c r="J8" s="74"/>
      <c r="K8" s="67">
        <f>H8-'Daily Data'!H118</f>
        <v>2.1299999999999999E-2</v>
      </c>
    </row>
    <row r="9" spans="1:11" ht="23.15" customHeight="1" x14ac:dyDescent="0.5">
      <c r="A9" s="50" t="s">
        <v>56</v>
      </c>
      <c r="B9" s="55">
        <f>((1+$I9)^(B2/365)-1)*365/B2</f>
        <v>3.4609841225906601E-2</v>
      </c>
      <c r="C9" s="55">
        <f t="shared" ref="C9:G9" si="6">((1+$I9)^(C2/365)-1)*365/C2</f>
        <v>3.4621327373535973E-2</v>
      </c>
      <c r="D9" s="55">
        <f t="shared" si="6"/>
        <v>3.464760051509911E-2</v>
      </c>
      <c r="E9" s="55">
        <f t="shared" si="6"/>
        <v>3.4696934332418397E-2</v>
      </c>
      <c r="F9" s="55">
        <f t="shared" si="6"/>
        <v>3.4746361809923854E-2</v>
      </c>
      <c r="G9" s="55">
        <f t="shared" si="6"/>
        <v>3.4895208206242749E-2</v>
      </c>
      <c r="H9" s="52">
        <v>3.4599999999999999E-2</v>
      </c>
      <c r="I9" s="73">
        <f t="shared" si="1"/>
        <v>3.5203846182888965E-2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J3 A4:H9 J4:J9 I4:I10 A10:F10">
    <cfRule type="expression" dxfId="133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ABA5B-C39B-4A77-B08C-BB0CC0931DE5}">
  <dimension ref="A1:K10"/>
  <sheetViews>
    <sheetView zoomScale="50" zoomScaleNormal="5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46192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3.2000000000000001E-2</v>
      </c>
      <c r="C3" s="54">
        <v>4.4499999999999998E-2</v>
      </c>
      <c r="D3" s="54">
        <v>0.04</v>
      </c>
      <c r="E3" s="54">
        <v>6.3E-2</v>
      </c>
      <c r="F3" s="54">
        <v>4.8000000000000001E-2</v>
      </c>
      <c r="G3" s="54">
        <v>5.8999999999999997E-2</v>
      </c>
      <c r="H3" s="52">
        <v>3.5099999999999999E-2</v>
      </c>
      <c r="I3" s="73">
        <f>(1+H3/365)^365-1</f>
        <v>3.5721528087785392E-2</v>
      </c>
      <c r="J3" s="74"/>
      <c r="K3" s="67">
        <f>'Daily Data'!AR119</f>
        <v>1.18E-2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Data'!Z119</f>
        <v>9.5000000000000015E-3</v>
      </c>
    </row>
    <row r="5" spans="1:11" ht="23.15" customHeight="1" x14ac:dyDescent="0.5">
      <c r="A5" s="50" t="s">
        <v>17</v>
      </c>
      <c r="B5" s="55">
        <v>4.1000000000000002E-2</v>
      </c>
      <c r="C5" s="55">
        <f t="shared" ref="C5:G5" si="2">((1+$I5)^(C2/365)-1)*365/C2</f>
        <v>3.3019400165881306E-2</v>
      </c>
      <c r="D5" s="55">
        <v>4.7399999999999998E-2</v>
      </c>
      <c r="E5" s="55">
        <f t="shared" si="2"/>
        <v>3.3088169112457676E-2</v>
      </c>
      <c r="F5" s="55">
        <f t="shared" si="2"/>
        <v>3.3133121295987555E-2</v>
      </c>
      <c r="G5" s="55">
        <f t="shared" si="2"/>
        <v>3.3268466960937645E-2</v>
      </c>
      <c r="H5" s="56">
        <v>3.3000000000000002E-2</v>
      </c>
      <c r="I5" s="73">
        <f t="shared" si="1"/>
        <v>3.3548997504548206E-2</v>
      </c>
      <c r="J5" s="74"/>
      <c r="K5" s="67">
        <f>H5-'Daily Data'!AR119</f>
        <v>2.1200000000000004E-2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2.6200000000000001E-2</v>
      </c>
      <c r="C7" s="51">
        <f t="shared" ref="C7:G7" si="4">((1+$I7)^(C2/365)-1)*365/C2</f>
        <v>2.4911044287406679E-2</v>
      </c>
      <c r="D7" s="51">
        <v>2.7400000000000001E-2</v>
      </c>
      <c r="E7" s="51">
        <f t="shared" si="4"/>
        <v>2.4950176552328323E-2</v>
      </c>
      <c r="F7" s="51">
        <f t="shared" si="4"/>
        <v>2.4975741748298013E-2</v>
      </c>
      <c r="G7" s="51">
        <f t="shared" si="4"/>
        <v>2.5052647078200485E-2</v>
      </c>
      <c r="H7" s="52">
        <v>2.4899999999999999E-2</v>
      </c>
      <c r="I7" s="73">
        <f t="shared" si="1"/>
        <v>2.5211723436161959E-2</v>
      </c>
      <c r="J7" s="74"/>
      <c r="K7" s="67">
        <f>H7-1.06%</f>
        <v>1.4299999999999998E-2</v>
      </c>
    </row>
    <row r="8" spans="1:11" ht="23.15" customHeight="1" x14ac:dyDescent="0.4">
      <c r="A8" s="50" t="s">
        <v>57</v>
      </c>
      <c r="B8" s="51">
        <f>((1+$I8)^(B2/365)-1)*365/B2</f>
        <v>3.1708260565512791E-2</v>
      </c>
      <c r="C8" s="51">
        <f t="shared" ref="C8:G8" si="5">((1+$I8)^(C2/365)-1)*365/C2</f>
        <v>3.1717901519644563E-2</v>
      </c>
      <c r="D8" s="51">
        <f t="shared" si="5"/>
        <v>3.1739952665787552E-2</v>
      </c>
      <c r="E8" s="51">
        <f t="shared" si="5"/>
        <v>3.1781353676550363E-2</v>
      </c>
      <c r="F8" s="51">
        <f t="shared" si="5"/>
        <v>3.1822826690937146E-2</v>
      </c>
      <c r="G8" s="51">
        <f t="shared" si="5"/>
        <v>3.1947679166106885E-2</v>
      </c>
      <c r="H8" s="52">
        <v>3.1699999999999999E-2</v>
      </c>
      <c r="I8" s="73">
        <f t="shared" si="1"/>
        <v>3.2206375697757972E-2</v>
      </c>
      <c r="J8" s="74"/>
      <c r="K8" s="67">
        <f>H8-'Daily Data'!H119</f>
        <v>2.0999999999999998E-2</v>
      </c>
    </row>
    <row r="9" spans="1:11" ht="23.15" customHeight="1" x14ac:dyDescent="0.5">
      <c r="A9" s="50" t="s">
        <v>56</v>
      </c>
      <c r="B9" s="55">
        <f>((1+$I9)^(B2/365)-1)*365/B2</f>
        <v>3.3509225383722141E-2</v>
      </c>
      <c r="C9" s="55">
        <f t="shared" ref="C9:G9" si="6">((1+$I9)^(C2/365)-1)*365/C2</f>
        <v>3.3519992612899605E-2</v>
      </c>
      <c r="D9" s="55">
        <f t="shared" si="6"/>
        <v>3.3544620748271248E-2</v>
      </c>
      <c r="E9" s="55">
        <f t="shared" si="6"/>
        <v>3.3590863552975504E-2</v>
      </c>
      <c r="F9" s="55">
        <f t="shared" si="6"/>
        <v>3.3637191354794753E-2</v>
      </c>
      <c r="G9" s="55">
        <f t="shared" si="6"/>
        <v>3.3776686502467984E-2</v>
      </c>
      <c r="H9" s="52">
        <v>3.3500000000000002E-2</v>
      </c>
      <c r="I9" s="73">
        <f t="shared" si="1"/>
        <v>3.4065854123153105E-2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J3 A4:H9 J4:J9 I4:I10 A10:F10">
    <cfRule type="expression" dxfId="132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7D95F-B0E2-44B2-9175-C61B43511E2A}">
  <dimension ref="A1:K10"/>
  <sheetViews>
    <sheetView zoomScale="50" zoomScaleNormal="50" workbookViewId="0">
      <selection activeCell="L9" sqref="L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46193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3.2000000000000001E-2</v>
      </c>
      <c r="C3" s="54">
        <v>3.2500000000000001E-2</v>
      </c>
      <c r="D3" s="54">
        <v>3.6600000000000001E-2</v>
      </c>
      <c r="E3" s="54">
        <v>3.8899999999999997E-2</v>
      </c>
      <c r="F3" s="54">
        <v>4.65E-2</v>
      </c>
      <c r="G3" s="54">
        <v>5.7799999999999997E-2</v>
      </c>
      <c r="H3" s="52">
        <v>3.5299999999999998E-2</v>
      </c>
      <c r="I3" s="73">
        <f>(1+H3/365)^365-1</f>
        <v>3.5928673130481092E-2</v>
      </c>
      <c r="J3" s="74"/>
      <c r="K3" s="67">
        <f>H3-'Daily Data'!AR122</f>
        <v>2.4E-2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Data'!Z120</f>
        <v>9.8000000000000014E-3</v>
      </c>
    </row>
    <row r="5" spans="1:11" ht="23.15" customHeight="1" x14ac:dyDescent="0.5">
      <c r="A5" s="50" t="s">
        <v>17</v>
      </c>
      <c r="B5" s="55">
        <v>4.1000000000000002E-2</v>
      </c>
      <c r="C5" s="55">
        <f t="shared" ref="C5:G5" si="2">((1+$I5)^(C2/365)-1)*365/C2</f>
        <v>3.131745252004222E-2</v>
      </c>
      <c r="D5" s="55">
        <v>4.7399999999999998E-2</v>
      </c>
      <c r="E5" s="55">
        <f t="shared" si="2"/>
        <v>3.137931185839702E-2</v>
      </c>
      <c r="F5" s="55">
        <f t="shared" si="2"/>
        <v>3.1419742666299495E-2</v>
      </c>
      <c r="G5" s="55">
        <f t="shared" si="2"/>
        <v>3.1541452283600606E-2</v>
      </c>
      <c r="H5" s="56">
        <v>3.1300000000000001E-2</v>
      </c>
      <c r="I5" s="73">
        <f t="shared" si="1"/>
        <v>3.1793611327958216E-2</v>
      </c>
      <c r="J5" s="74"/>
      <c r="K5" s="67">
        <f>H5-'Daily Data'!BJ120</f>
        <v>1.6800000000000002E-2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2.5700000000000001E-2</v>
      </c>
      <c r="C7" s="51">
        <f t="shared" ref="C7:G7" si="4">((1+$I7)^(C2/365)-1)*365/C2</f>
        <v>2.4510692254110272E-2</v>
      </c>
      <c r="D7" s="51">
        <v>2.7E-2</v>
      </c>
      <c r="E7" s="51">
        <f t="shared" si="4"/>
        <v>2.4548576373024433E-2</v>
      </c>
      <c r="F7" s="51">
        <f t="shared" si="4"/>
        <v>2.457332546501876E-2</v>
      </c>
      <c r="G7" s="51">
        <f t="shared" si="4"/>
        <v>2.4647772518713307E-2</v>
      </c>
      <c r="H7" s="52">
        <v>2.4500000000000001E-2</v>
      </c>
      <c r="I7" s="73">
        <f t="shared" si="1"/>
        <v>2.4801748490785425E-2</v>
      </c>
      <c r="J7" s="74"/>
      <c r="K7" s="67">
        <f>H7-1.06%</f>
        <v>1.3900000000000001E-2</v>
      </c>
    </row>
    <row r="8" spans="1:11" ht="23.15" customHeight="1" x14ac:dyDescent="0.4">
      <c r="A8" s="50" t="s">
        <v>57</v>
      </c>
      <c r="B8" s="51">
        <f>((1+$I8)^(B2/365)-1)*365/B2</f>
        <v>3.1508156652631909E-2</v>
      </c>
      <c r="C8" s="51">
        <f t="shared" ref="C8:G8" si="5">((1+$I8)^(C2/365)-1)*365/C2</f>
        <v>3.1517676306815581E-2</v>
      </c>
      <c r="D8" s="51">
        <f t="shared" si="5"/>
        <v>3.1539449919734897E-2</v>
      </c>
      <c r="E8" s="51">
        <f t="shared" si="5"/>
        <v>3.1580329518414073E-2</v>
      </c>
      <c r="F8" s="51">
        <f t="shared" si="5"/>
        <v>3.1621279764769708E-2</v>
      </c>
      <c r="G8" s="51">
        <f t="shared" si="5"/>
        <v>3.1744555764847346E-2</v>
      </c>
      <c r="H8" s="52">
        <v>3.15E-2</v>
      </c>
      <c r="I8" s="73">
        <f t="shared" si="1"/>
        <v>3.1999972932999388E-2</v>
      </c>
      <c r="J8" s="74"/>
      <c r="K8" s="67">
        <f>H8-'Daily Data'!H120</f>
        <v>2.1299999999999999E-2</v>
      </c>
    </row>
    <row r="9" spans="1:11" ht="23.15" customHeight="1" x14ac:dyDescent="0.5">
      <c r="A9" s="50" t="s">
        <v>56</v>
      </c>
      <c r="B9" s="55">
        <f>((1+$I9)^(B2/365)-1)*365/B2</f>
        <v>3.2408629440969942E-2</v>
      </c>
      <c r="C9" s="55">
        <f t="shared" ref="C9:G9" si="6">((1+$I9)^(C2/365)-1)*365/C2</f>
        <v>3.2418700995537265E-2</v>
      </c>
      <c r="D9" s="55">
        <f t="shared" si="6"/>
        <v>3.2441737365686896E-2</v>
      </c>
      <c r="E9" s="55">
        <f t="shared" si="6"/>
        <v>3.2484989406369791E-2</v>
      </c>
      <c r="F9" s="55">
        <f t="shared" si="6"/>
        <v>3.2528318333154047E-2</v>
      </c>
      <c r="G9" s="55">
        <f t="shared" si="6"/>
        <v>3.2658767969349564E-2</v>
      </c>
      <c r="H9" s="52">
        <v>3.2399999999999998E-2</v>
      </c>
      <c r="I9" s="73">
        <f t="shared" si="1"/>
        <v>3.2929109626098185E-2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J3 A4:H9 J4:J9 I4:I10 A10:F10">
    <cfRule type="expression" dxfId="131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4C863-3F20-4192-8579-45803A1F0F73}">
  <dimension ref="A1:K10"/>
  <sheetViews>
    <sheetView zoomScale="50" zoomScaleNormal="50" workbookViewId="0">
      <selection activeCell="K9" sqref="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46194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3.2000000000000001E-2</v>
      </c>
      <c r="C3" s="54">
        <v>3.2500000000000001E-2</v>
      </c>
      <c r="D3" s="54">
        <v>3.6600000000000001E-2</v>
      </c>
      <c r="E3" s="54">
        <v>3.8899999999999997E-2</v>
      </c>
      <c r="F3" s="54">
        <v>4.65E-2</v>
      </c>
      <c r="G3" s="54">
        <v>5.7799999999999997E-2</v>
      </c>
      <c r="H3" s="52">
        <v>3.5299999999999998E-2</v>
      </c>
      <c r="I3" s="73">
        <f>(1+H3/365)^365-1</f>
        <v>3.5928673130481092E-2</v>
      </c>
      <c r="J3" s="74"/>
      <c r="K3" s="67">
        <f>B3-'Daily Data'!AR121</f>
        <v>2.0700000000000003E-2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Data'!Z121</f>
        <v>9.8000000000000014E-3</v>
      </c>
    </row>
    <row r="5" spans="1:11" ht="23.15" customHeight="1" x14ac:dyDescent="0.5">
      <c r="A5" s="50" t="s">
        <v>17</v>
      </c>
      <c r="B5" s="55">
        <v>5.9299999999999999E-2</v>
      </c>
      <c r="C5" s="55">
        <f t="shared" ref="C5:G5" si="2">((1+$I5)^(C2/365)-1)*365/C2</f>
        <v>4.1730980689982856E-2</v>
      </c>
      <c r="D5" s="55">
        <v>7.1099999999999997E-2</v>
      </c>
      <c r="E5" s="55">
        <f t="shared" si="2"/>
        <v>4.1840851351749211E-2</v>
      </c>
      <c r="F5" s="55">
        <f t="shared" si="2"/>
        <v>4.1912713893351702E-2</v>
      </c>
      <c r="G5" s="55">
        <f t="shared" si="2"/>
        <v>4.2129290335449224E-2</v>
      </c>
      <c r="H5" s="56">
        <v>4.1700000000000001E-2</v>
      </c>
      <c r="I5" s="73">
        <f t="shared" si="1"/>
        <v>4.2579174052441493E-2</v>
      </c>
      <c r="J5" s="74"/>
      <c r="K5" s="67">
        <f>H5-'Daily Data'!BJ121</f>
        <v>2.1600000000000001E-2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F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>((1+$I6)^(G2/365)-1)*365/G2</f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2.5700000000000001E-2</v>
      </c>
      <c r="C7" s="51">
        <f t="shared" ref="C7:G7" si="4">((1+$I7)^(C2/365)-1)*365/C2</f>
        <v>2.4510692254110272E-2</v>
      </c>
      <c r="D7" s="51">
        <v>2.7E-2</v>
      </c>
      <c r="E7" s="51">
        <f t="shared" si="4"/>
        <v>2.4548576373024433E-2</v>
      </c>
      <c r="F7" s="51">
        <f t="shared" si="4"/>
        <v>2.457332546501876E-2</v>
      </c>
      <c r="G7" s="51">
        <f t="shared" si="4"/>
        <v>2.4647772518713307E-2</v>
      </c>
      <c r="H7" s="52">
        <v>2.4500000000000001E-2</v>
      </c>
      <c r="I7" s="73">
        <f t="shared" si="1"/>
        <v>2.4801748490785425E-2</v>
      </c>
      <c r="J7" s="74"/>
      <c r="K7" s="67">
        <f>H7-1.06%</f>
        <v>1.3900000000000001E-2</v>
      </c>
    </row>
    <row r="8" spans="1:11" ht="23.15" customHeight="1" x14ac:dyDescent="0.4">
      <c r="A8" s="50" t="s">
        <v>57</v>
      </c>
      <c r="B8" s="51">
        <f>((1+$I8)^(B2/365)-1)*365/B2</f>
        <v>3.1808312768565487E-2</v>
      </c>
      <c r="C8" s="51">
        <f t="shared" ref="C8:G8" si="5">((1+$I8)^(C2/365)-1)*365/C2</f>
        <v>3.1818014660799525E-2</v>
      </c>
      <c r="D8" s="51">
        <f t="shared" si="5"/>
        <v>3.1840205233434705E-2</v>
      </c>
      <c r="E8" s="51">
        <f t="shared" si="5"/>
        <v>3.1881868192445817E-2</v>
      </c>
      <c r="F8" s="51">
        <f t="shared" si="5"/>
        <v>3.1923603839523036E-2</v>
      </c>
      <c r="G8" s="51">
        <f t="shared" si="5"/>
        <v>3.2049248337316039E-2</v>
      </c>
      <c r="H8" s="52">
        <v>3.1800000000000002E-2</v>
      </c>
      <c r="I8" s="73">
        <f t="shared" si="1"/>
        <v>3.230959251755694E-2</v>
      </c>
      <c r="J8" s="74"/>
      <c r="K8" s="67">
        <f>H8-'Daily Data'!H121</f>
        <v>2.1600000000000001E-2</v>
      </c>
    </row>
    <row r="9" spans="1:11" ht="23.15" customHeight="1" x14ac:dyDescent="0.5">
      <c r="A9" s="50" t="s">
        <v>56</v>
      </c>
      <c r="B9" s="55">
        <f>((1+$I9)^(B2/365)-1)*365/B2</f>
        <v>3.280884384506149E-2</v>
      </c>
      <c r="C9" s="55">
        <f t="shared" ref="C9:G9" si="6">((1+$I9)^(C2/365)-1)*365/C2</f>
        <v>3.2819165682932416E-2</v>
      </c>
      <c r="D9" s="55">
        <f t="shared" si="6"/>
        <v>3.2842774717098698E-2</v>
      </c>
      <c r="E9" s="55">
        <f t="shared" si="6"/>
        <v>3.2887102710980422E-2</v>
      </c>
      <c r="F9" s="55">
        <f t="shared" si="6"/>
        <v>3.2931510477701459E-2</v>
      </c>
      <c r="G9" s="55">
        <f t="shared" si="6"/>
        <v>3.306521403168864E-2</v>
      </c>
      <c r="H9" s="52">
        <v>3.2800000000000003E-2</v>
      </c>
      <c r="I9" s="73">
        <f t="shared" si="1"/>
        <v>3.334232700144435E-2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J3 A4:H9 J4:J9 I4:I10 A10:F10">
    <cfRule type="expression" dxfId="130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FDA39-0718-4225-8C63-2A835A7D0AB1}">
  <dimension ref="A1:K10"/>
  <sheetViews>
    <sheetView zoomScale="50" zoomScaleNormal="5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46195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3.2000000000000001E-2</v>
      </c>
      <c r="C3" s="54">
        <v>3.2500000000000001E-2</v>
      </c>
      <c r="D3" s="54">
        <v>3.6600000000000001E-2</v>
      </c>
      <c r="E3" s="54">
        <v>3.8899999999999997E-2</v>
      </c>
      <c r="F3" s="54">
        <v>4.65E-2</v>
      </c>
      <c r="G3" s="54">
        <v>5.7799999999999997E-2</v>
      </c>
      <c r="H3" s="52">
        <v>3.5299999999999998E-2</v>
      </c>
      <c r="I3" s="73">
        <f>(1+H3/365)^365-1</f>
        <v>3.5928673130481092E-2</v>
      </c>
      <c r="J3" s="74"/>
      <c r="K3" s="67">
        <f>H3-'Daily Data'!AR122</f>
        <v>2.4E-2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Data'!Z122</f>
        <v>1.0400000000000001E-2</v>
      </c>
    </row>
    <row r="5" spans="1:11" ht="23.15" customHeight="1" x14ac:dyDescent="0.5">
      <c r="A5" s="50" t="s">
        <v>17</v>
      </c>
      <c r="B5" s="55">
        <v>5.9299999999999999E-2</v>
      </c>
      <c r="C5" s="55">
        <f t="shared" ref="C5:G5" si="2">((1+$I5)^(C2/365)-1)*365/C2</f>
        <v>4.9543658268123091E-2</v>
      </c>
      <c r="D5" s="55">
        <v>7.1099999999999997E-2</v>
      </c>
      <c r="E5" s="55">
        <f t="shared" si="2"/>
        <v>4.9698554137662457E-2</v>
      </c>
      <c r="F5" s="55">
        <f t="shared" si="2"/>
        <v>4.9799920991994019E-2</v>
      </c>
      <c r="G5" s="55">
        <f t="shared" si="2"/>
        <v>5.0105678377983978E-2</v>
      </c>
      <c r="H5" s="56">
        <v>4.9500000000000002E-2</v>
      </c>
      <c r="I5" s="73">
        <f t="shared" si="1"/>
        <v>5.0742065704776351E-2</v>
      </c>
      <c r="J5" s="74"/>
      <c r="K5" s="67">
        <f>H5-'Daily Data'!BJ122</f>
        <v>2.8000000000000004E-2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2.5700000000000001E-2</v>
      </c>
      <c r="C7" s="51">
        <f t="shared" ref="C7:G7" si="4">((1+$I7)^(C2/365)-1)*365/C2</f>
        <v>2.4510692254110272E-2</v>
      </c>
      <c r="D7" s="51">
        <v>2.7E-2</v>
      </c>
      <c r="E7" s="51">
        <f t="shared" si="4"/>
        <v>2.4548576373024433E-2</v>
      </c>
      <c r="F7" s="51">
        <f t="shared" si="4"/>
        <v>2.457332546501876E-2</v>
      </c>
      <c r="G7" s="51">
        <f t="shared" si="4"/>
        <v>2.4647772518713307E-2</v>
      </c>
      <c r="H7" s="52">
        <v>2.4500000000000001E-2</v>
      </c>
      <c r="I7" s="73">
        <f t="shared" si="1"/>
        <v>2.4801748490785425E-2</v>
      </c>
      <c r="J7" s="74"/>
      <c r="K7" s="67">
        <f>H7-1.06%</f>
        <v>1.3900000000000001E-2</v>
      </c>
    </row>
    <row r="8" spans="1:11" ht="23.15" customHeight="1" x14ac:dyDescent="0.4">
      <c r="A8" s="50" t="s">
        <v>57</v>
      </c>
      <c r="B8" s="51">
        <f>((1+$I8)^(B2/365)-1)*365/B2</f>
        <v>3.1808312768565487E-2</v>
      </c>
      <c r="C8" s="51">
        <f t="shared" ref="C8:G8" si="5">((1+$I8)^(C2/365)-1)*365/C2</f>
        <v>3.1818014660799525E-2</v>
      </c>
      <c r="D8" s="51">
        <f t="shared" si="5"/>
        <v>3.1840205233434705E-2</v>
      </c>
      <c r="E8" s="51">
        <f t="shared" si="5"/>
        <v>3.1881868192445817E-2</v>
      </c>
      <c r="F8" s="51">
        <f t="shared" si="5"/>
        <v>3.1923603839523036E-2</v>
      </c>
      <c r="G8" s="51">
        <f t="shared" si="5"/>
        <v>3.2049248337316039E-2</v>
      </c>
      <c r="H8" s="52">
        <v>3.1800000000000002E-2</v>
      </c>
      <c r="I8" s="73">
        <f t="shared" si="1"/>
        <v>3.230959251755694E-2</v>
      </c>
      <c r="J8" s="74"/>
      <c r="K8" s="67">
        <f>H8-'Daily Data'!H122</f>
        <v>2.1000000000000001E-2</v>
      </c>
    </row>
    <row r="9" spans="1:11" ht="23.15" customHeight="1" x14ac:dyDescent="0.5">
      <c r="A9" s="50" t="s">
        <v>56</v>
      </c>
      <c r="B9" s="55">
        <f>((1+$I9)^(B2/365)-1)*365/B2</f>
        <v>3.2508682795319786E-2</v>
      </c>
      <c r="C9" s="55">
        <f t="shared" ref="C9:G9" si="6">((1+$I9)^(C2/365)-1)*365/C2</f>
        <v>3.2518816632587697E-2</v>
      </c>
      <c r="D9" s="55">
        <f t="shared" si="6"/>
        <v>3.2541995508796773E-2</v>
      </c>
      <c r="E9" s="55">
        <f t="shared" si="6"/>
        <v>3.2585515295304769E-2</v>
      </c>
      <c r="F9" s="55">
        <f t="shared" si="6"/>
        <v>3.2629112682946743E-2</v>
      </c>
      <c r="G9" s="55">
        <f t="shared" si="6"/>
        <v>3.2760372011032608E-2</v>
      </c>
      <c r="H9" s="52">
        <v>3.2500000000000001E-2</v>
      </c>
      <c r="I9" s="73">
        <f t="shared" si="1"/>
        <v>3.303239851864892E-2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J3 A4:H9 J4:J9 I4:I10 A10:F10">
    <cfRule type="expression" dxfId="129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3BF31-FC91-4307-B478-C65C9AA5E15A}">
  <dimension ref="A1:K10"/>
  <sheetViews>
    <sheetView zoomScale="70" zoomScaleNormal="7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46196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3.2000000000000001E-2</v>
      </c>
      <c r="C3" s="54">
        <v>3.9899999999999998E-2</v>
      </c>
      <c r="D3" s="54">
        <v>3.1E-2</v>
      </c>
      <c r="E3" s="54">
        <v>6.0999999999999999E-2</v>
      </c>
      <c r="F3" s="54">
        <v>4.9000000000000002E-2</v>
      </c>
      <c r="G3" s="54">
        <v>5.9900000000000002E-2</v>
      </c>
      <c r="H3" s="52">
        <v>3.6299999999999999E-2</v>
      </c>
      <c r="I3" s="73">
        <f>(1+H3/365)^365-1</f>
        <v>3.6965018242766767E-2</v>
      </c>
      <c r="J3" s="74"/>
      <c r="K3" s="67">
        <f>H3-'Daily Data'!AR123</f>
        <v>2.3799999999999998E-2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Data'!Z123</f>
        <v>9.6000000000000009E-3</v>
      </c>
    </row>
    <row r="5" spans="1:11" ht="23.15" customHeight="1" x14ac:dyDescent="0.5">
      <c r="A5" s="50" t="s">
        <v>17</v>
      </c>
      <c r="B5" s="55">
        <v>6.3299999999999995E-2</v>
      </c>
      <c r="C5" s="55">
        <f t="shared" ref="C5:G5" si="2">((1+$I5)^(C2/365)-1)*365/C2</f>
        <v>5.2849675204099188E-2</v>
      </c>
      <c r="D5" s="55">
        <v>7.5899999999999995E-2</v>
      </c>
      <c r="E5" s="55">
        <f t="shared" si="2"/>
        <v>5.3025950027636201E-2</v>
      </c>
      <c r="F5" s="55">
        <f t="shared" si="2"/>
        <v>5.3141334131244666E-2</v>
      </c>
      <c r="G5" s="55">
        <f t="shared" si="2"/>
        <v>5.3489498686576945E-2</v>
      </c>
      <c r="H5" s="56">
        <v>5.28E-2</v>
      </c>
      <c r="I5" s="73">
        <f t="shared" si="1"/>
        <v>5.4214754655201425E-2</v>
      </c>
      <c r="J5" s="74"/>
      <c r="K5" s="67">
        <f>H5-'Daily Data'!BJ123</f>
        <v>3.09E-2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2.5700000000000001E-2</v>
      </c>
      <c r="C7" s="51">
        <f t="shared" ref="C7:G7" si="4">((1+$I7)^(C2/365)-1)*365/C2</f>
        <v>2.4510692254110272E-2</v>
      </c>
      <c r="D7" s="51">
        <v>2.7E-2</v>
      </c>
      <c r="E7" s="51">
        <f t="shared" si="4"/>
        <v>2.4548576373024433E-2</v>
      </c>
      <c r="F7" s="51">
        <f t="shared" si="4"/>
        <v>2.457332546501876E-2</v>
      </c>
      <c r="G7" s="51">
        <f t="shared" si="4"/>
        <v>2.4647772518713307E-2</v>
      </c>
      <c r="H7" s="52">
        <v>2.4500000000000001E-2</v>
      </c>
      <c r="I7" s="73">
        <f t="shared" si="1"/>
        <v>2.4801748490785425E-2</v>
      </c>
      <c r="J7" s="74"/>
      <c r="K7" s="67">
        <f>H7-1.06%</f>
        <v>1.3900000000000001E-2</v>
      </c>
    </row>
    <row r="8" spans="1:11" ht="23.15" customHeight="1" x14ac:dyDescent="0.4">
      <c r="A8" s="50" t="s">
        <v>57</v>
      </c>
      <c r="B8" s="51">
        <f>((1+$I8)^(B2/365)-1)*365/B2</f>
        <v>3.3509225383722141E-2</v>
      </c>
      <c r="C8" s="51">
        <f t="shared" ref="C8:G8" si="5">((1+$I8)^(C2/365)-1)*365/C2</f>
        <v>3.3519992612899605E-2</v>
      </c>
      <c r="D8" s="51">
        <f t="shared" si="5"/>
        <v>3.3544620748271248E-2</v>
      </c>
      <c r="E8" s="51">
        <f t="shared" si="5"/>
        <v>3.3590863552975504E-2</v>
      </c>
      <c r="F8" s="51">
        <f t="shared" si="5"/>
        <v>3.3637191354794753E-2</v>
      </c>
      <c r="G8" s="51">
        <f t="shared" si="5"/>
        <v>3.3776686502467984E-2</v>
      </c>
      <c r="H8" s="52">
        <v>3.3500000000000002E-2</v>
      </c>
      <c r="I8" s="73">
        <f t="shared" si="1"/>
        <v>3.4065854123153105E-2</v>
      </c>
      <c r="J8" s="74"/>
      <c r="K8" s="67">
        <f>H8-'Daily Data'!H123</f>
        <v>2.1500000000000002E-2</v>
      </c>
    </row>
    <row r="9" spans="1:11" ht="23.15" customHeight="1" x14ac:dyDescent="0.5">
      <c r="A9" s="50" t="s">
        <v>56</v>
      </c>
      <c r="B9" s="55">
        <f>((1+I9)^(B2/365)-1)*365/B2</f>
        <v>3.4539801443087867E-2</v>
      </c>
      <c r="C9" s="55">
        <f t="shared" ref="C9:G9" si="6">((1+J9)^(C2/365)-1)*365/C2</f>
        <v>0</v>
      </c>
      <c r="D9" s="55">
        <f t="shared" si="6"/>
        <v>0</v>
      </c>
      <c r="E9" s="55">
        <f t="shared" si="6"/>
        <v>0</v>
      </c>
      <c r="F9" s="55">
        <f t="shared" si="6"/>
        <v>0</v>
      </c>
      <c r="G9" s="55">
        <f t="shared" si="6"/>
        <v>0</v>
      </c>
      <c r="H9" s="52">
        <v>3.4529999999999998E-2</v>
      </c>
      <c r="I9" s="73">
        <f t="shared" si="1"/>
        <v>3.5131391311001847E-2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J3 A4:H9 J4:J9 I4:I10 A10:F10">
    <cfRule type="expression" dxfId="128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2475D-3D91-4BE4-AFDC-57AB25AA29C4}">
  <dimension ref="A1:K10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46197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3.2000000000000001E-2</v>
      </c>
      <c r="C3" s="54">
        <v>3.2000000000000001E-2</v>
      </c>
      <c r="D3" s="54">
        <v>3.7999999999999999E-2</v>
      </c>
      <c r="E3" s="54">
        <v>5.9700000000000003E-2</v>
      </c>
      <c r="F3" s="54">
        <v>4.9000000000000002E-2</v>
      </c>
      <c r="G3" s="54">
        <v>5.6899999999999999E-2</v>
      </c>
      <c r="H3" s="52">
        <v>3.6799999999999999E-2</v>
      </c>
      <c r="I3" s="73">
        <f>(1+H3/365)^365-1</f>
        <v>3.7483578454069244E-2</v>
      </c>
      <c r="J3" s="74"/>
      <c r="K3" s="67">
        <f>H3-'Daily Data'!AR124</f>
        <v>2.4399999999999998E-2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Data'!Z124</f>
        <v>9.5000000000000015E-3</v>
      </c>
    </row>
    <row r="5" spans="1:11" ht="23.15" customHeight="1" x14ac:dyDescent="0.5">
      <c r="A5" s="50" t="s">
        <v>17</v>
      </c>
      <c r="B5" s="55">
        <v>6.3799999999999996E-2</v>
      </c>
      <c r="C5" s="55">
        <f t="shared" ref="C5:G5" si="2">((1+$I5)^(C2/365)-1)*365/C2</f>
        <v>5.3250430930830629E-2</v>
      </c>
      <c r="D5" s="55">
        <v>7.6600000000000001E-2</v>
      </c>
      <c r="E5" s="55">
        <f t="shared" si="2"/>
        <v>5.3429391347276901E-2</v>
      </c>
      <c r="F5" s="55">
        <f t="shared" si="2"/>
        <v>5.3546536612990449E-2</v>
      </c>
      <c r="G5" s="55">
        <f t="shared" si="2"/>
        <v>5.3900030917774011E-2</v>
      </c>
      <c r="H5" s="56">
        <v>5.3199999999999997E-2</v>
      </c>
      <c r="I5" s="73">
        <f t="shared" si="1"/>
        <v>5.4636463658827239E-2</v>
      </c>
      <c r="J5" s="74"/>
      <c r="K5" s="67">
        <f>H5-'Daily Data'!BJ124</f>
        <v>3.1199999999999999E-2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2.7E-2</v>
      </c>
      <c r="C7" s="51">
        <f t="shared" ref="C7:G7" si="4">((1+$I7)^(C2/365)-1)*365/C2</f>
        <v>2.5811857215221928E-2</v>
      </c>
      <c r="D7" s="51">
        <v>2.8299999999999999E-2</v>
      </c>
      <c r="E7" s="51">
        <f t="shared" si="4"/>
        <v>2.5853871894912912E-2</v>
      </c>
      <c r="F7" s="51">
        <f t="shared" si="4"/>
        <v>2.5881321894265188E-2</v>
      </c>
      <c r="G7" s="51">
        <f t="shared" si="4"/>
        <v>2.5963905256004081E-2</v>
      </c>
      <c r="H7" s="52">
        <v>2.58E-2</v>
      </c>
      <c r="I7" s="73">
        <f t="shared" si="1"/>
        <v>2.6134765186633047E-2</v>
      </c>
      <c r="J7" s="74"/>
      <c r="K7" s="67">
        <f>H7-1.06%</f>
        <v>1.52E-2</v>
      </c>
    </row>
    <row r="8" spans="1:11" ht="23.15" customHeight="1" x14ac:dyDescent="0.4">
      <c r="A8" s="50" t="s">
        <v>57</v>
      </c>
      <c r="B8" s="51">
        <f>((1+$I8)^(B2/365)-1)*365/B2</f>
        <v>3.2708789997348199E-2</v>
      </c>
      <c r="C8" s="51">
        <f t="shared" ref="C8:G8" si="5">((1+$I8)^(C2/365)-1)*365/C2</f>
        <v>3.2719048976256326E-2</v>
      </c>
      <c r="D8" s="51">
        <f t="shared" si="5"/>
        <v>3.2742514184474304E-2</v>
      </c>
      <c r="E8" s="51">
        <f t="shared" si="5"/>
        <v>3.2786571947560107E-2</v>
      </c>
      <c r="F8" s="51">
        <f t="shared" si="5"/>
        <v>3.2830708755136703E-2</v>
      </c>
      <c r="G8" s="51">
        <f t="shared" si="5"/>
        <v>3.2963595041935363E-2</v>
      </c>
      <c r="H8" s="52">
        <v>3.27E-2</v>
      </c>
      <c r="I8" s="73">
        <f t="shared" si="1"/>
        <v>3.3239007205273285E-2</v>
      </c>
      <c r="J8" s="74"/>
      <c r="K8" s="67">
        <f>H8-'Daily Data'!H124</f>
        <v>2.1299999999999999E-2</v>
      </c>
    </row>
    <row r="9" spans="1:11" ht="23.15" customHeight="1" x14ac:dyDescent="0.5">
      <c r="A9" s="50" t="s">
        <v>56</v>
      </c>
      <c r="B9" s="55">
        <f>((1+I9)^(B2/365)-1)*365/B2</f>
        <v>3.4509784417989478E-2</v>
      </c>
      <c r="C9" s="55">
        <f t="shared" ref="C9:G9" si="6">((1+J9)^(C2/365)-1)*365/C2</f>
        <v>0</v>
      </c>
      <c r="D9" s="55">
        <f t="shared" si="6"/>
        <v>0</v>
      </c>
      <c r="E9" s="55">
        <f t="shared" si="6"/>
        <v>0</v>
      </c>
      <c r="F9" s="55">
        <f t="shared" si="6"/>
        <v>0</v>
      </c>
      <c r="G9" s="55">
        <f t="shared" si="6"/>
        <v>0</v>
      </c>
      <c r="H9" s="52">
        <v>3.4500000000000003E-2</v>
      </c>
      <c r="I9" s="73">
        <f t="shared" si="1"/>
        <v>3.5100340771234473E-2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J3 A4:H9 J4:J9 I4:I10 A10:F10">
    <cfRule type="expression" dxfId="127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804AF-E771-40A8-8D56-C7EA9D11E4AD}">
  <dimension ref="A1:K10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46198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3.2000000000000001E-2</v>
      </c>
      <c r="C3" s="54">
        <v>0.04</v>
      </c>
      <c r="D3" s="54">
        <v>4.5999999999999999E-2</v>
      </c>
      <c r="E3" s="54">
        <v>5.96E-2</v>
      </c>
      <c r="F3" s="54">
        <v>4.9000000000000002E-2</v>
      </c>
      <c r="G3" s="54">
        <v>5.96E-2</v>
      </c>
      <c r="H3" s="52">
        <v>3.61E-2</v>
      </c>
      <c r="I3" s="73">
        <f>(1+H3/365)^365-1</f>
        <v>3.6757666539783518E-2</v>
      </c>
      <c r="J3" s="74"/>
      <c r="K3" s="67">
        <f>H3-'Daily Data'!AR125</f>
        <v>2.4199999999999999E-2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Data'!Z125</f>
        <v>9.3000000000000027E-3</v>
      </c>
    </row>
    <row r="5" spans="1:11" ht="23.15" customHeight="1" x14ac:dyDescent="0.5">
      <c r="A5" s="50" t="s">
        <v>17</v>
      </c>
      <c r="B5" s="55">
        <v>6.3200000000000006E-2</v>
      </c>
      <c r="C5" s="55">
        <f t="shared" ref="C5:G5" si="2">((1+$I5)^(C2/365)-1)*365/C2</f>
        <v>5.2749487164463801E-2</v>
      </c>
      <c r="D5" s="55">
        <v>7.5800000000000006E-2</v>
      </c>
      <c r="E5" s="55">
        <f t="shared" si="2"/>
        <v>5.2925093773015672E-2</v>
      </c>
      <c r="F5" s="55">
        <f t="shared" si="2"/>
        <v>5.3040039685020607E-2</v>
      </c>
      <c r="G5" s="55">
        <f t="shared" si="2"/>
        <v>5.3386878209514509E-2</v>
      </c>
      <c r="H5" s="56">
        <v>5.2699999999999997E-2</v>
      </c>
      <c r="I5" s="73">
        <f t="shared" si="1"/>
        <v>5.4109353682553651E-2</v>
      </c>
      <c r="J5" s="74"/>
      <c r="K5" s="67">
        <f>H5-'Daily Data'!BJ125</f>
        <v>3.2799999999999996E-2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2.7199999999999998E-2</v>
      </c>
      <c r="C7" s="51">
        <f t="shared" ref="C7:G7" si="4">((1+$I7)^(C2/365)-1)*365/C2</f>
        <v>2.5911949322887175E-2</v>
      </c>
      <c r="D7" s="51">
        <v>2.8500000000000001E-2</v>
      </c>
      <c r="E7" s="51">
        <f t="shared" si="4"/>
        <v>2.5954290603619774E-2</v>
      </c>
      <c r="F7" s="51">
        <f t="shared" si="4"/>
        <v>2.5981954177583283E-2</v>
      </c>
      <c r="G7" s="51">
        <f t="shared" si="4"/>
        <v>2.6065180992459636E-2</v>
      </c>
      <c r="H7" s="52">
        <v>2.5899999999999999E-2</v>
      </c>
      <c r="I7" s="73">
        <f t="shared" si="1"/>
        <v>2.6237376526543565E-2</v>
      </c>
      <c r="J7" s="74"/>
      <c r="K7" s="67">
        <f>H7-1.06%</f>
        <v>1.5299999999999999E-2</v>
      </c>
    </row>
    <row r="8" spans="1:11" ht="23.15" customHeight="1" x14ac:dyDescent="0.4">
      <c r="A8" s="50" t="s">
        <v>57</v>
      </c>
      <c r="B8" s="51">
        <f>((1+$I8)^(B2/365)-1)*365/B2</f>
        <v>3.2408629440969942E-2</v>
      </c>
      <c r="C8" s="51">
        <f t="shared" ref="C8:G8" si="5">((1+$I8)^(C2/365)-1)*365/C2</f>
        <v>3.2418700995537265E-2</v>
      </c>
      <c r="D8" s="51">
        <f t="shared" si="5"/>
        <v>3.2441737365686896E-2</v>
      </c>
      <c r="E8" s="51">
        <f t="shared" si="5"/>
        <v>3.2484989406369791E-2</v>
      </c>
      <c r="F8" s="51">
        <f t="shared" si="5"/>
        <v>3.2528318333154047E-2</v>
      </c>
      <c r="G8" s="51">
        <f t="shared" si="5"/>
        <v>3.2658767969349564E-2</v>
      </c>
      <c r="H8" s="52">
        <v>3.2399999999999998E-2</v>
      </c>
      <c r="I8" s="73">
        <f t="shared" si="1"/>
        <v>3.2929109626098185E-2</v>
      </c>
      <c r="J8" s="74"/>
      <c r="K8" s="67">
        <f>H8-'Daily Data'!H125</f>
        <v>2.1199999999999997E-2</v>
      </c>
    </row>
    <row r="9" spans="1:11" ht="23.15" customHeight="1" x14ac:dyDescent="0.5">
      <c r="A9" s="50" t="s">
        <v>56</v>
      </c>
      <c r="B9" s="55">
        <f>((1+$I9)^(B2/365)-1)*365/B2</f>
        <v>3.4609841225906601E-2</v>
      </c>
      <c r="C9" s="55">
        <f t="shared" ref="C9:G9" si="6">((1+$I9)^(C2/365)-1)*365/C2</f>
        <v>3.4621327373535973E-2</v>
      </c>
      <c r="D9" s="55">
        <f t="shared" si="6"/>
        <v>3.464760051509911E-2</v>
      </c>
      <c r="E9" s="55">
        <f t="shared" si="6"/>
        <v>3.4696934332418397E-2</v>
      </c>
      <c r="F9" s="55">
        <f t="shared" si="6"/>
        <v>3.4746361809923854E-2</v>
      </c>
      <c r="G9" s="55">
        <f t="shared" si="6"/>
        <v>3.4895208206242749E-2</v>
      </c>
      <c r="H9" s="52">
        <v>3.4599999999999999E-2</v>
      </c>
      <c r="I9" s="73">
        <f t="shared" si="1"/>
        <v>3.5203846182888965E-2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J3 A4:H9 J4:J9 I4:I10 A10:F10">
    <cfRule type="expression" dxfId="126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1A786-82BA-4459-BBDE-F09C37E15C6A}">
  <dimension ref="A1:K10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46199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3.2000000000000001E-2</v>
      </c>
      <c r="C3" s="54">
        <v>3.9899999999999998E-2</v>
      </c>
      <c r="D3" s="54">
        <v>4.1000000000000002E-2</v>
      </c>
      <c r="E3" s="54">
        <v>5.9299999999999999E-2</v>
      </c>
      <c r="F3" s="54">
        <v>4.0899999999999999E-2</v>
      </c>
      <c r="G3" s="54">
        <v>5.9499999999999997E-2</v>
      </c>
      <c r="H3" s="52">
        <v>3.6999999999999998E-2</v>
      </c>
      <c r="I3" s="73">
        <f>(1+H3/365)^365-1</f>
        <v>3.7691074941686109E-2</v>
      </c>
      <c r="J3" s="74"/>
      <c r="K3" s="67">
        <f>H3-'Daily Data'!AR126</f>
        <v>2.47E-2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Data'!Z126</f>
        <v>9.1999999999999998E-3</v>
      </c>
    </row>
    <row r="5" spans="1:11" ht="23.15" customHeight="1" x14ac:dyDescent="0.5">
      <c r="A5" s="50" t="s">
        <v>17</v>
      </c>
      <c r="B5" s="55">
        <v>6.4699999999999994E-2</v>
      </c>
      <c r="C5" s="55">
        <f t="shared" ref="C5:G5" si="2">((1+$I6)^(C2/365)-1)*365/C2</f>
        <v>3.3720232087598924E-2</v>
      </c>
      <c r="D5" s="55">
        <v>7.7700000000000005E-2</v>
      </c>
      <c r="E5" s="55">
        <f t="shared" si="2"/>
        <v>3.3791952704462558E-2</v>
      </c>
      <c r="F5" s="55">
        <f t="shared" si="2"/>
        <v>3.3838836584806672E-2</v>
      </c>
      <c r="G5" s="55">
        <f t="shared" si="2"/>
        <v>3.3980009211555737E-2</v>
      </c>
      <c r="H5" s="56">
        <v>5.3999999999999999E-2</v>
      </c>
      <c r="I5" s="73">
        <f t="shared" si="1"/>
        <v>5.5480386424407557E-2</v>
      </c>
      <c r="J5" s="74"/>
      <c r="K5" s="67">
        <f>H5-'Daily Data'!BJ126</f>
        <v>3.3299999999999996E-2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2.6800000000000001E-2</v>
      </c>
      <c r="C7" s="51">
        <f t="shared" ref="C7:G7" si="4">((1+$I7)^(C2/365)-1)*365/C2</f>
        <v>2.5511583031124378E-2</v>
      </c>
      <c r="D7" s="51">
        <v>2.8199999999999999E-2</v>
      </c>
      <c r="E7" s="51">
        <f t="shared" si="4"/>
        <v>2.5552625507271554E-2</v>
      </c>
      <c r="F7" s="51">
        <f t="shared" si="4"/>
        <v>2.5579439765606862E-2</v>
      </c>
      <c r="G7" s="51">
        <f t="shared" si="4"/>
        <v>2.5660107842983764E-2</v>
      </c>
      <c r="H7" s="52">
        <v>2.5499999999999998E-2</v>
      </c>
      <c r="I7" s="73">
        <f t="shared" si="1"/>
        <v>2.5826992553672934E-2</v>
      </c>
      <c r="J7" s="74"/>
      <c r="K7" s="67">
        <f>H7-1.06%</f>
        <v>1.4899999999999998E-2</v>
      </c>
    </row>
    <row r="8" spans="1:11" ht="23.15" customHeight="1" x14ac:dyDescent="0.4">
      <c r="A8" s="50" t="s">
        <v>57</v>
      </c>
      <c r="B8" s="51">
        <f>((1+$I8)^(B2/365)-1)*365/B2</f>
        <v>3.320906088040159E-2</v>
      </c>
      <c r="C8" s="51">
        <f t="shared" ref="C8:G8" si="5">((1+$I8)^(C2/365)-1)*365/C2</f>
        <v>3.3219636075024761E-2</v>
      </c>
      <c r="D8" s="51">
        <f t="shared" si="5"/>
        <v>3.3243824812786905E-2</v>
      </c>
      <c r="E8" s="51">
        <f t="shared" si="5"/>
        <v>3.3289242013672393E-2</v>
      </c>
      <c r="F8" s="51">
        <f t="shared" si="5"/>
        <v>3.3334741945595443E-2</v>
      </c>
      <c r="G8" s="51">
        <f t="shared" si="5"/>
        <v>3.3471739824844977E-2</v>
      </c>
      <c r="H8" s="52">
        <v>3.32E-2</v>
      </c>
      <c r="I8" s="73">
        <f t="shared" si="1"/>
        <v>3.3755709228882935E-2</v>
      </c>
      <c r="J8" s="74"/>
      <c r="K8" s="67">
        <f>H8-'Daily Data'!H126</f>
        <v>2.1499999999999998E-2</v>
      </c>
    </row>
    <row r="9" spans="1:11" ht="23.15" customHeight="1" x14ac:dyDescent="0.5">
      <c r="A9" s="50" t="s">
        <v>56</v>
      </c>
      <c r="B9" s="55">
        <f>((1+$I9)^(B2/365)-1)*365/B2</f>
        <v>3.4709898198359249E-2</v>
      </c>
      <c r="C9" s="55">
        <f t="shared" ref="C9:G9" si="6">((1+$I9)^(C2/365)-1)*365/C2</f>
        <v>3.4721450854841733E-2</v>
      </c>
      <c r="D9" s="55">
        <f t="shared" si="6"/>
        <v>3.4747876182692296E-2</v>
      </c>
      <c r="E9" s="55">
        <f t="shared" si="6"/>
        <v>3.4797495973070948E-2</v>
      </c>
      <c r="F9" s="55">
        <f t="shared" si="6"/>
        <v>3.4847210239193682E-2</v>
      </c>
      <c r="G9" s="55">
        <f t="shared" si="6"/>
        <v>3.4996921918003271E-2</v>
      </c>
      <c r="H9" s="52">
        <v>3.4700000000000002E-2</v>
      </c>
      <c r="I9" s="73">
        <f t="shared" si="1"/>
        <v>3.5307361916328883E-2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J3 A4:H9 J4:J9 I4:I10 A10:F10">
    <cfRule type="expression" dxfId="125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9514F-1E25-485B-9723-8DC3E9BD2631}">
  <dimension ref="A1:K10"/>
  <sheetViews>
    <sheetView zoomScale="70" zoomScaleNormal="70" workbookViewId="0">
      <selection activeCell="K9" sqref="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46200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3.2000000000000001E-2</v>
      </c>
      <c r="C3" s="54">
        <v>3.78E-2</v>
      </c>
      <c r="D3" s="54">
        <v>4.0800000000000003E-2</v>
      </c>
      <c r="E3" s="54">
        <v>5.8400000000000001E-2</v>
      </c>
      <c r="F3" s="54">
        <v>0.04</v>
      </c>
      <c r="G3" s="54">
        <v>4.3999999999999997E-2</v>
      </c>
      <c r="H3" s="52">
        <v>3.6600000000000001E-2</v>
      </c>
      <c r="I3" s="73">
        <f>(1+H3/365)^365-1</f>
        <v>3.727612334382413E-2</v>
      </c>
      <c r="J3" s="74"/>
      <c r="K3" s="67">
        <f>H3-'Daily Data'!AR127</f>
        <v>2.4300000000000002E-2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'Daily Data'!Z127</f>
        <v>1.6299999999999999E-2</v>
      </c>
    </row>
    <row r="5" spans="1:11" ht="23.15" customHeight="1" x14ac:dyDescent="0.5">
      <c r="A5" s="50" t="s">
        <v>17</v>
      </c>
      <c r="B5" s="55">
        <v>5.1900000000000002E-2</v>
      </c>
      <c r="C5" s="55">
        <f t="shared" ref="C5:G5" si="2">((1+$I5)^(C2/365)-1)*365/C2</f>
        <v>5.4653120929969511E-2</v>
      </c>
      <c r="D5" s="55">
        <v>6.2199999999999998E-2</v>
      </c>
      <c r="E5" s="55">
        <f t="shared" si="2"/>
        <v>5.4841641376906967E-2</v>
      </c>
      <c r="F5" s="55">
        <f t="shared" si="2"/>
        <v>5.4965056522566016E-2</v>
      </c>
      <c r="G5" s="55">
        <f t="shared" si="2"/>
        <v>5.5337527987590028E-2</v>
      </c>
      <c r="H5" s="56">
        <v>5.4600000000000003E-2</v>
      </c>
      <c r="I5" s="73">
        <f t="shared" si="1"/>
        <v>5.6113770425693321E-2</v>
      </c>
      <c r="J5" s="74"/>
      <c r="K5" s="67">
        <f>H5-'Daily Data'!BJ127</f>
        <v>3.4300000000000004E-2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3.39E-2</v>
      </c>
      <c r="C7" s="51">
        <f t="shared" ref="C7:G7" si="4">((1+$I7)^(C2/365)-1)*365/C2</f>
        <v>3.2318585715067308E-2</v>
      </c>
      <c r="D7" s="51">
        <v>3.5499999999999997E-2</v>
      </c>
      <c r="E7" s="51">
        <f t="shared" si="4"/>
        <v>3.2384465142249297E-2</v>
      </c>
      <c r="F7" s="51">
        <f t="shared" si="4"/>
        <v>3.2427526440872788E-2</v>
      </c>
      <c r="G7" s="51">
        <f t="shared" si="4"/>
        <v>3.255716890990918E-2</v>
      </c>
      <c r="H7" s="52">
        <v>3.2300000000000002E-2</v>
      </c>
      <c r="I7" s="73">
        <f t="shared" si="1"/>
        <v>3.2825831032744723E-2</v>
      </c>
      <c r="J7" s="74"/>
      <c r="K7" s="67">
        <f>H7-1.06%</f>
        <v>2.1700000000000004E-2</v>
      </c>
    </row>
    <row r="8" spans="1:11" ht="23.15" customHeight="1" x14ac:dyDescent="0.4">
      <c r="A8" s="50" t="s">
        <v>57</v>
      </c>
      <c r="B8" s="51">
        <f>((1+$I8)^(B2/365)-1)*365/B2</f>
        <v>3.3909447023868777E-2</v>
      </c>
      <c r="C8" s="51">
        <f t="shared" ref="C8:G8" si="5">((1+$I8)^(C2/365)-1)*365/C2</f>
        <v>3.3920472988498589E-2</v>
      </c>
      <c r="D8" s="51">
        <f t="shared" si="5"/>
        <v>3.3945693147479895E-2</v>
      </c>
      <c r="E8" s="51">
        <f t="shared" si="5"/>
        <v>3.3993048356382727E-2</v>
      </c>
      <c r="F8" s="51">
        <f t="shared" si="5"/>
        <v>3.4040491647770316E-2</v>
      </c>
      <c r="G8" s="51">
        <f t="shared" si="5"/>
        <v>3.4183351862080429E-2</v>
      </c>
      <c r="H8" s="52">
        <v>3.39E-2</v>
      </c>
      <c r="I8" s="73">
        <f t="shared" si="1"/>
        <v>3.4479524999688094E-2</v>
      </c>
      <c r="J8" s="74"/>
      <c r="K8" s="67">
        <f>H8-'Daily Data'!H127</f>
        <v>2.2600000000000002E-2</v>
      </c>
    </row>
    <row r="9" spans="1:11" ht="23.15" customHeight="1" x14ac:dyDescent="0.5">
      <c r="A9" s="50" t="s">
        <v>56</v>
      </c>
      <c r="B9" s="55">
        <f>((1+$I9)^(B2/365)-1)*365/B2</f>
        <v>3.5010070102444092E-2</v>
      </c>
      <c r="C9" s="55">
        <f t="shared" ref="C9:G9" si="6">((1+$I9)^(C2/365)-1)*365/C2</f>
        <v>3.5021823438143466E-2</v>
      </c>
      <c r="D9" s="55">
        <f t="shared" si="6"/>
        <v>3.5048707965300539E-2</v>
      </c>
      <c r="E9" s="55">
        <f t="shared" si="6"/>
        <v>3.5099190647355928E-2</v>
      </c>
      <c r="F9" s="55">
        <f t="shared" si="6"/>
        <v>3.5149770280249383E-2</v>
      </c>
      <c r="G9" s="55">
        <f t="shared" si="6"/>
        <v>3.5302092981027482E-2</v>
      </c>
      <c r="H9" s="52">
        <v>3.5000000000000003E-2</v>
      </c>
      <c r="I9" s="73">
        <f t="shared" si="1"/>
        <v>3.5617971057199993E-2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J3 A4:H9 J4:J9 I4:I10 A10:F10">
    <cfRule type="expression" dxfId="124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55DB7-AC91-49B2-9D06-E4041CEF45F8}">
  <dimension ref="A1:K10"/>
  <sheetViews>
    <sheetView zoomScale="80" zoomScaleNormal="80" workbookViewId="0">
      <selection activeCell="I10" sqref="I10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46201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3.2000000000000001E-2</v>
      </c>
      <c r="C3" s="54">
        <v>3.78E-2</v>
      </c>
      <c r="D3" s="54">
        <v>4.0800000000000003E-2</v>
      </c>
      <c r="E3" s="54">
        <v>5.8400000000000001E-2</v>
      </c>
      <c r="F3" s="54">
        <v>0.04</v>
      </c>
      <c r="G3" s="54">
        <v>4.3999999999999997E-2</v>
      </c>
      <c r="H3" s="52">
        <v>3.6600000000000001E-2</v>
      </c>
      <c r="I3" s="73">
        <f>(1+H3/365)^365-1</f>
        <v>3.727612334382413E-2</v>
      </c>
      <c r="J3" s="74"/>
      <c r="K3" s="67">
        <f>H3-'Daily Data'!AR128</f>
        <v>2.4300000000000002E-2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Data'!Z128</f>
        <v>9.1999999999999998E-3</v>
      </c>
    </row>
    <row r="5" spans="1:11" ht="23.15" customHeight="1" x14ac:dyDescent="0.5">
      <c r="A5" s="50" t="s">
        <v>17</v>
      </c>
      <c r="B5" s="55">
        <v>5.1900000000000002E-2</v>
      </c>
      <c r="C5" s="55">
        <f t="shared" ref="C5:G5" si="2">((1+$I5)^(C2/365)-1)*365/C2</f>
        <v>5.3651192366085794E-2</v>
      </c>
      <c r="D5" s="55">
        <v>6.2199999999999998E-2</v>
      </c>
      <c r="E5" s="55">
        <f t="shared" si="2"/>
        <v>5.3832858749404591E-2</v>
      </c>
      <c r="F5" s="55">
        <f t="shared" si="2"/>
        <v>5.3951778611946395E-2</v>
      </c>
      <c r="G5" s="55">
        <f t="shared" si="2"/>
        <v>5.4310643676858256E-2</v>
      </c>
      <c r="H5" s="56">
        <v>5.3600000000000002E-2</v>
      </c>
      <c r="I5" s="73">
        <f t="shared" si="1"/>
        <v>5.5058340892861102E-2</v>
      </c>
      <c r="J5" s="74"/>
      <c r="K5" s="67">
        <f>H5-'Daily Data'!BJ128</f>
        <v>3.4299999999999997E-2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H6-1.2%</f>
        <v>2.1700000000000001E-2</v>
      </c>
    </row>
    <row r="7" spans="1:11" ht="23.15" customHeight="1" x14ac:dyDescent="0.4">
      <c r="A7" s="50" t="s">
        <v>47</v>
      </c>
      <c r="B7" s="51">
        <v>3.39E-2</v>
      </c>
      <c r="C7" s="51">
        <f t="shared" ref="C7:G7" si="4">((1+$I7)^(C2/365)-1)*365/C2</f>
        <v>3.2318585715067308E-2</v>
      </c>
      <c r="D7" s="51">
        <v>3.5499999999999997E-2</v>
      </c>
      <c r="E7" s="51">
        <f t="shared" si="4"/>
        <v>3.2384465142249297E-2</v>
      </c>
      <c r="F7" s="51">
        <f t="shared" si="4"/>
        <v>3.2427526440872788E-2</v>
      </c>
      <c r="G7" s="51">
        <f t="shared" si="4"/>
        <v>3.255716890990918E-2</v>
      </c>
      <c r="H7" s="52">
        <v>3.2300000000000002E-2</v>
      </c>
      <c r="I7" s="73">
        <f t="shared" si="1"/>
        <v>3.2825831032744723E-2</v>
      </c>
      <c r="J7" s="74"/>
      <c r="K7" s="67">
        <f>H7-1.06%</f>
        <v>2.1700000000000004E-2</v>
      </c>
    </row>
    <row r="8" spans="1:11" ht="23.15" customHeight="1" x14ac:dyDescent="0.4">
      <c r="A8" s="50" t="s">
        <v>57</v>
      </c>
      <c r="B8" s="51">
        <f>((1+$I8)^(B2/365)-1)*365/B2</f>
        <v>3.4209614980849228E-2</v>
      </c>
      <c r="C8" s="51">
        <f t="shared" ref="C8:G8" si="5">((1+$I8)^(C2/365)-1)*365/C2</f>
        <v>3.4220837014135107E-2</v>
      </c>
      <c r="D8" s="51">
        <f t="shared" si="5"/>
        <v>3.4246505811097595E-2</v>
      </c>
      <c r="E8" s="51">
        <f t="shared" si="5"/>
        <v>3.4294704023164348E-2</v>
      </c>
      <c r="F8" s="51">
        <f t="shared" si="5"/>
        <v>3.4342992680180727E-2</v>
      </c>
      <c r="G8" s="51">
        <f t="shared" si="5"/>
        <v>3.4488403232455951E-2</v>
      </c>
      <c r="H8" s="52">
        <v>3.4200000000000001E-2</v>
      </c>
      <c r="I8" s="73">
        <f t="shared" si="1"/>
        <v>3.4789886456186414E-2</v>
      </c>
      <c r="J8" s="74"/>
      <c r="K8" s="67">
        <f>H8-'Daily Data'!H128</f>
        <v>2.3E-2</v>
      </c>
    </row>
    <row r="9" spans="1:11" ht="23.15" customHeight="1" x14ac:dyDescent="0.5">
      <c r="A9" s="50" t="s">
        <v>56</v>
      </c>
      <c r="B9" s="55">
        <f>((1+$I9)^(B2/365)-1)*365/B2</f>
        <v>3.430967129548395E-2</v>
      </c>
      <c r="C9" s="55">
        <f t="shared" ref="C9:G9" si="6">((1+$I9)^(C2/365)-1)*365/C2</f>
        <v>3.4320959069194204E-2</v>
      </c>
      <c r="D9" s="55">
        <f t="shared" si="6"/>
        <v>3.4346778292231983E-2</v>
      </c>
      <c r="E9" s="55">
        <f t="shared" si="6"/>
        <v>3.4395259162604379E-2</v>
      </c>
      <c r="F9" s="55">
        <f t="shared" si="6"/>
        <v>3.4443831274714017E-2</v>
      </c>
      <c r="G9" s="55">
        <f t="shared" si="6"/>
        <v>3.459009699547997E-2</v>
      </c>
      <c r="H9" s="52">
        <v>3.4299999999999997E-2</v>
      </c>
      <c r="I9" s="73">
        <f t="shared" si="1"/>
        <v>3.4893360908936799E-2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J3 A4:H9 J4:J9 I4:I10 A10:F10">
    <cfRule type="expression" dxfId="123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58CD3-1204-45CA-98E8-A90E9A4429CD}">
  <dimension ref="A1:K10"/>
  <sheetViews>
    <sheetView zoomScale="70" zoomScaleNormal="7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46202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3.2000000000000001E-2</v>
      </c>
      <c r="C3" s="54">
        <v>3.78E-2</v>
      </c>
      <c r="D3" s="54">
        <v>4.0800000000000003E-2</v>
      </c>
      <c r="E3" s="54">
        <v>5.8400000000000001E-2</v>
      </c>
      <c r="F3" s="54">
        <v>0.04</v>
      </c>
      <c r="G3" s="54">
        <v>4.3999999999999997E-2</v>
      </c>
      <c r="H3" s="52">
        <v>3.6600000000000001E-2</v>
      </c>
      <c r="I3" s="73">
        <f>(1+H3/365)^365-1</f>
        <v>3.727612334382413E-2</v>
      </c>
      <c r="J3" s="74"/>
      <c r="K3" s="67">
        <f>H3-'Daily Data'!AR129</f>
        <v>2.4300000000000002E-2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Data'!Z129</f>
        <v>9.9000000000000008E-3</v>
      </c>
    </row>
    <row r="5" spans="1:11" ht="23.15" customHeight="1" x14ac:dyDescent="0.5">
      <c r="A5" s="50" t="s">
        <v>17</v>
      </c>
      <c r="B5" s="55">
        <v>5.1900000000000002E-2</v>
      </c>
      <c r="C5" s="55">
        <f t="shared" ref="C5:G5" si="2">((1+$I5)^(C2/365)-1)*365/C2</f>
        <v>4.323325015011005E-2</v>
      </c>
      <c r="D5" s="55">
        <v>6.2199999999999998E-2</v>
      </c>
      <c r="E5" s="55">
        <f t="shared" si="2"/>
        <v>4.3351178817987633E-2</v>
      </c>
      <c r="F5" s="55">
        <f t="shared" si="2"/>
        <v>4.3428319855029436E-2</v>
      </c>
      <c r="G5" s="55">
        <f t="shared" si="2"/>
        <v>4.3660842741178034E-2</v>
      </c>
      <c r="H5" s="56">
        <v>4.3200000000000002E-2</v>
      </c>
      <c r="I5" s="73">
        <f t="shared" si="1"/>
        <v>4.4144034169892876E-2</v>
      </c>
      <c r="J5" s="74"/>
      <c r="K5" s="67">
        <f>H5-'Daily Data'!BJ129</f>
        <v>2.4800000000000003E-2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3.39E-2</v>
      </c>
      <c r="C7" s="51">
        <f t="shared" ref="C7:G7" si="4">((1+$I7)^(C2/365)-1)*365/C2</f>
        <v>3.2318585715067308E-2</v>
      </c>
      <c r="D7" s="51">
        <v>3.5499999999999997E-2</v>
      </c>
      <c r="E7" s="51">
        <f t="shared" si="4"/>
        <v>3.2384465142249297E-2</v>
      </c>
      <c r="F7" s="51">
        <f t="shared" si="4"/>
        <v>3.2427526440872788E-2</v>
      </c>
      <c r="G7" s="51">
        <f t="shared" si="4"/>
        <v>3.255716890990918E-2</v>
      </c>
      <c r="H7" s="52">
        <v>3.2300000000000002E-2</v>
      </c>
      <c r="I7" s="73">
        <f t="shared" si="1"/>
        <v>3.2825831032744723E-2</v>
      </c>
      <c r="J7" s="74"/>
      <c r="K7" s="67">
        <f>H7-1.06%</f>
        <v>2.1700000000000004E-2</v>
      </c>
    </row>
    <row r="8" spans="1:11" ht="23.15" customHeight="1" x14ac:dyDescent="0.4">
      <c r="A8" s="50" t="s">
        <v>57</v>
      </c>
      <c r="B8" s="51">
        <f>((1+$I8)^(B2/365)-1)*365/B2</f>
        <v>3.290889785714822E-2</v>
      </c>
      <c r="C8" s="51">
        <f t="shared" ref="C8:G8" si="5">((1+$I8)^(C2/365)-1)*365/C2</f>
        <v>3.2919282746055836E-2</v>
      </c>
      <c r="D8" s="51">
        <f t="shared" si="5"/>
        <v>3.2943036046151376E-2</v>
      </c>
      <c r="E8" s="51">
        <f t="shared" si="5"/>
        <v>3.2987635099189561E-2</v>
      </c>
      <c r="F8" s="51">
        <f t="shared" si="5"/>
        <v>3.3032314657883019E-2</v>
      </c>
      <c r="G8" s="51">
        <f t="shared" si="5"/>
        <v>3.3166838004525655E-2</v>
      </c>
      <c r="H8" s="52">
        <v>3.2899999999999999E-2</v>
      </c>
      <c r="I8" s="73">
        <f t="shared" si="1"/>
        <v>3.3445657100777071E-2</v>
      </c>
      <c r="J8" s="74"/>
      <c r="K8" s="67">
        <f>H8-'Daily Data'!H129</f>
        <v>2.1299999999999999E-2</v>
      </c>
    </row>
    <row r="9" spans="1:11" ht="23.15" customHeight="1" x14ac:dyDescent="0.5">
      <c r="A9" s="50" t="s">
        <v>56</v>
      </c>
      <c r="B9" s="55">
        <f>((1+$I9)^(B2/365)-1)*365/B2</f>
        <v>3.4209614980849228E-2</v>
      </c>
      <c r="C9" s="55">
        <f t="shared" ref="C9:G9" si="6">((1+$I9)^(C2/365)-1)*365/C2</f>
        <v>3.4220837014135107E-2</v>
      </c>
      <c r="D9" s="55">
        <f t="shared" si="6"/>
        <v>3.4246505811097595E-2</v>
      </c>
      <c r="E9" s="55">
        <f t="shared" si="6"/>
        <v>3.4294704023164348E-2</v>
      </c>
      <c r="F9" s="55">
        <f t="shared" si="6"/>
        <v>3.4342992680180727E-2</v>
      </c>
      <c r="G9" s="55">
        <f t="shared" si="6"/>
        <v>3.4488403232455951E-2</v>
      </c>
      <c r="H9" s="52">
        <v>3.4200000000000001E-2</v>
      </c>
      <c r="I9" s="73">
        <f t="shared" si="1"/>
        <v>3.4789886456186414E-2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J3 A4:H9 J4:J9 I4:I10 A10:F10">
    <cfRule type="expression" dxfId="122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BE957-385A-493C-88B6-892701ED8687}">
  <dimension ref="A1:K10"/>
  <sheetViews>
    <sheetView zoomScale="80" zoomScaleNormal="80" workbookViewId="0">
      <selection activeCell="H5" sqref="H5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46203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0.03</v>
      </c>
      <c r="C3" s="54">
        <v>3.1899999999999998E-2</v>
      </c>
      <c r="D3" s="54">
        <v>3.9E-2</v>
      </c>
      <c r="E3" s="54">
        <v>5.7799999999999997E-2</v>
      </c>
      <c r="F3" s="54">
        <v>4.4999999999999998E-2</v>
      </c>
      <c r="G3" s="54">
        <v>4.1000000000000002E-2</v>
      </c>
      <c r="H3" s="52">
        <v>3.9800000000000002E-2</v>
      </c>
      <c r="I3" s="73">
        <f>(1+H3/365)^365-1</f>
        <v>4.0600374996768718E-2</v>
      </c>
      <c r="J3" s="74"/>
      <c r="K3" s="67">
        <f>H3-'Daily Data'!AR130</f>
        <v>2.6000000000000002E-2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Data'!Z130</f>
        <v>8.8000000000000023E-3</v>
      </c>
    </row>
    <row r="5" spans="1:11" ht="23.15" customHeight="1" x14ac:dyDescent="0.5">
      <c r="A5" s="50" t="s">
        <v>17</v>
      </c>
      <c r="B5" s="55">
        <v>5.1900000000000002E-2</v>
      </c>
      <c r="C5" s="55">
        <f t="shared" ref="C5:G5" si="2">((1+$I5)^(C2/365)-1)*365/C2</f>
        <v>4.323325015011005E-2</v>
      </c>
      <c r="D5" s="55">
        <v>6.2199999999999998E-2</v>
      </c>
      <c r="E5" s="55">
        <f t="shared" si="2"/>
        <v>4.3351178817987633E-2</v>
      </c>
      <c r="F5" s="55">
        <f t="shared" si="2"/>
        <v>4.3428319855029436E-2</v>
      </c>
      <c r="G5" s="55">
        <f t="shared" si="2"/>
        <v>4.3660842741178034E-2</v>
      </c>
      <c r="H5" s="56">
        <v>4.3200000000000002E-2</v>
      </c>
      <c r="I5" s="73">
        <f t="shared" si="1"/>
        <v>4.4144034169892876E-2</v>
      </c>
      <c r="J5" s="74"/>
      <c r="K5" s="67">
        <f>H5-'Daily Data'!BJ129</f>
        <v>2.4800000000000003E-2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3.5299999999999998E-2</v>
      </c>
      <c r="C7" s="51">
        <f t="shared" ref="C7:G7" si="4">((1+$I7)^(C2/365)-1)*365/C2</f>
        <v>3.3620112171935869E-2</v>
      </c>
      <c r="D7" s="51">
        <v>3.6900000000000002E-2</v>
      </c>
      <c r="E7" s="51">
        <f t="shared" si="4"/>
        <v>3.3691407316138212E-2</v>
      </c>
      <c r="F7" s="51">
        <f t="shared" si="4"/>
        <v>3.3738012740671279E-2</v>
      </c>
      <c r="G7" s="51">
        <f t="shared" si="4"/>
        <v>3.3878345364413684E-2</v>
      </c>
      <c r="H7" s="52">
        <v>3.3599999999999998E-2</v>
      </c>
      <c r="I7" s="73">
        <f t="shared" si="1"/>
        <v>3.4169256374043444E-2</v>
      </c>
      <c r="J7" s="74"/>
      <c r="K7" s="67">
        <f>H7-1.06%</f>
        <v>2.3E-2</v>
      </c>
    </row>
    <row r="8" spans="1:11" ht="23.15" customHeight="1" x14ac:dyDescent="0.4">
      <c r="A8" s="50" t="s">
        <v>57</v>
      </c>
      <c r="B8" s="51">
        <f>((1+$I8)^(B2/365)-1)*365/B2</f>
        <v>3.5910594695506913E-2</v>
      </c>
      <c r="C8" s="51">
        <f t="shared" ref="C8:G8" si="5">((1+$I8)^(C2/365)-1)*365/C2</f>
        <v>3.5922960443012478E-2</v>
      </c>
      <c r="D8" s="51">
        <f t="shared" si="5"/>
        <v>3.5951246333042218E-2</v>
      </c>
      <c r="E8" s="51">
        <f t="shared" si="5"/>
        <v>3.6004362447270476E-2</v>
      </c>
      <c r="F8" s="51">
        <f t="shared" si="5"/>
        <v>3.6057583196594925E-2</v>
      </c>
      <c r="G8" s="51">
        <f t="shared" si="5"/>
        <v>3.6217875576784582E-2</v>
      </c>
      <c r="H8" s="52">
        <v>3.5900000000000001E-2</v>
      </c>
      <c r="I8" s="73">
        <f t="shared" si="1"/>
        <v>3.6550356185158339E-2</v>
      </c>
      <c r="J8" s="74"/>
      <c r="K8" s="67">
        <f>H8-'Daily Data'!H130</f>
        <v>2.23E-2</v>
      </c>
    </row>
    <row r="9" spans="1:11" ht="23.15" customHeight="1" x14ac:dyDescent="0.5">
      <c r="A9" s="50" t="s">
        <v>56</v>
      </c>
      <c r="B9" s="55">
        <f>((1+$I9)^(B2/365)-1)*365/B2</f>
        <v>3.6811132610262698E-2</v>
      </c>
      <c r="C9" s="55">
        <f t="shared" ref="C9:G9" si="6">((1+$I9)^(C2/365)-1)*365/C2</f>
        <v>3.6824126331346081E-2</v>
      </c>
      <c r="D9" s="55">
        <f t="shared" si="6"/>
        <v>3.6853849234498227E-2</v>
      </c>
      <c r="E9" s="55">
        <f t="shared" si="6"/>
        <v>3.6909665927788916E-2</v>
      </c>
      <c r="F9" s="55">
        <f t="shared" si="6"/>
        <v>3.6965595336695314E-2</v>
      </c>
      <c r="G9" s="55">
        <f t="shared" si="6"/>
        <v>3.7134062420906062E-2</v>
      </c>
      <c r="H9" s="52">
        <v>3.6799999999999999E-2</v>
      </c>
      <c r="I9" s="73">
        <f t="shared" si="1"/>
        <v>3.7483578454069244E-2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J9 I4:I10 A10:F10">
    <cfRule type="expression" dxfId="121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572BA-1347-4FB2-B711-0D3384EECF67}">
  <dimension ref="A1:K10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46204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3.2000000000000001E-2</v>
      </c>
      <c r="C3" s="54">
        <v>4.2999999999999997E-2</v>
      </c>
      <c r="D3" s="54">
        <v>4.1000000000000002E-2</v>
      </c>
      <c r="E3" s="54">
        <v>5.8000000000000003E-2</v>
      </c>
      <c r="F3" s="54">
        <v>4.9500000000000002E-2</v>
      </c>
      <c r="G3" s="54">
        <v>5.5E-2</v>
      </c>
      <c r="H3" s="52">
        <v>3.9600000000000003E-2</v>
      </c>
      <c r="I3" s="73">
        <f>(1+H3/365)^365-1</f>
        <v>4.0392298362033729E-2</v>
      </c>
      <c r="J3" s="74"/>
      <c r="K3" s="67">
        <f>H3-'Daily Data'!AR131</f>
        <v>2.5000000000000001E-2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Data'!Z131</f>
        <v>8.5000000000000006E-3</v>
      </c>
    </row>
    <row r="5" spans="1:11" ht="23.15" customHeight="1" x14ac:dyDescent="0.5">
      <c r="A5" s="50" t="s">
        <v>17</v>
      </c>
      <c r="B5" s="55">
        <v>4.87E-2</v>
      </c>
      <c r="C5" s="55">
        <f t="shared" ref="C5:G5" si="2">((1+$I5)^(C2/365)-1)*365/C2</f>
        <v>3.5922960443012478E-2</v>
      </c>
      <c r="D5" s="55">
        <v>5.16E-2</v>
      </c>
      <c r="E5" s="55">
        <f t="shared" si="2"/>
        <v>3.6004362447270476E-2</v>
      </c>
      <c r="F5" s="55">
        <f t="shared" si="2"/>
        <v>3.6057583196594925E-2</v>
      </c>
      <c r="G5" s="55">
        <f t="shared" si="2"/>
        <v>3.6217875576784582E-2</v>
      </c>
      <c r="H5" s="56">
        <v>3.5900000000000001E-2</v>
      </c>
      <c r="I5" s="73">
        <f t="shared" si="1"/>
        <v>3.6550356185158339E-2</v>
      </c>
      <c r="J5" s="74"/>
      <c r="K5" s="67">
        <f>H5-'Daily Data'!BJ131</f>
        <v>2.2499999999999999E-2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3.6999999999999998E-2</v>
      </c>
      <c r="C7" s="51">
        <f t="shared" ref="C7:G7" si="4">((1+$I7)^(C2/365)-1)*365/C2</f>
        <v>3.5222073609817203E-2</v>
      </c>
      <c r="D7" s="51">
        <v>3.8699999999999998E-2</v>
      </c>
      <c r="E7" s="51">
        <f t="shared" si="4"/>
        <v>3.5300328557368831E-2</v>
      </c>
      <c r="F7" s="51">
        <f t="shared" si="4"/>
        <v>3.5351489269211729E-2</v>
      </c>
      <c r="G7" s="51">
        <f t="shared" si="4"/>
        <v>3.5505565298553574E-2</v>
      </c>
      <c r="H7" s="52">
        <v>3.5200000000000002E-2</v>
      </c>
      <c r="I7" s="73">
        <f t="shared" si="1"/>
        <v>3.582509544513357E-2</v>
      </c>
      <c r="J7" s="74"/>
      <c r="K7" s="67">
        <f>H7-1.06%</f>
        <v>2.4600000000000004E-2</v>
      </c>
    </row>
    <row r="8" spans="1:11" ht="23.15" customHeight="1" x14ac:dyDescent="0.4">
      <c r="A8" s="50" t="s">
        <v>57</v>
      </c>
      <c r="B8" s="51">
        <f>((1+$I8)^(B2/365)-1)*365/B2</f>
        <v>3.5510359898422834E-2</v>
      </c>
      <c r="C8" s="51">
        <f t="shared" ref="C8:G8" si="5">((1+$I8)^(C2/365)-1)*365/C2</f>
        <v>3.5522451541739289E-2</v>
      </c>
      <c r="D8" s="51">
        <f t="shared" si="5"/>
        <v>3.5550110202771878E-2</v>
      </c>
      <c r="E8" s="51">
        <f t="shared" si="5"/>
        <v>3.5602047613818195E-2</v>
      </c>
      <c r="F8" s="51">
        <f t="shared" si="5"/>
        <v>3.5654086196407357E-2</v>
      </c>
      <c r="G8" s="51">
        <f t="shared" si="5"/>
        <v>3.581081119315413E-2</v>
      </c>
      <c r="H8" s="52">
        <v>3.5499999999999997E-2</v>
      </c>
      <c r="I8" s="73">
        <f t="shared" si="1"/>
        <v>3.6135859488784616E-2</v>
      </c>
      <c r="J8" s="74"/>
      <c r="K8" s="67">
        <f>H8-'Daily Data'!H131</f>
        <v>2.1999999999999999E-2</v>
      </c>
    </row>
    <row r="9" spans="1:11" ht="23.15" customHeight="1" x14ac:dyDescent="0.5">
      <c r="A9" s="50" t="s">
        <v>56</v>
      </c>
      <c r="B9" s="55">
        <f>((1+$I9)^(B2/365)-1)*365/B2</f>
        <v>3.7111314875581947E-2</v>
      </c>
      <c r="C9" s="55">
        <f t="shared" ref="C9:G9" si="6">((1+$I9)^(C2/365)-1)*365/C2</f>
        <v>3.7124521379478526E-2</v>
      </c>
      <c r="D9" s="55">
        <f t="shared" si="6"/>
        <v>3.7154731209908344E-2</v>
      </c>
      <c r="E9" s="55">
        <f t="shared" si="6"/>
        <v>3.7211463020234627E-2</v>
      </c>
      <c r="F9" s="55">
        <f t="shared" si="6"/>
        <v>3.7268310329474294E-2</v>
      </c>
      <c r="G9" s="55">
        <f t="shared" si="6"/>
        <v>3.7439547899246244E-2</v>
      </c>
      <c r="H9" s="52">
        <v>3.7100000000000001E-2</v>
      </c>
      <c r="I9" s="73">
        <f t="shared" si="1"/>
        <v>3.7794838704558797E-2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J9 I4:I10 A10:F10">
    <cfRule type="expression" dxfId="120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E7969-355B-4B9D-950D-F2317480328D}">
  <dimension ref="A1:K10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46205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3.5000000000000003E-2</v>
      </c>
      <c r="C3" s="54">
        <v>4.2999999999999997E-2</v>
      </c>
      <c r="D3" s="54">
        <v>4.1000000000000002E-2</v>
      </c>
      <c r="E3" s="54">
        <v>5.21E-2</v>
      </c>
      <c r="F3" s="54">
        <v>4.8800000000000003E-2</v>
      </c>
      <c r="G3" s="54">
        <v>5.9700000000000003E-2</v>
      </c>
      <c r="H3" s="52">
        <v>4.0300000000000002E-2</v>
      </c>
      <c r="I3" s="73">
        <f>(1+H3/365)^365-1</f>
        <v>4.1120748168237853E-2</v>
      </c>
      <c r="J3" s="74"/>
      <c r="K3" s="67">
        <f>H3-'Daily Data'!AR132</f>
        <v>2.4800000000000003E-2</v>
      </c>
    </row>
    <row r="4" spans="1:11" ht="23.15" customHeight="1" x14ac:dyDescent="0.5">
      <c r="A4" s="50" t="s">
        <v>15</v>
      </c>
      <c r="B4" s="55">
        <f>((1+$I4)^(B2/365)-1)*365/B2</f>
        <v>2.5035149911084891E-2</v>
      </c>
      <c r="C4" s="55">
        <f t="shared" ref="C4:G4" si="0">((1+$I4)^(C2/365)-1)*365/C2</f>
        <v>2.5041159926311014E-2</v>
      </c>
      <c r="D4" s="55">
        <f t="shared" si="0"/>
        <v>2.5054904328822736E-2</v>
      </c>
      <c r="E4" s="55">
        <f t="shared" si="0"/>
        <v>2.5080702201325855E-2</v>
      </c>
      <c r="F4" s="55">
        <f t="shared" si="0"/>
        <v>2.5106535490993349E-2</v>
      </c>
      <c r="G4" s="55">
        <f t="shared" si="0"/>
        <v>2.5184248410435296E-2</v>
      </c>
      <c r="H4" s="56">
        <v>2.503E-2</v>
      </c>
      <c r="I4" s="73">
        <f t="shared" ref="I4:I9" si="1">(1+H4/365)^365-1</f>
        <v>2.5345000507333015E-2</v>
      </c>
      <c r="J4" s="74"/>
      <c r="K4" s="67">
        <f>H4-'Daily Data'!Z132</f>
        <v>7.4299999999999991E-3</v>
      </c>
    </row>
    <row r="5" spans="1:11" ht="23.15" customHeight="1" x14ac:dyDescent="0.5">
      <c r="A5" s="50" t="s">
        <v>17</v>
      </c>
      <c r="B5" s="55">
        <v>3.6600000000000001E-2</v>
      </c>
      <c r="C5" s="55">
        <f t="shared" ref="C5:G5" si="2">((1+$I5)^(C2/365)-1)*365/C2</f>
        <v>3.762518692503198E-2</v>
      </c>
      <c r="D5" s="55">
        <v>3.8399999999999997E-2</v>
      </c>
      <c r="E5" s="55">
        <f t="shared" si="2"/>
        <v>3.7714490694561884E-2</v>
      </c>
      <c r="F5" s="55">
        <f t="shared" si="2"/>
        <v>3.7772884523489474E-2</v>
      </c>
      <c r="G5" s="55">
        <f t="shared" si="2"/>
        <v>3.7948790239201682E-2</v>
      </c>
      <c r="H5" s="56">
        <v>3.7600000000000001E-2</v>
      </c>
      <c r="I5" s="73">
        <f t="shared" si="1"/>
        <v>3.8313812750667031E-2</v>
      </c>
      <c r="J5" s="74"/>
      <c r="K5" s="67">
        <f>H5-'Daily Data'!Z132</f>
        <v>0.02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3.6600000000000001E-2</v>
      </c>
      <c r="C7" s="51">
        <f t="shared" ref="C7:G7" si="4">((1+$I7)^(C2/365)-1)*365/C2</f>
        <v>3.4921698887096272E-2</v>
      </c>
      <c r="D7" s="51">
        <v>3.8399999999999997E-2</v>
      </c>
      <c r="E7" s="51">
        <f t="shared" si="4"/>
        <v>3.4998624130466095E-2</v>
      </c>
      <c r="F7" s="51">
        <f t="shared" si="4"/>
        <v>3.5048914474249737E-2</v>
      </c>
      <c r="G7" s="51">
        <f t="shared" si="4"/>
        <v>3.52003643051041E-2</v>
      </c>
      <c r="H7" s="52">
        <v>3.49E-2</v>
      </c>
      <c r="I7" s="73">
        <f t="shared" si="1"/>
        <v>3.5514424352408591E-2</v>
      </c>
      <c r="J7" s="74"/>
      <c r="K7" s="67">
        <f>H7-1.06%</f>
        <v>2.4300000000000002E-2</v>
      </c>
    </row>
    <row r="8" spans="1:11" ht="23.15" customHeight="1" x14ac:dyDescent="0.4">
      <c r="A8" s="50" t="s">
        <v>57</v>
      </c>
      <c r="B8" s="51">
        <f>((1+$I8)^(B2/365)-1)*365/B2</f>
        <v>3.6310832124105845E-2</v>
      </c>
      <c r="C8" s="51">
        <f t="shared" ref="C8:G8" si="5">((1+$I8)^(C2/365)-1)*365/C2</f>
        <v>3.6323475049729645E-2</v>
      </c>
      <c r="D8" s="51">
        <f t="shared" si="5"/>
        <v>3.6352395210776788E-2</v>
      </c>
      <c r="E8" s="51">
        <f t="shared" si="5"/>
        <v>3.6406703291771501E-2</v>
      </c>
      <c r="F8" s="51">
        <f t="shared" si="5"/>
        <v>3.6461119549689336E-2</v>
      </c>
      <c r="G8" s="51">
        <f t="shared" si="5"/>
        <v>3.6625019812009267E-2</v>
      </c>
      <c r="H8" s="52">
        <v>3.6299999999999999E-2</v>
      </c>
      <c r="I8" s="73">
        <f t="shared" si="1"/>
        <v>3.6965018242766767E-2</v>
      </c>
      <c r="J8" s="74"/>
      <c r="K8" s="67">
        <f>H8-'Daily Data'!H132</f>
        <v>2.23E-2</v>
      </c>
    </row>
    <row r="9" spans="1:11" ht="23.15" customHeight="1" x14ac:dyDescent="0.5">
      <c r="A9" s="50" t="s">
        <v>56</v>
      </c>
      <c r="B9" s="55">
        <f>((1+$I9)^(B2/365)-1)*365/B2</f>
        <v>3.7811745917646675E-2</v>
      </c>
      <c r="C9" s="55">
        <f t="shared" ref="C9:G9" si="6">((1+$I9)^(C2/365)-1)*365/C2</f>
        <v>3.7825455639434812E-2</v>
      </c>
      <c r="D9" s="55">
        <f t="shared" si="6"/>
        <v>3.7856817040241096E-2</v>
      </c>
      <c r="E9" s="55">
        <f t="shared" si="6"/>
        <v>3.7915713146943579E-2</v>
      </c>
      <c r="F9" s="55">
        <f t="shared" si="6"/>
        <v>3.7974731424557651E-2</v>
      </c>
      <c r="G9" s="55">
        <f t="shared" si="6"/>
        <v>3.8152522137446708E-2</v>
      </c>
      <c r="H9" s="52">
        <v>3.78E-2</v>
      </c>
      <c r="I9" s="73">
        <f t="shared" si="1"/>
        <v>3.8521474829770863E-2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J9 I4:I10 A10:F10">
    <cfRule type="expression" dxfId="119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A527B-382E-4028-82B8-A3346B083178}">
  <dimension ref="A1:K10"/>
  <sheetViews>
    <sheetView zoomScale="50" zoomScaleNormal="5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46206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3.49E-2</v>
      </c>
      <c r="C3" s="54">
        <v>3.7999999999999999E-2</v>
      </c>
      <c r="D3" s="54">
        <v>3.9899999999999998E-2</v>
      </c>
      <c r="E3" s="54">
        <v>5.7599999999999998E-2</v>
      </c>
      <c r="F3" s="54">
        <v>3.9100000000000003E-2</v>
      </c>
      <c r="G3" s="54">
        <v>5.1999999999999998E-2</v>
      </c>
      <c r="H3" s="52">
        <v>4.1500000000000002E-2</v>
      </c>
      <c r="I3" s="73">
        <f>(1+H3/365)^365-1</f>
        <v>4.237070282542077E-2</v>
      </c>
      <c r="J3" s="74"/>
      <c r="K3" s="67">
        <f>H3-'Daily Data'!AR133</f>
        <v>2.5100000000000001E-2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Data'!Z133</f>
        <v>7.6000000000000026E-3</v>
      </c>
    </row>
    <row r="5" spans="1:11" ht="23.15" customHeight="1" x14ac:dyDescent="0.5">
      <c r="A5" s="50" t="s">
        <v>17</v>
      </c>
      <c r="B5" s="55">
        <v>4.6600000000000003E-2</v>
      </c>
      <c r="C5" s="55">
        <f t="shared" ref="C5:G5" si="2">((1+$I5)^(C2/365)-1)*365/C2</f>
        <v>3.7124521379478526E-2</v>
      </c>
      <c r="D5" s="55">
        <v>5.3499999999999999E-2</v>
      </c>
      <c r="E5" s="55">
        <f t="shared" si="2"/>
        <v>3.7211463020234627E-2</v>
      </c>
      <c r="F5" s="55">
        <f t="shared" si="2"/>
        <v>3.7268310329474294E-2</v>
      </c>
      <c r="G5" s="55">
        <f t="shared" si="2"/>
        <v>3.7439547899246244E-2</v>
      </c>
      <c r="H5" s="56">
        <v>3.7100000000000001E-2</v>
      </c>
      <c r="I5" s="73">
        <f t="shared" si="1"/>
        <v>3.7794838704558797E-2</v>
      </c>
      <c r="J5" s="74"/>
      <c r="K5" s="67">
        <f>H5-'Daily Data'!BJ133</f>
        <v>2.2100000000000002E-2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3.8100000000000002E-2</v>
      </c>
      <c r="C7" s="51">
        <f t="shared" ref="C7:G7" si="4">((1+$I7)^(C2/365)-1)*365/C2</f>
        <v>3.6323475049729645E-2</v>
      </c>
      <c r="D7" s="55">
        <v>3.9899999999999998E-2</v>
      </c>
      <c r="E7" s="51">
        <f t="shared" si="4"/>
        <v>3.6406703291771501E-2</v>
      </c>
      <c r="F7" s="51">
        <f t="shared" si="4"/>
        <v>3.6461119549689336E-2</v>
      </c>
      <c r="G7" s="51">
        <f t="shared" si="4"/>
        <v>3.6625019812009267E-2</v>
      </c>
      <c r="H7" s="52">
        <v>3.6299999999999999E-2</v>
      </c>
      <c r="I7" s="73">
        <f t="shared" si="1"/>
        <v>3.6965018242766767E-2</v>
      </c>
      <c r="J7" s="74"/>
      <c r="K7" s="67">
        <f>H7-1.06%</f>
        <v>2.5700000000000001E-2</v>
      </c>
    </row>
    <row r="8" spans="1:11" ht="23.15" customHeight="1" x14ac:dyDescent="0.4">
      <c r="A8" s="50" t="s">
        <v>57</v>
      </c>
      <c r="B8" s="51">
        <f>((1+$I8)^(B2/365)-1)*365/B2</f>
        <v>3.7311437208140515E-2</v>
      </c>
      <c r="C8" s="51">
        <f t="shared" ref="C8:G8" si="5">((1+$I8)^(C2/365)-1)*365/C2</f>
        <v>3.7324786527908681E-2</v>
      </c>
      <c r="D8" s="51">
        <f t="shared" si="5"/>
        <v>3.735532317743958E-2</v>
      </c>
      <c r="E8" s="51">
        <f t="shared" si="5"/>
        <v>3.7412669211809337E-2</v>
      </c>
      <c r="F8" s="51">
        <f t="shared" si="5"/>
        <v>3.74701326258867E-2</v>
      </c>
      <c r="G8" s="51">
        <f t="shared" si="5"/>
        <v>3.7643229852613126E-2</v>
      </c>
      <c r="H8" s="52">
        <v>3.73E-2</v>
      </c>
      <c r="I8" s="73">
        <f t="shared" si="1"/>
        <v>3.8002397273573685E-2</v>
      </c>
      <c r="J8" s="74"/>
      <c r="K8" s="67">
        <f>H8-'Daily Data'!H133</f>
        <v>2.24E-2</v>
      </c>
    </row>
    <row r="9" spans="1:11" ht="23.15" customHeight="1" x14ac:dyDescent="0.5">
      <c r="A9" s="50" t="s">
        <v>56</v>
      </c>
      <c r="B9" s="55">
        <f>((1+$I9)^(B2/365)-1)*365/B2</f>
        <v>3.8912439551918511E-2</v>
      </c>
      <c r="C9" s="55">
        <f t="shared" ref="C9:G9" si="6">((1+$I9)^(C2/365)-1)*365/C2</f>
        <v>3.8926959066522389E-2</v>
      </c>
      <c r="D9" s="55">
        <f t="shared" si="6"/>
        <v>3.8960173660393282E-2</v>
      </c>
      <c r="E9" s="55">
        <f t="shared" si="6"/>
        <v>3.9022552912378425E-2</v>
      </c>
      <c r="F9" s="55">
        <f t="shared" si="6"/>
        <v>3.9085065331842528E-2</v>
      </c>
      <c r="G9" s="55">
        <f t="shared" si="6"/>
        <v>3.9273404797430481E-2</v>
      </c>
      <c r="H9" s="52">
        <v>3.8899999999999997E-2</v>
      </c>
      <c r="I9" s="73">
        <f t="shared" si="1"/>
        <v>3.9664356841096371E-2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J9 I4:I10 A10:F10">
    <cfRule type="expression" dxfId="118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C5005-8548-4173-9DD8-16EE698BFA58}">
  <dimension ref="A1:K10"/>
  <sheetViews>
    <sheetView zoomScale="50" zoomScaleNormal="5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46207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5.0999999999999997E-2</v>
      </c>
      <c r="C3" s="54">
        <v>4.2799999999999998E-2</v>
      </c>
      <c r="D3" s="54">
        <v>0.04</v>
      </c>
      <c r="E3" s="54">
        <v>5.5899999999999998E-2</v>
      </c>
      <c r="F3" s="54">
        <v>3.9100000000000003E-2</v>
      </c>
      <c r="G3" s="54">
        <v>4.0099999999999997E-2</v>
      </c>
      <c r="H3" s="52">
        <v>4.1000000000000002E-2</v>
      </c>
      <c r="I3" s="73">
        <f>(1+H3/365)^365-1</f>
        <v>4.1849706613630966E-2</v>
      </c>
      <c r="J3" s="74"/>
      <c r="K3" s="67">
        <f>H3-'Daily Data'!AR134</f>
        <v>2.5000000000000001E-2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'Daily Data'!Z136</f>
        <v>1.55E-2</v>
      </c>
    </row>
    <row r="5" spans="1:11" ht="23.15" customHeight="1" x14ac:dyDescent="0.5">
      <c r="A5" s="50" t="s">
        <v>17</v>
      </c>
      <c r="B5" s="55">
        <v>4.5999999999999999E-2</v>
      </c>
      <c r="C5" s="55">
        <f t="shared" ref="C5:G5" si="2">((1+$I5)^(C2/365)-1)*365/C2</f>
        <v>3.7324786527908681E-2</v>
      </c>
      <c r="D5" s="55">
        <v>5.4899999999999997E-2</v>
      </c>
      <c r="E5" s="55">
        <f t="shared" si="2"/>
        <v>3.7412669211809337E-2</v>
      </c>
      <c r="F5" s="55">
        <f t="shared" si="2"/>
        <v>3.74701326258867E-2</v>
      </c>
      <c r="G5" s="55">
        <f t="shared" si="2"/>
        <v>3.7643229852613126E-2</v>
      </c>
      <c r="H5" s="56">
        <v>3.73E-2</v>
      </c>
      <c r="I5" s="73">
        <f t="shared" si="1"/>
        <v>3.8002397273573685E-2</v>
      </c>
      <c r="J5" s="74"/>
      <c r="K5" s="67">
        <f>H5-'Daily Data'!BJ134</f>
        <v>2.3400000000000001E-2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3.7999999999999999E-2</v>
      </c>
      <c r="C7" s="55">
        <f t="shared" ref="C7:G7" si="4">((1+$I7)^(C2/365)-1)*365/C2</f>
        <v>3.6223345863170948E-2</v>
      </c>
      <c r="D7" s="55">
        <v>3.9800000000000002E-2</v>
      </c>
      <c r="E7" s="55">
        <f t="shared" si="4"/>
        <v>3.6306115642032878E-2</v>
      </c>
      <c r="F7" s="55">
        <f t="shared" si="4"/>
        <v>3.6360231771886457E-2</v>
      </c>
      <c r="G7" s="55">
        <f t="shared" si="4"/>
        <v>3.6523226266277575E-2</v>
      </c>
      <c r="H7" s="52">
        <v>3.6200000000000003E-2</v>
      </c>
      <c r="I7" s="73">
        <f t="shared" si="1"/>
        <v>3.6861337222164892E-2</v>
      </c>
      <c r="J7" s="74"/>
      <c r="K7" s="67">
        <f>H7-1.06%</f>
        <v>2.5600000000000005E-2</v>
      </c>
    </row>
    <row r="8" spans="1:11" ht="23.15" customHeight="1" x14ac:dyDescent="0.4">
      <c r="A8" s="50" t="s">
        <v>57</v>
      </c>
      <c r="B8" s="51">
        <f>((1+$I8)^(B2/365)-1)*365/B2</f>
        <v>3.691119320087604E-2</v>
      </c>
      <c r="C8" s="51">
        <f t="shared" ref="C8:G8" si="5">((1+$I8)^(C2/365)-1)*365/C2</f>
        <v>3.6924257657428176E-2</v>
      </c>
      <c r="D8" s="51">
        <f t="shared" si="5"/>
        <v>3.6954142429492388E-2</v>
      </c>
      <c r="E8" s="51">
        <f t="shared" si="5"/>
        <v>3.7010263332617192E-2</v>
      </c>
      <c r="F8" s="51">
        <f t="shared" si="5"/>
        <v>3.706649787408943E-2</v>
      </c>
      <c r="G8" s="51">
        <f t="shared" si="5"/>
        <v>3.7235885920416052E-2</v>
      </c>
      <c r="H8" s="52">
        <v>3.6900000000000002E-2</v>
      </c>
      <c r="I8" s="73">
        <f t="shared" si="1"/>
        <v>3.7587321525166306E-2</v>
      </c>
      <c r="J8" s="74"/>
      <c r="K8" s="67">
        <f>H8-'Daily Data'!H134</f>
        <v>2.2400000000000003E-2</v>
      </c>
    </row>
    <row r="9" spans="1:11" ht="23.15" customHeight="1" x14ac:dyDescent="0.5">
      <c r="A9" s="50" t="s">
        <v>56</v>
      </c>
      <c r="B9" s="55">
        <f>((1+$I9)^(B2/365)-1)*365/B2</f>
        <v>3.8111933116994026E-2</v>
      </c>
      <c r="C9" s="55">
        <f t="shared" ref="C9:G9" si="6">((1+$I9)^(C2/365)-1)*365/C2</f>
        <v>3.8125861385658953E-2</v>
      </c>
      <c r="D9" s="55">
        <f t="shared" si="6"/>
        <v>3.8157722919830293E-2</v>
      </c>
      <c r="E9" s="55">
        <f t="shared" si="6"/>
        <v>3.8217559021958877E-2</v>
      </c>
      <c r="F9" s="55">
        <f t="shared" si="6"/>
        <v>3.8277520231449862E-2</v>
      </c>
      <c r="G9" s="55">
        <f t="shared" si="6"/>
        <v>3.8458157450568138E-2</v>
      </c>
      <c r="H9" s="52">
        <v>3.8100000000000002E-2</v>
      </c>
      <c r="I9" s="73">
        <f t="shared" si="1"/>
        <v>3.88330456106869E-2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J9 I4:I10 A10:F10">
    <cfRule type="expression" dxfId="117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ECF62-810D-4A8B-91D7-69193EEA4075}">
  <dimension ref="A1:K10"/>
  <sheetViews>
    <sheetView zoomScale="50" zoomScaleNormal="5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46208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5.0999999999999997E-2</v>
      </c>
      <c r="C3" s="54">
        <v>4.2799999999999998E-2</v>
      </c>
      <c r="D3" s="54">
        <v>0.04</v>
      </c>
      <c r="E3" s="54">
        <v>5.5899999999999998E-2</v>
      </c>
      <c r="F3" s="54">
        <v>3.9100000000000003E-2</v>
      </c>
      <c r="G3" s="54">
        <v>4.0099999999999997E-2</v>
      </c>
      <c r="H3" s="52">
        <v>4.1000000000000002E-2</v>
      </c>
      <c r="I3" s="73">
        <f>(1+H3/365)^365-1</f>
        <v>4.1849706613630966E-2</v>
      </c>
      <c r="J3" s="74"/>
      <c r="K3" s="67">
        <f>H3-'Daily Data'!AR134</f>
        <v>2.5000000000000001E-2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'Daily Data'!Z136</f>
        <v>1.55E-2</v>
      </c>
    </row>
    <row r="5" spans="1:11" ht="23.15" customHeight="1" x14ac:dyDescent="0.5">
      <c r="A5" s="50" t="s">
        <v>17</v>
      </c>
      <c r="B5" s="55">
        <v>4.5999999999999999E-2</v>
      </c>
      <c r="C5" s="55">
        <f t="shared" ref="C5:G5" si="2">((1+$I5)^(C2/365)-1)*365/C2</f>
        <v>3.8225997347559368E-2</v>
      </c>
      <c r="D5" s="55">
        <v>5.4899999999999997E-2</v>
      </c>
      <c r="E5" s="55">
        <f t="shared" si="2"/>
        <v>3.8318177566042645E-2</v>
      </c>
      <c r="F5" s="55">
        <f t="shared" si="2"/>
        <v>3.837845475532109E-2</v>
      </c>
      <c r="G5" s="55">
        <f t="shared" si="2"/>
        <v>3.8560045880042144E-2</v>
      </c>
      <c r="H5" s="56">
        <v>3.8199999999999998E-2</v>
      </c>
      <c r="I5" s="73">
        <f t="shared" si="1"/>
        <v>3.8936923251637001E-2</v>
      </c>
      <c r="J5" s="74"/>
      <c r="K5" s="67">
        <f>H5-'Daily Data'!BJ134</f>
        <v>2.4299999999999999E-2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3.7525053102707075E-2</v>
      </c>
      <c r="D6" s="51">
        <v>0.06</v>
      </c>
      <c r="E6" s="51">
        <f t="shared" si="3"/>
        <v>3.7613881907545298E-2</v>
      </c>
      <c r="F6" s="51">
        <f t="shared" si="3"/>
        <v>3.7671964763798499E-2</v>
      </c>
      <c r="G6" s="51">
        <f t="shared" si="3"/>
        <v>3.7846931782462699E-2</v>
      </c>
      <c r="H6" s="56">
        <v>3.7499999999999999E-2</v>
      </c>
      <c r="I6" s="73">
        <f t="shared" si="1"/>
        <v>3.8209997240440829E-2</v>
      </c>
      <c r="J6" s="74"/>
      <c r="K6" s="67">
        <f>H6-2.3%</f>
        <v>1.4499999999999999E-2</v>
      </c>
    </row>
    <row r="7" spans="1:11" ht="23.15" customHeight="1" x14ac:dyDescent="0.5">
      <c r="A7" s="50" t="s">
        <v>47</v>
      </c>
      <c r="B7" s="55">
        <v>3.7999999999999999E-2</v>
      </c>
      <c r="C7" s="55">
        <f t="shared" ref="C7:G7" si="4">((1+$I7)^(C2/365)-1)*365/C2</f>
        <v>3.6223345863170948E-2</v>
      </c>
      <c r="D7" s="55" t="s">
        <v>67</v>
      </c>
      <c r="E7" s="55">
        <f t="shared" si="4"/>
        <v>3.6306115642032878E-2</v>
      </c>
      <c r="F7" s="55">
        <f t="shared" si="4"/>
        <v>3.6360231771886457E-2</v>
      </c>
      <c r="G7" s="55">
        <f t="shared" si="4"/>
        <v>3.6523226266277575E-2</v>
      </c>
      <c r="H7" s="52">
        <v>3.6200000000000003E-2</v>
      </c>
      <c r="I7" s="73">
        <f t="shared" si="1"/>
        <v>3.6861337222164892E-2</v>
      </c>
      <c r="J7" s="74"/>
      <c r="K7" s="67">
        <f>H7-1.06%</f>
        <v>2.5600000000000005E-2</v>
      </c>
    </row>
    <row r="8" spans="1:11" ht="23.15" customHeight="1" x14ac:dyDescent="0.4">
      <c r="A8" s="50" t="s">
        <v>57</v>
      </c>
      <c r="B8" s="51">
        <f>((1+$I8)^(B2/365)-1)*365/B2</f>
        <v>3.801187055273008E-2</v>
      </c>
      <c r="C8" s="51">
        <f t="shared" ref="C8:F8" si="5">((1+$I8)^(C2/365)-1)*365/C2</f>
        <v>3.8025725780286922E-2</v>
      </c>
      <c r="D8" s="51">
        <f t="shared" si="5"/>
        <v>3.8057420163112088E-2</v>
      </c>
      <c r="E8" s="51">
        <f t="shared" si="5"/>
        <v>3.8116942104048458E-2</v>
      </c>
      <c r="F8" s="51">
        <f t="shared" si="5"/>
        <v>3.8176588168356236E-2</v>
      </c>
      <c r="G8" s="51">
        <f>((1+$I8)^(G2/365)-1)*365/G2</f>
        <v>3.8356274017090804E-2</v>
      </c>
      <c r="H8" s="52">
        <v>3.7999999999999999E-2</v>
      </c>
      <c r="I8" s="73">
        <f t="shared" si="1"/>
        <v>3.8729178327362002E-2</v>
      </c>
      <c r="J8" s="74"/>
      <c r="K8" s="67">
        <f>H8-'Daily Data'!H134</f>
        <v>2.35E-2</v>
      </c>
    </row>
    <row r="9" spans="1:11" ht="23.15" customHeight="1" x14ac:dyDescent="0.5">
      <c r="A9" s="50" t="s">
        <v>56</v>
      </c>
      <c r="B9" s="55">
        <f>((1+$I9)^(B2/365)-1)*365/B2</f>
        <v>3.8412121796570657E-2</v>
      </c>
      <c r="C9" s="55">
        <f t="shared" ref="C9:G9" si="6">((1+$I9)^(C2/365)-1)*365/C2</f>
        <v>3.8426270341367919E-2</v>
      </c>
      <c r="D9" s="55">
        <f t="shared" si="6"/>
        <v>3.8458635971029276E-2</v>
      </c>
      <c r="E9" s="55">
        <f t="shared" si="6"/>
        <v>3.8519419533253031E-2</v>
      </c>
      <c r="F9" s="55">
        <f t="shared" si="6"/>
        <v>3.8580331186044731E-2</v>
      </c>
      <c r="G9" s="55">
        <f t="shared" si="6"/>
        <v>3.8763837728371019E-2</v>
      </c>
      <c r="H9" s="52">
        <v>3.8399999999999997E-2</v>
      </c>
      <c r="I9" s="73">
        <f t="shared" si="1"/>
        <v>3.9144709610959838E-2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 J1:J9 I1:I10 A10:F10">
    <cfRule type="expression" dxfId="116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B0FE6-40EB-4A98-A537-A2536A511A10}">
  <dimension ref="A1:K10"/>
  <sheetViews>
    <sheetView zoomScale="60" zoomScaleNormal="60" workbookViewId="0">
      <selection activeCell="B4" sqref="B4:G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46209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5.0999999999999997E-2</v>
      </c>
      <c r="C3" s="54">
        <v>4.2799999999999998E-2</v>
      </c>
      <c r="D3" s="54">
        <v>0.04</v>
      </c>
      <c r="E3" s="54">
        <v>5.5899999999999998E-2</v>
      </c>
      <c r="F3" s="54">
        <v>3.9100000000000003E-2</v>
      </c>
      <c r="G3" s="54">
        <v>4.0099999999999997E-2</v>
      </c>
      <c r="H3" s="52">
        <v>4.1000000000000002E-2</v>
      </c>
      <c r="I3" s="73">
        <f>(1+H3/365)^365-1</f>
        <v>4.1849706613630966E-2</v>
      </c>
      <c r="J3" s="74"/>
      <c r="K3" s="67">
        <f>H3-'Daily Data'!AR134</f>
        <v>2.5000000000000001E-2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'Daily Data'!Z136</f>
        <v>1.55E-2</v>
      </c>
    </row>
    <row r="5" spans="1:11" ht="23.15" customHeight="1" x14ac:dyDescent="0.5">
      <c r="A5" s="50" t="s">
        <v>17</v>
      </c>
      <c r="B5" s="55">
        <v>4.5999999999999999E-2</v>
      </c>
      <c r="C5" s="55">
        <f t="shared" ref="C5:G5" si="2">((1+$I5)^(C2/365)-1)*365/C2</f>
        <v>3.8225997347559368E-2</v>
      </c>
      <c r="D5" s="55">
        <v>5.4899999999999997E-2</v>
      </c>
      <c r="E5" s="55">
        <f t="shared" si="2"/>
        <v>3.8318177566042645E-2</v>
      </c>
      <c r="F5" s="55">
        <f t="shared" si="2"/>
        <v>3.837845475532109E-2</v>
      </c>
      <c r="G5" s="55">
        <f t="shared" si="2"/>
        <v>3.8560045880042144E-2</v>
      </c>
      <c r="H5" s="56">
        <v>3.8199999999999998E-2</v>
      </c>
      <c r="I5" s="73">
        <f t="shared" si="1"/>
        <v>3.8936923251637001E-2</v>
      </c>
      <c r="J5" s="74"/>
      <c r="K5" s="67">
        <f>H5-'Daily Data'!BJ134</f>
        <v>2.4299999999999999E-2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3.7525053102707075E-2</v>
      </c>
      <c r="D6" s="51">
        <v>0.06</v>
      </c>
      <c r="E6" s="51">
        <f t="shared" si="3"/>
        <v>3.7613881907545298E-2</v>
      </c>
      <c r="F6" s="51">
        <f t="shared" si="3"/>
        <v>3.7671964763798499E-2</v>
      </c>
      <c r="G6" s="51">
        <f t="shared" si="3"/>
        <v>3.7846931782462699E-2</v>
      </c>
      <c r="H6" s="56">
        <v>3.7499999999999999E-2</v>
      </c>
      <c r="I6" s="73">
        <f t="shared" si="1"/>
        <v>3.8209997240440829E-2</v>
      </c>
      <c r="J6" s="74"/>
      <c r="K6" s="67">
        <f>H6-2.3%</f>
        <v>1.4499999999999999E-2</v>
      </c>
    </row>
    <row r="7" spans="1:11" ht="23.15" customHeight="1" x14ac:dyDescent="0.5">
      <c r="A7" s="50" t="s">
        <v>47</v>
      </c>
      <c r="B7" s="55">
        <v>3.7999999999999999E-2</v>
      </c>
      <c r="C7" s="55">
        <f t="shared" ref="C7:G7" si="4">((1+$I7)^(C2/365)-1)*365/C2</f>
        <v>3.6223345863170948E-2</v>
      </c>
      <c r="D7" s="55">
        <v>3.9199999999999999E-2</v>
      </c>
      <c r="E7" s="55">
        <f t="shared" si="4"/>
        <v>3.6306115642032878E-2</v>
      </c>
      <c r="F7" s="55">
        <f t="shared" si="4"/>
        <v>3.6360231771886457E-2</v>
      </c>
      <c r="G7" s="55">
        <f t="shared" si="4"/>
        <v>3.6523226266277575E-2</v>
      </c>
      <c r="H7" s="52">
        <v>3.6200000000000003E-2</v>
      </c>
      <c r="I7" s="73">
        <f t="shared" si="1"/>
        <v>3.6861337222164892E-2</v>
      </c>
      <c r="J7" s="74"/>
      <c r="K7" s="67">
        <f>H7-1.06%</f>
        <v>2.5600000000000005E-2</v>
      </c>
    </row>
    <row r="8" spans="1:11" ht="23.15" customHeight="1" x14ac:dyDescent="0.4">
      <c r="A8" s="50" t="s">
        <v>57</v>
      </c>
      <c r="B8" s="51">
        <f>((1+$I8)^(B2/365)-1)*365/B2</f>
        <v>3.8211995845654566E-2</v>
      </c>
      <c r="C8" s="51">
        <f t="shared" ref="C8:G8" si="5">((1+$I8)^(C2/365)-1)*365/C2</f>
        <v>3.8225997347559368E-2</v>
      </c>
      <c r="D8" s="51">
        <f t="shared" si="5"/>
        <v>3.8258026473317185E-2</v>
      </c>
      <c r="E8" s="51">
        <f t="shared" si="5"/>
        <v>3.8318177566042645E-2</v>
      </c>
      <c r="F8" s="51">
        <f t="shared" si="5"/>
        <v>3.837845475532109E-2</v>
      </c>
      <c r="G8" s="51">
        <f t="shared" si="5"/>
        <v>3.8560045880042144E-2</v>
      </c>
      <c r="H8" s="52">
        <v>3.8199999999999998E-2</v>
      </c>
      <c r="I8" s="73">
        <f t="shared" si="1"/>
        <v>3.8936923251637001E-2</v>
      </c>
      <c r="J8" s="74"/>
      <c r="K8" s="67">
        <f>H8-'Daily Data'!H134</f>
        <v>2.3699999999999999E-2</v>
      </c>
    </row>
    <row r="9" spans="1:11" ht="23.15" customHeight="1" x14ac:dyDescent="0.5">
      <c r="A9" s="50" t="s">
        <v>56</v>
      </c>
      <c r="B9" s="55">
        <f>((1+$I9)^(B2/365)-1)*365/B2</f>
        <v>3.8111933116994026E-2</v>
      </c>
      <c r="C9" s="55">
        <f t="shared" ref="C9:G9" si="6">((1+$I9)^(C2/365)-1)*365/C2</f>
        <v>3.8125861385658953E-2</v>
      </c>
      <c r="D9" s="55">
        <f t="shared" si="6"/>
        <v>3.8157722919830293E-2</v>
      </c>
      <c r="E9" s="55">
        <f t="shared" si="6"/>
        <v>3.8217559021958877E-2</v>
      </c>
      <c r="F9" s="55">
        <f t="shared" si="6"/>
        <v>3.8277520231449862E-2</v>
      </c>
      <c r="G9" s="55">
        <f t="shared" si="6"/>
        <v>3.8458157450568138E-2</v>
      </c>
      <c r="H9" s="52">
        <v>3.8100000000000002E-2</v>
      </c>
      <c r="I9" s="73">
        <f t="shared" si="1"/>
        <v>3.88330456106869E-2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 J1:J9 I1:I10 A10:F10">
    <cfRule type="expression" dxfId="115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594D0-2E07-4CF9-868C-8AB979FF3587}">
  <dimension ref="A1:K10"/>
  <sheetViews>
    <sheetView zoomScale="70" zoomScaleNormal="70" workbookViewId="0">
      <selection activeCell="B4" sqref="B4:G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46210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3.5000000000000003E-2</v>
      </c>
      <c r="C3" s="54">
        <v>0.04</v>
      </c>
      <c r="D3" s="54">
        <v>4.4999999999999998E-2</v>
      </c>
      <c r="E3" s="54">
        <v>5.5E-2</v>
      </c>
      <c r="F3" s="54">
        <v>4.4900000000000002E-2</v>
      </c>
      <c r="G3" s="54">
        <v>4.0099999999999997E-2</v>
      </c>
      <c r="H3" s="52">
        <v>4.2000000000000003E-2</v>
      </c>
      <c r="I3" s="73">
        <f>(1+H3/365)^365-1</f>
        <v>4.2891958856924539E-2</v>
      </c>
      <c r="J3" s="74"/>
      <c r="K3" s="67">
        <f>H3-'Daily Data'!AR137</f>
        <v>2.5000000000000001E-2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Data'!Z137</f>
        <v>6.7000000000000011E-3</v>
      </c>
    </row>
    <row r="5" spans="1:11" ht="23.15" customHeight="1" x14ac:dyDescent="0.5">
      <c r="A5" s="50" t="s">
        <v>17</v>
      </c>
      <c r="B5" s="55">
        <v>4.6300000000000001E-2</v>
      </c>
      <c r="C5" s="55">
        <f t="shared" ref="C5:G5" si="2">((1+$I5)^(C2/365)-1)*365/C2</f>
        <v>3.8626544761562069E-2</v>
      </c>
      <c r="D5" s="55">
        <v>5.5599999999999997E-2</v>
      </c>
      <c r="E5" s="55">
        <f t="shared" si="2"/>
        <v>3.8720668005707982E-2</v>
      </c>
      <c r="F5" s="55">
        <f t="shared" si="2"/>
        <v>3.8782217460826149E-2</v>
      </c>
      <c r="G5" s="55">
        <f t="shared" si="2"/>
        <v>3.8967649563848281E-2</v>
      </c>
      <c r="H5" s="56">
        <v>3.8600000000000002E-2</v>
      </c>
      <c r="I5" s="73">
        <f t="shared" si="1"/>
        <v>3.9352537413389843E-2</v>
      </c>
      <c r="J5" s="74"/>
      <c r="K5" s="67">
        <f>H5-'Daily Data'!BJ137</f>
        <v>2.4100000000000003E-2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3.78E-2</v>
      </c>
      <c r="C7" s="55">
        <f t="shared" ref="C7:G7" si="4">((1+$I7)^(C2/365)-1)*365/C2</f>
        <v>3.6023088559835527E-2</v>
      </c>
      <c r="D7" s="55">
        <v>3.9600000000000003E-2</v>
      </c>
      <c r="E7" s="55">
        <f t="shared" si="4"/>
        <v>3.6104945219826261E-2</v>
      </c>
      <c r="F7" s="55">
        <f t="shared" si="4"/>
        <v>3.6158463595416697E-2</v>
      </c>
      <c r="G7" s="55">
        <f t="shared" si="4"/>
        <v>3.6319654148926378E-2</v>
      </c>
      <c r="H7" s="52">
        <v>3.5999999999999997E-2</v>
      </c>
      <c r="I7" s="73">
        <f t="shared" si="1"/>
        <v>3.6654006194406952E-2</v>
      </c>
      <c r="J7" s="74"/>
      <c r="K7" s="67">
        <f>H7-1.06%</f>
        <v>2.5399999999999999E-2</v>
      </c>
    </row>
    <row r="8" spans="1:11" ht="23.15" customHeight="1" x14ac:dyDescent="0.4">
      <c r="A8" s="50" t="s">
        <v>57</v>
      </c>
      <c r="B8" s="51">
        <f>((1+$I8)^(B2/365)-1)*365/B2</f>
        <v>3.7611621940462241E-2</v>
      </c>
      <c r="C8" s="51">
        <f t="shared" ref="C8:G8" si="5">((1+$I8)^(C2/365)-1)*365/C2</f>
        <v>3.762518692503198E-2</v>
      </c>
      <c r="D8" s="51">
        <f t="shared" si="5"/>
        <v>3.7656217104698797E-2</v>
      </c>
      <c r="E8" s="51">
        <f t="shared" si="5"/>
        <v>3.7714490694561884E-2</v>
      </c>
      <c r="F8" s="51">
        <f t="shared" si="5"/>
        <v>3.7772884523489474E-2</v>
      </c>
      <c r="G8" s="51">
        <f t="shared" si="5"/>
        <v>3.7948790239201682E-2</v>
      </c>
      <c r="H8" s="52">
        <v>3.7600000000000001E-2</v>
      </c>
      <c r="I8" s="73">
        <f t="shared" si="1"/>
        <v>3.8313812750667031E-2</v>
      </c>
      <c r="J8" s="74"/>
      <c r="K8" s="67">
        <f>H8-'Daily Data'!H137</f>
        <v>2.2499999999999999E-2</v>
      </c>
    </row>
    <row r="9" spans="1:11" ht="23.15" customHeight="1" x14ac:dyDescent="0.5">
      <c r="A9" s="50" t="s">
        <v>56</v>
      </c>
      <c r="B9" s="55">
        <f>((1+$I9)^(B2/365)-1)*365/B2</f>
        <v>3.9512826285834003E-2</v>
      </c>
      <c r="C9" s="55">
        <f t="shared" ref="C9:G9" si="6">((1+$I9)^(C2/365)-1)*365/C2</f>
        <v>3.9527797305134844E-2</v>
      </c>
      <c r="D9" s="55">
        <f t="shared" si="6"/>
        <v>3.9562045185176621E-2</v>
      </c>
      <c r="E9" s="55">
        <f t="shared" si="6"/>
        <v>3.9626366640761357E-2</v>
      </c>
      <c r="F9" s="55">
        <f t="shared" si="6"/>
        <v>3.969082753132306E-2</v>
      </c>
      <c r="G9" s="55">
        <f t="shared" si="6"/>
        <v>3.9885050217776455E-2</v>
      </c>
      <c r="H9" s="52">
        <v>3.95E-2</v>
      </c>
      <c r="I9" s="73">
        <f t="shared" si="1"/>
        <v>4.0288275604905666E-2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">
    <cfRule type="expression" dxfId="114" priority="1">
      <formula>_xlfn.ISFORMULA(A1)</formula>
    </cfRule>
    <cfRule type="expression" priority="2">
      <formula>_xlfn.ISFORMULA(A1)</formula>
    </cfRule>
  </conditionalFormatting>
  <conditionalFormatting sqref="J1:J9 I1:I10 A10:F10">
    <cfRule type="expression" dxfId="113" priority="3">
      <formula>_xlfn.ISFORMULA(A1)</formula>
    </cfRule>
    <cfRule type="expression" priority="4">
      <formula>_xlfn.ISFORMULA(A1)</formula>
    </cfRule>
  </conditionalFormatting>
  <pageMargins left="0.7" right="0.7" top="0.75" bottom="0.75" header="0.3" footer="0.3"/>
  <legacy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E7EF5-A1AB-4FEA-A9FB-038FE5A1F3FE}">
  <dimension ref="A1:K10"/>
  <sheetViews>
    <sheetView zoomScale="70" zoomScaleNormal="70" workbookViewId="0">
      <selection activeCell="B4" sqref="B4:G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46211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3.49E-2</v>
      </c>
      <c r="C3" s="54">
        <v>0.04</v>
      </c>
      <c r="D3" s="54">
        <v>4.1000000000000002E-2</v>
      </c>
      <c r="E3" s="54">
        <v>4.2900000000000001E-2</v>
      </c>
      <c r="F3" s="54">
        <v>4.2900000000000001E-2</v>
      </c>
      <c r="G3" s="54">
        <v>4.0099999999999997E-2</v>
      </c>
      <c r="H3" s="52">
        <v>4.19E-2</v>
      </c>
      <c r="I3" s="73">
        <f>(1+H3/365)^365-1</f>
        <v>4.2787686858843488E-2</v>
      </c>
      <c r="J3" s="74"/>
      <c r="K3" s="67">
        <f>H3-'Daily Data'!AR138</f>
        <v>2.5700000000000001E-2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Data'!Z138</f>
        <v>6.7000000000000011E-3</v>
      </c>
    </row>
    <row r="5" spans="1:11" ht="23.15" customHeight="1" x14ac:dyDescent="0.5">
      <c r="A5" s="50" t="s">
        <v>17</v>
      </c>
      <c r="B5" s="55">
        <v>4.7399999999999998E-2</v>
      </c>
      <c r="C5" s="55">
        <f t="shared" ref="C5:G5" si="2">((1+$I5)^(C2/365)-1)*365/C2</f>
        <v>3.9427656707190346E-2</v>
      </c>
      <c r="D5" s="55">
        <v>5.6899999999999999E-2</v>
      </c>
      <c r="E5" s="55">
        <f t="shared" si="2"/>
        <v>3.9525726953030728E-2</v>
      </c>
      <c r="F5" s="55">
        <f t="shared" si="2"/>
        <v>3.9589861010926784E-2</v>
      </c>
      <c r="G5" s="55">
        <f t="shared" si="2"/>
        <v>3.9783096817143065E-2</v>
      </c>
      <c r="H5" s="56">
        <v>3.9399999999999998E-2</v>
      </c>
      <c r="I5" s="73">
        <f t="shared" si="1"/>
        <v>4.0184263220001792E-2</v>
      </c>
      <c r="J5" s="74"/>
      <c r="K5" s="67">
        <f>H5-'Daily Data'!BJ138</f>
        <v>2.4399999999999998E-2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3.9699999999999999E-2</v>
      </c>
      <c r="C7" s="55">
        <f t="shared" ref="C7:G7" si="4">((1+$I7)^(C2/365)-1)*365/C2</f>
        <v>3.7825455639434812E-2</v>
      </c>
      <c r="D7" s="55">
        <v>4.1599999999999998E-2</v>
      </c>
      <c r="E7" s="55">
        <f t="shared" si="4"/>
        <v>3.7915713146943579E-2</v>
      </c>
      <c r="F7" s="55">
        <f t="shared" si="4"/>
        <v>3.7974731424557651E-2</v>
      </c>
      <c r="G7" s="55">
        <f t="shared" si="4"/>
        <v>3.8152522137446708E-2</v>
      </c>
      <c r="H7" s="52">
        <v>3.78E-2</v>
      </c>
      <c r="I7" s="73">
        <f t="shared" si="1"/>
        <v>3.8521474829770863E-2</v>
      </c>
      <c r="J7" s="74"/>
      <c r="K7" s="67">
        <f>H7-1.06%</f>
        <v>2.7200000000000002E-2</v>
      </c>
    </row>
    <row r="8" spans="1:11" ht="23.15" customHeight="1" x14ac:dyDescent="0.4">
      <c r="A8" s="50" t="s">
        <v>57</v>
      </c>
      <c r="B8" s="51">
        <f>((1+$I8)^(B2/365)-1)*365/B2</f>
        <v>3.7611621940462241E-2</v>
      </c>
      <c r="C8" s="51">
        <f t="shared" ref="C8:G8" si="5">((1+$I8)^(C2/365)-1)*365/C2</f>
        <v>3.762518692503198E-2</v>
      </c>
      <c r="D8" s="51">
        <f t="shared" si="5"/>
        <v>3.7656217104698797E-2</v>
      </c>
      <c r="E8" s="51">
        <f t="shared" si="5"/>
        <v>3.7714490694561884E-2</v>
      </c>
      <c r="F8" s="51">
        <f t="shared" si="5"/>
        <v>3.7772884523489474E-2</v>
      </c>
      <c r="G8" s="51">
        <f t="shared" si="5"/>
        <v>3.7948790239201682E-2</v>
      </c>
      <c r="H8" s="52">
        <v>3.7600000000000001E-2</v>
      </c>
      <c r="I8" s="73">
        <f t="shared" si="1"/>
        <v>3.8313812750667031E-2</v>
      </c>
      <c r="J8" s="74"/>
      <c r="K8" s="67">
        <f>H8-'Daily Data'!H138</f>
        <v>2.2499999999999999E-2</v>
      </c>
    </row>
    <row r="9" spans="1:11" ht="23.15" customHeight="1" x14ac:dyDescent="0.5">
      <c r="A9" s="50" t="s">
        <v>56</v>
      </c>
      <c r="B9" s="55">
        <f>((1+$I9)^(B2/365)-1)*365/B2</f>
        <v>4.0113218940828678E-2</v>
      </c>
      <c r="C9" s="55">
        <f t="shared" ref="C9:G9" si="6">((1+$I9)^(C2/365)-1)*365/C2</f>
        <v>4.0128648382387055E-2</v>
      </c>
      <c r="D9" s="55">
        <f t="shared" si="6"/>
        <v>4.0163945399559919E-2</v>
      </c>
      <c r="E9" s="55">
        <f t="shared" si="6"/>
        <v>4.0230238927370383E-2</v>
      </c>
      <c r="F9" s="55">
        <f t="shared" si="6"/>
        <v>4.0296678351598655E-2</v>
      </c>
      <c r="G9" s="55">
        <f t="shared" si="6"/>
        <v>4.0496875619757178E-2</v>
      </c>
      <c r="H9" s="52">
        <v>4.0099999999999997E-2</v>
      </c>
      <c r="I9" s="73">
        <f t="shared" si="1"/>
        <v>4.0912567765710728E-2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">
    <cfRule type="expression" dxfId="112" priority="1">
      <formula>_xlfn.ISFORMULA(A1)</formula>
    </cfRule>
    <cfRule type="expression" priority="2">
      <formula>_xlfn.ISFORMULA(A1)</formula>
    </cfRule>
  </conditionalFormatting>
  <conditionalFormatting sqref="J1:J9 I1:I10 A10:F10">
    <cfRule type="expression" dxfId="111" priority="5">
      <formula>_xlfn.ISFORMULA(A1)</formula>
    </cfRule>
    <cfRule type="expression" priority="6">
      <formula>_xlfn.ISFORMULA(A1)</formula>
    </cfRule>
  </conditionalFormatting>
  <pageMargins left="0.7" right="0.7" top="0.75" bottom="0.75" header="0.3" footer="0.3"/>
  <legacy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BA665-358D-4A61-93A1-127C7228725C}">
  <dimension ref="A1:K10"/>
  <sheetViews>
    <sheetView zoomScale="70" zoomScaleNormal="70" workbookViewId="0">
      <selection activeCell="B4" sqref="B4:G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46212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3.2000000000000001E-2</v>
      </c>
      <c r="C3" s="54">
        <v>0.04</v>
      </c>
      <c r="D3" s="54">
        <v>4.02E-2</v>
      </c>
      <c r="E3" s="54">
        <v>4.2900000000000001E-2</v>
      </c>
      <c r="F3" s="54">
        <v>4.2900000000000001E-2</v>
      </c>
      <c r="G3" s="54">
        <v>4.0099999999999997E-2</v>
      </c>
      <c r="H3" s="52">
        <v>4.1099999999999998E-2</v>
      </c>
      <c r="I3" s="73">
        <f>(1+H3/365)^365-1</f>
        <v>4.1953885076647213E-2</v>
      </c>
      <c r="J3" s="74"/>
      <c r="K3" s="67">
        <f>H3-'Daily Data'!AR139</f>
        <v>2.4999999999999998E-2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Data'!Z139</f>
        <v>6.5000000000000023E-3</v>
      </c>
    </row>
    <row r="5" spans="1:11" ht="23.15" customHeight="1" x14ac:dyDescent="0.5">
      <c r="A5" s="50" t="s">
        <v>17</v>
      </c>
      <c r="B5" s="55">
        <v>4.6300000000000001E-2</v>
      </c>
      <c r="C5" s="55">
        <f t="shared" ref="C5:G5" si="2">((1+$I5)^(C2/365)-1)*365/C2</f>
        <v>3.8626544761562069E-2</v>
      </c>
      <c r="D5" s="55">
        <v>5.5599999999999997E-2</v>
      </c>
      <c r="E5" s="55">
        <f t="shared" si="2"/>
        <v>3.8720668005707982E-2</v>
      </c>
      <c r="F5" s="55">
        <f t="shared" si="2"/>
        <v>3.8782217460826149E-2</v>
      </c>
      <c r="G5" s="55">
        <f t="shared" si="2"/>
        <v>3.8967649563848281E-2</v>
      </c>
      <c r="H5" s="56">
        <v>3.8600000000000002E-2</v>
      </c>
      <c r="I5" s="73">
        <f t="shared" si="1"/>
        <v>3.9352537413389843E-2</v>
      </c>
      <c r="J5" s="74"/>
      <c r="K5" s="67">
        <f>H5-'Daily Data'!BJ139</f>
        <v>2.3600000000000003E-2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3.9800000000000002E-2</v>
      </c>
      <c r="C7" s="55">
        <f t="shared" ref="C7:G7" si="4">((1+$I7)^(C2/365)-1)*365/C2</f>
        <v>3.7925590531587998E-2</v>
      </c>
      <c r="D7" s="55">
        <v>4.1700000000000001E-2</v>
      </c>
      <c r="E7" s="55">
        <f t="shared" si="4"/>
        <v>3.801632681242758E-2</v>
      </c>
      <c r="F7" s="55">
        <f t="shared" si="4"/>
        <v>3.8075658566120378E-2</v>
      </c>
      <c r="G7" s="55">
        <f t="shared" si="4"/>
        <v>3.8254395579506578E-2</v>
      </c>
      <c r="H7" s="52">
        <v>3.7900000000000003E-2</v>
      </c>
      <c r="I7" s="73">
        <f t="shared" si="1"/>
        <v>3.8625321400776125E-2</v>
      </c>
      <c r="J7" s="74"/>
      <c r="K7" s="67">
        <f>H7-1.06%</f>
        <v>2.7300000000000005E-2</v>
      </c>
    </row>
    <row r="8" spans="1:11" ht="23.15" customHeight="1" x14ac:dyDescent="0.4">
      <c r="A8" s="50" t="s">
        <v>57</v>
      </c>
      <c r="B8" s="51">
        <f>((1+$I8)^(B2/365)-1)*365/B2</f>
        <v>3.7111314875581947E-2</v>
      </c>
      <c r="C8" s="51">
        <f t="shared" ref="C8:G8" si="5">((1+$I8)^(C2/365)-1)*365/C2</f>
        <v>3.7124521379478526E-2</v>
      </c>
      <c r="D8" s="51">
        <f t="shared" si="5"/>
        <v>3.7154731209908344E-2</v>
      </c>
      <c r="E8" s="51">
        <f t="shared" si="5"/>
        <v>3.7211463020234627E-2</v>
      </c>
      <c r="F8" s="51">
        <f t="shared" si="5"/>
        <v>3.7268310329474294E-2</v>
      </c>
      <c r="G8" s="51">
        <f t="shared" si="5"/>
        <v>3.7439547899246244E-2</v>
      </c>
      <c r="H8" s="52">
        <v>3.7100000000000001E-2</v>
      </c>
      <c r="I8" s="73">
        <f t="shared" si="1"/>
        <v>3.7794838704558797E-2</v>
      </c>
      <c r="J8" s="74"/>
      <c r="K8" s="67">
        <f>H8-'Daily Data'!H139</f>
        <v>2.2400000000000003E-2</v>
      </c>
    </row>
    <row r="9" spans="1:11" ht="23.15" customHeight="1" x14ac:dyDescent="0.5">
      <c r="A9" s="50" t="s">
        <v>56</v>
      </c>
      <c r="B9" s="55">
        <f>((1+$I9)^(B2/365)-1)*365/B2</f>
        <v>3.8912439551918511E-2</v>
      </c>
      <c r="C9" s="55">
        <f t="shared" ref="C9:G9" si="6">((1+$I9)^(C2/365)-1)*365/C2</f>
        <v>3.8926959066522389E-2</v>
      </c>
      <c r="D9" s="55">
        <f t="shared" si="6"/>
        <v>3.8960173660393282E-2</v>
      </c>
      <c r="E9" s="55">
        <f t="shared" si="6"/>
        <v>3.9022552912378425E-2</v>
      </c>
      <c r="F9" s="55">
        <f t="shared" si="6"/>
        <v>3.9085065331842528E-2</v>
      </c>
      <c r="G9" s="55">
        <f t="shared" si="6"/>
        <v>3.9273404797430481E-2</v>
      </c>
      <c r="H9" s="52">
        <v>3.8899999999999997E-2</v>
      </c>
      <c r="I9" s="73">
        <f t="shared" si="1"/>
        <v>3.9664356841096371E-2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">
    <cfRule type="expression" dxfId="110" priority="1">
      <formula>_xlfn.ISFORMULA(A1)</formula>
    </cfRule>
    <cfRule type="expression" priority="2">
      <formula>_xlfn.ISFORMULA(A1)</formula>
    </cfRule>
  </conditionalFormatting>
  <conditionalFormatting sqref="J1:J9 I1:I10 A10:F10">
    <cfRule type="expression" dxfId="109" priority="5">
      <formula>_xlfn.ISFORMULA(A1)</formula>
    </cfRule>
    <cfRule type="expression" priority="6">
      <formula>_xlfn.ISFORMULA(A1)</formula>
    </cfRule>
  </conditionalFormatting>
  <pageMargins left="0.7" right="0.7" top="0.75" bottom="0.75" header="0.3" footer="0.3"/>
  <legacy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77279-7F14-447A-B44E-3226C48A774C}">
  <dimension ref="A1:K10"/>
  <sheetViews>
    <sheetView zoomScale="80" zoomScaleNormal="80" workbookViewId="0">
      <selection activeCell="B4" sqref="B4:G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46213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3.5000000000000003E-2</v>
      </c>
      <c r="C3" s="54">
        <v>3.5000000000000003E-2</v>
      </c>
      <c r="D3" s="54">
        <v>4.0099999999999997E-2</v>
      </c>
      <c r="E3" s="54">
        <v>4.2900000000000001E-2</v>
      </c>
      <c r="F3" s="54">
        <v>4.2900000000000001E-2</v>
      </c>
      <c r="G3" s="54">
        <v>5.4899999999999997E-2</v>
      </c>
      <c r="H3" s="52">
        <v>4.0300000000000002E-2</v>
      </c>
      <c r="I3" s="73">
        <f>(1+H3/365)^365-1</f>
        <v>4.1120748168237853E-2</v>
      </c>
      <c r="J3" s="74"/>
      <c r="K3" s="67">
        <f>H3-'Daily Data'!AR140</f>
        <v>2.52E-2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Data'!Z140</f>
        <v>6.3E-3</v>
      </c>
    </row>
    <row r="5" spans="1:11" ht="23.15" customHeight="1" x14ac:dyDescent="0.5">
      <c r="A5" s="50" t="s">
        <v>17</v>
      </c>
      <c r="B5" s="55">
        <v>4.4900000000000002E-2</v>
      </c>
      <c r="C5" s="55">
        <f t="shared" ref="C5:G5" si="2">((1+$I5)^(C2/365)-1)*365/C2</f>
        <v>3.7424919637020534E-2</v>
      </c>
      <c r="D5" s="55">
        <v>5.3800000000000001E-2</v>
      </c>
      <c r="E5" s="55">
        <f t="shared" si="2"/>
        <v>3.7513274746653447E-2</v>
      </c>
      <c r="F5" s="55">
        <f t="shared" si="2"/>
        <v>3.7571047464634799E-2</v>
      </c>
      <c r="G5" s="55">
        <f t="shared" si="2"/>
        <v>3.7745078320365125E-2</v>
      </c>
      <c r="H5" s="56">
        <v>3.7400000000000003E-2</v>
      </c>
      <c r="I5" s="73">
        <f t="shared" si="1"/>
        <v>3.8106192081770685E-2</v>
      </c>
      <c r="J5" s="74"/>
      <c r="K5" s="67">
        <f>H5-'Daily Data'!BJ140</f>
        <v>2.2700000000000005E-2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4.1300000000000003E-2</v>
      </c>
      <c r="C7" s="55">
        <f t="shared" ref="C7:G7" si="4">((1+$I7)^(C2/365)-1)*365/C2</f>
        <v>3.9427656707190346E-2</v>
      </c>
      <c r="D7" s="55">
        <v>4.3299999999999998E-2</v>
      </c>
      <c r="E7" s="55">
        <f t="shared" si="4"/>
        <v>3.9525726953030728E-2</v>
      </c>
      <c r="F7" s="55">
        <f t="shared" si="4"/>
        <v>3.9589861010926784E-2</v>
      </c>
      <c r="G7" s="55">
        <f t="shared" si="4"/>
        <v>3.9783096817143065E-2</v>
      </c>
      <c r="H7" s="52">
        <v>3.9399999999999998E-2</v>
      </c>
      <c r="I7" s="73">
        <f t="shared" si="1"/>
        <v>4.0184263220001792E-2</v>
      </c>
      <c r="J7" s="74"/>
      <c r="K7" s="67">
        <f>H7-1.06%</f>
        <v>2.8799999999999999E-2</v>
      </c>
    </row>
    <row r="8" spans="1:11" ht="23.15" customHeight="1" x14ac:dyDescent="0.4">
      <c r="A8" s="50" t="s">
        <v>57</v>
      </c>
      <c r="B8" s="51">
        <f>((1+$I8)^(B2/365)-1)*365/B2</f>
        <v>3.6711072184115415E-2</v>
      </c>
      <c r="C8" s="51">
        <f t="shared" ref="C8:G8" si="5">((1+$I8)^(C2/365)-1)*365/C2</f>
        <v>3.6723995361844466E-2</v>
      </c>
      <c r="D8" s="51">
        <f t="shared" si="5"/>
        <v>3.6753556836253844E-2</v>
      </c>
      <c r="E8" s="51">
        <f t="shared" si="5"/>
        <v>3.6809070148862498E-2</v>
      </c>
      <c r="F8" s="51">
        <f t="shared" si="5"/>
        <v>3.6864695259371E-2</v>
      </c>
      <c r="G8" s="51">
        <f t="shared" si="5"/>
        <v>3.7032243914290011E-2</v>
      </c>
      <c r="H8" s="52">
        <v>3.6700000000000003E-2</v>
      </c>
      <c r="I8" s="73">
        <f t="shared" si="1"/>
        <v>3.7379845727282035E-2</v>
      </c>
      <c r="J8" s="74"/>
      <c r="K8" s="67">
        <f>H8-'Daily Data'!H140</f>
        <v>2.2300000000000004E-2</v>
      </c>
    </row>
    <row r="9" spans="1:11" ht="23.15" customHeight="1" x14ac:dyDescent="0.5">
      <c r="A9" s="50" t="s">
        <v>56</v>
      </c>
      <c r="B9" s="55">
        <f>((1+$I9)^(B2/365)-1)*365/B2</f>
        <v>3.7811745917646675E-2</v>
      </c>
      <c r="C9" s="55">
        <f t="shared" ref="C9:G9" si="6">((1+$I9)^(C2/365)-1)*365/C2</f>
        <v>3.7825455639434812E-2</v>
      </c>
      <c r="D9" s="55">
        <f t="shared" si="6"/>
        <v>3.7856817040241096E-2</v>
      </c>
      <c r="E9" s="55">
        <f t="shared" si="6"/>
        <v>3.7915713146943579E-2</v>
      </c>
      <c r="F9" s="55">
        <f t="shared" si="6"/>
        <v>3.7974731424557651E-2</v>
      </c>
      <c r="G9" s="55">
        <f t="shared" si="6"/>
        <v>3.8152522137446708E-2</v>
      </c>
      <c r="H9" s="52">
        <v>3.78E-2</v>
      </c>
      <c r="I9" s="73">
        <f t="shared" si="1"/>
        <v>3.8521474829770863E-2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">
    <cfRule type="expression" dxfId="108" priority="1">
      <formula>_xlfn.ISFORMULA(A1)</formula>
    </cfRule>
    <cfRule type="expression" priority="2">
      <formula>_xlfn.ISFORMULA(A1)</formula>
    </cfRule>
  </conditionalFormatting>
  <conditionalFormatting sqref="J1:J9 I1:I10 A10:F10">
    <cfRule type="expression" dxfId="107" priority="5">
      <formula>_xlfn.ISFORMULA(A1)</formula>
    </cfRule>
    <cfRule type="expression" priority="6">
      <formula>_xlfn.ISFORMULA(A1)</formula>
    </cfRule>
  </conditionalFormatting>
  <pageMargins left="0.7" right="0.7" top="0.75" bottom="0.75" header="0.3" footer="0.3"/>
  <legacy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A30B2-171C-4DD0-8B7E-A112CC32BEE8}">
  <dimension ref="A1:K10"/>
  <sheetViews>
    <sheetView zoomScale="70" zoomScaleNormal="70" workbookViewId="0">
      <selection activeCell="B4" sqref="B4:G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46214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3.5000000000000003E-2</v>
      </c>
      <c r="C3" s="54">
        <v>3.5000000000000003E-2</v>
      </c>
      <c r="D3" s="54">
        <v>3.9899999999999998E-2</v>
      </c>
      <c r="E3" s="54">
        <v>0.04</v>
      </c>
      <c r="F3" s="54">
        <v>4.4499999999999998E-2</v>
      </c>
      <c r="G3" s="54">
        <v>3.9300000000000002E-2</v>
      </c>
      <c r="H3" s="52">
        <v>3.9899999999999998E-2</v>
      </c>
      <c r="I3" s="73">
        <f>(1+H3/365)^365-1</f>
        <v>4.0704428876507048E-2</v>
      </c>
      <c r="J3" s="74"/>
      <c r="K3" s="67">
        <f>H3-'Daily Data'!AR140</f>
        <v>2.4799999999999996E-2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Data'!Z140</f>
        <v>6.3E-3</v>
      </c>
    </row>
    <row r="5" spans="1:11" ht="23.15" customHeight="1" x14ac:dyDescent="0.5">
      <c r="A5" s="50" t="s">
        <v>17</v>
      </c>
      <c r="B5" s="55">
        <v>3.61E-2</v>
      </c>
      <c r="C5" s="55">
        <f t="shared" ref="C5:G5" si="2">((1+$I5)^(C2/365)-1)*365/C2</f>
        <v>3.8926959066522389E-2</v>
      </c>
      <c r="D5" s="55">
        <v>3.78E-2</v>
      </c>
      <c r="E5" s="55">
        <f t="shared" si="2"/>
        <v>3.9022552912378425E-2</v>
      </c>
      <c r="F5" s="55">
        <f t="shared" si="2"/>
        <v>3.9085065331842528E-2</v>
      </c>
      <c r="G5" s="55">
        <f t="shared" si="2"/>
        <v>3.9273404797430481E-2</v>
      </c>
      <c r="H5" s="56">
        <v>3.8899999999999997E-2</v>
      </c>
      <c r="I5" s="73">
        <f t="shared" si="1"/>
        <v>3.9664356841096371E-2</v>
      </c>
      <c r="J5" s="74"/>
      <c r="K5" s="67">
        <f>H5-'Daily Data'!BJ140</f>
        <v>2.4199999999999999E-2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3.61E-2</v>
      </c>
      <c r="C7" s="55">
        <f t="shared" ref="C7:G7" si="4">((1+$I7)^(C2/365)-1)*365/C2</f>
        <v>3.442108148072958E-2</v>
      </c>
      <c r="D7" s="55">
        <v>3.78E-2</v>
      </c>
      <c r="E7" s="55">
        <f t="shared" si="4"/>
        <v>3.449581592722497E-2</v>
      </c>
      <c r="F7" s="55">
        <f t="shared" si="4"/>
        <v>3.4544672327758312E-2</v>
      </c>
      <c r="G7" s="55">
        <f t="shared" si="4"/>
        <v>3.4691795745238868E-2</v>
      </c>
      <c r="H7" s="52">
        <v>3.44E-2</v>
      </c>
      <c r="I7" s="73">
        <f t="shared" si="1"/>
        <v>3.4996845680234534E-2</v>
      </c>
      <c r="J7" s="74"/>
      <c r="K7" s="67">
        <f>H7-1.06%</f>
        <v>2.3800000000000002E-2</v>
      </c>
    </row>
    <row r="8" spans="1:11" ht="23.15" customHeight="1" x14ac:dyDescent="0.4">
      <c r="A8" s="50" t="s">
        <v>57</v>
      </c>
      <c r="B8" s="51">
        <f>((1+$I8)^(B2/365)-1)*365/B2</f>
        <v>3.8812375671868189E-2</v>
      </c>
      <c r="C8" s="51">
        <f t="shared" ref="C8:G8" si="5">((1+$I8)^(C2/365)-1)*365/C2</f>
        <v>3.8826820608222859E-2</v>
      </c>
      <c r="D8" s="51">
        <f t="shared" si="5"/>
        <v>3.8859864528720513E-2</v>
      </c>
      <c r="E8" s="51">
        <f t="shared" si="5"/>
        <v>3.8921922983701972E-2</v>
      </c>
      <c r="F8" s="51">
        <f t="shared" si="5"/>
        <v>3.8984113580225445E-2</v>
      </c>
      <c r="G8" s="51">
        <f t="shared" si="5"/>
        <v>3.9171481388509101E-2</v>
      </c>
      <c r="H8" s="52">
        <v>3.8800000000000001E-2</v>
      </c>
      <c r="I8" s="73">
        <f t="shared" si="1"/>
        <v>3.9560406667257908E-2</v>
      </c>
      <c r="J8" s="74"/>
      <c r="K8" s="67">
        <f>H8-'Daily Data'!H140</f>
        <v>2.4400000000000002E-2</v>
      </c>
    </row>
    <row r="9" spans="1:11" ht="23.15" customHeight="1" x14ac:dyDescent="0.5">
      <c r="A9" s="50" t="s">
        <v>56</v>
      </c>
      <c r="B9" s="55">
        <f>((1+$I9)^(B2/365)-1)*365/B2</f>
        <v>3.8912439551918511E-2</v>
      </c>
      <c r="C9" s="55">
        <f t="shared" ref="C9:G9" si="6">((1+$I9)^(C2/365)-1)*365/C2</f>
        <v>3.8926959066522389E-2</v>
      </c>
      <c r="D9" s="55">
        <f t="shared" si="6"/>
        <v>3.8960173660393282E-2</v>
      </c>
      <c r="E9" s="55">
        <f t="shared" si="6"/>
        <v>3.9022552912378425E-2</v>
      </c>
      <c r="F9" s="55">
        <f t="shared" si="6"/>
        <v>3.9085065331842528E-2</v>
      </c>
      <c r="G9" s="55">
        <f t="shared" si="6"/>
        <v>3.9273404797430481E-2</v>
      </c>
      <c r="H9" s="52">
        <v>3.8899999999999997E-2</v>
      </c>
      <c r="I9" s="73">
        <f t="shared" si="1"/>
        <v>3.9664356841096371E-2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">
    <cfRule type="expression" dxfId="106" priority="1">
      <formula>_xlfn.ISFORMULA(A1)</formula>
    </cfRule>
    <cfRule type="expression" priority="2">
      <formula>_xlfn.ISFORMULA(A1)</formula>
    </cfRule>
  </conditionalFormatting>
  <conditionalFormatting sqref="J1:J9 I1:I10 A10:F10">
    <cfRule type="expression" dxfId="105" priority="5">
      <formula>_xlfn.ISFORMULA(A1)</formula>
    </cfRule>
    <cfRule type="expression" priority="6">
      <formula>_xlfn.ISFORMULA(A1)</formula>
    </cfRule>
  </conditionalFormatting>
  <pageMargins left="0.7" right="0.7" top="0.75" bottom="0.75" header="0.3" footer="0.3"/>
  <legacy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ED95D-382E-4795-9DE2-D7E61DAA76D0}">
  <dimension ref="A1:K10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46215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3.5000000000000003E-2</v>
      </c>
      <c r="C3" s="54">
        <v>3.5000000000000003E-2</v>
      </c>
      <c r="D3" s="54">
        <v>3.9899999999999998E-2</v>
      </c>
      <c r="E3" s="54">
        <v>0.04</v>
      </c>
      <c r="F3" s="54">
        <v>4.4499999999999998E-2</v>
      </c>
      <c r="G3" s="54">
        <v>3.9300000000000002E-2</v>
      </c>
      <c r="H3" s="52">
        <v>3.9899999999999998E-2</v>
      </c>
      <c r="I3" s="73">
        <f>(1+H3/365)^365-1</f>
        <v>4.0704428876507048E-2</v>
      </c>
      <c r="J3" s="74"/>
      <c r="K3" s="67">
        <f>H3-'Daily Data'!AR140</f>
        <v>2.4799999999999996E-2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Data'!Z140</f>
        <v>6.3E-3</v>
      </c>
    </row>
    <row r="5" spans="1:11" ht="23.15" customHeight="1" x14ac:dyDescent="0.5">
      <c r="A5" s="50" t="s">
        <v>17</v>
      </c>
      <c r="B5" s="55">
        <v>4.4600000000000001E-2</v>
      </c>
      <c r="C5" s="55">
        <f t="shared" ref="C5:G5" si="2">((1+$I5)^(C2/365)-1)*365/C2</f>
        <v>3.7224653775365733E-2</v>
      </c>
      <c r="D5" s="55">
        <v>5.3499999999999999E-2</v>
      </c>
      <c r="E5" s="55">
        <f t="shared" si="2"/>
        <v>3.7312065302985954E-2</v>
      </c>
      <c r="F5" s="55">
        <f t="shared" si="2"/>
        <v>3.7369220247494755E-2</v>
      </c>
      <c r="G5" s="55">
        <f t="shared" si="2"/>
        <v>3.7541386378962212E-2</v>
      </c>
      <c r="H5" s="56">
        <v>3.7199999999999997E-2</v>
      </c>
      <c r="I5" s="73">
        <f t="shared" si="1"/>
        <v>3.7898612814819987E-2</v>
      </c>
      <c r="J5" s="74"/>
      <c r="K5" s="67">
        <f>H5-'Daily Data'!BJ140</f>
        <v>2.2499999999999999E-2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3.61E-2</v>
      </c>
      <c r="C7" s="55">
        <f t="shared" ref="C7:G7" si="4">((1+$I7)^(C2/365)-1)*365/C2</f>
        <v>3.442108148072958E-2</v>
      </c>
      <c r="D7" s="55">
        <v>3.78E-2</v>
      </c>
      <c r="E7" s="55">
        <f t="shared" si="4"/>
        <v>3.449581592722497E-2</v>
      </c>
      <c r="F7" s="55">
        <f t="shared" si="4"/>
        <v>3.4544672327758312E-2</v>
      </c>
      <c r="G7" s="55">
        <f t="shared" si="4"/>
        <v>3.4691795745238868E-2</v>
      </c>
      <c r="H7" s="52">
        <v>3.44E-2</v>
      </c>
      <c r="I7" s="73">
        <f t="shared" si="1"/>
        <v>3.4996845680234534E-2</v>
      </c>
      <c r="J7" s="74"/>
      <c r="K7" s="67">
        <f>H7-1.06%</f>
        <v>2.3800000000000002E-2</v>
      </c>
    </row>
    <row r="8" spans="1:11" ht="23.15" customHeight="1" x14ac:dyDescent="0.4">
      <c r="A8" s="50" t="s">
        <v>57</v>
      </c>
      <c r="B8" s="51">
        <f>((1+$I8)^(B2/365)-1)*365/B2</f>
        <v>3.7711683846780905E-2</v>
      </c>
      <c r="C8" s="51">
        <f t="shared" ref="C8:G8" si="5">((1+$I8)^(C2/365)-1)*365/C2</f>
        <v>3.7725321103891055E-2</v>
      </c>
      <c r="D8" s="51">
        <f t="shared" si="5"/>
        <v>3.775651667401806E-2</v>
      </c>
      <c r="E8" s="51">
        <f t="shared" si="5"/>
        <v>3.7815101107635661E-2</v>
      </c>
      <c r="F8" s="51">
        <f t="shared" si="5"/>
        <v>3.7873806743672578E-2</v>
      </c>
      <c r="G8" s="51">
        <f t="shared" si="5"/>
        <v>3.8050653690731094E-2</v>
      </c>
      <c r="H8" s="52">
        <v>3.7699999999999997E-2</v>
      </c>
      <c r="I8" s="73">
        <f t="shared" si="1"/>
        <v>3.8417638613382321E-2</v>
      </c>
      <c r="J8" s="74"/>
      <c r="K8" s="67">
        <f>H8-'Daily Data'!H140</f>
        <v>2.3299999999999998E-2</v>
      </c>
    </row>
    <row r="9" spans="1:11" ht="23.15" customHeight="1" x14ac:dyDescent="0.5">
      <c r="A9" s="50" t="s">
        <v>56</v>
      </c>
      <c r="B9" s="55">
        <f>((1+$I9)^(B2/365)-1)*365/B2</f>
        <v>3.8211995845654566E-2</v>
      </c>
      <c r="C9" s="55">
        <f t="shared" ref="C9:G9" si="6">((1+$I9)^(C2/365)-1)*365/C2</f>
        <v>3.8225997347559368E-2</v>
      </c>
      <c r="D9" s="55">
        <f t="shared" si="6"/>
        <v>3.8258026473317185E-2</v>
      </c>
      <c r="E9" s="55">
        <f t="shared" si="6"/>
        <v>3.8318177566042645E-2</v>
      </c>
      <c r="F9" s="55">
        <f t="shared" si="6"/>
        <v>3.837845475532109E-2</v>
      </c>
      <c r="G9" s="55">
        <f t="shared" si="6"/>
        <v>3.8560045880042144E-2</v>
      </c>
      <c r="H9" s="52">
        <v>3.8199999999999998E-2</v>
      </c>
      <c r="I9" s="73">
        <f t="shared" si="1"/>
        <v>3.8936923251637001E-2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">
    <cfRule type="expression" dxfId="104" priority="1">
      <formula>_xlfn.ISFORMULA(A1)</formula>
    </cfRule>
    <cfRule type="expression" priority="2">
      <formula>_xlfn.ISFORMULA(A1)</formula>
    </cfRule>
  </conditionalFormatting>
  <conditionalFormatting sqref="J1:J9 I1:I10 A10:F10">
    <cfRule type="expression" dxfId="103" priority="5">
      <formula>_xlfn.ISFORMULA(A1)</formula>
    </cfRule>
    <cfRule type="expression" priority="6">
      <formula>_xlfn.ISFORMULA(A1)</formula>
    </cfRule>
  </conditionalFormatting>
  <pageMargins left="0.7" right="0.7" top="0.75" bottom="0.75" header="0.3" footer="0.3"/>
  <legacy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CBEB-9D10-43F1-A78A-120CF4A6F1F0}">
  <dimension ref="A1:K10"/>
  <sheetViews>
    <sheetView zoomScale="80" zoomScaleNormal="80" workbookViewId="0">
      <selection activeCell="B4" sqref="B4:G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46216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3.5000000000000003E-2</v>
      </c>
      <c r="C3" s="54">
        <v>3.5000000000000003E-2</v>
      </c>
      <c r="D3" s="54">
        <v>3.9899999999999998E-2</v>
      </c>
      <c r="E3" s="54">
        <v>0.04</v>
      </c>
      <c r="F3" s="54">
        <v>4.4499999999999998E-2</v>
      </c>
      <c r="G3" s="54">
        <v>3.9300000000000002E-2</v>
      </c>
      <c r="H3" s="52">
        <v>3.9899999999999998E-2</v>
      </c>
      <c r="I3" s="73">
        <f>(1+H3/365)^365-1</f>
        <v>4.0704428876507048E-2</v>
      </c>
      <c r="J3" s="74"/>
      <c r="K3" s="67">
        <f>H3-'Daily Data'!AR140</f>
        <v>2.4799999999999996E-2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Data'!Z140</f>
        <v>6.3E-3</v>
      </c>
    </row>
    <row r="5" spans="1:11" ht="23.15" customHeight="1" x14ac:dyDescent="0.5">
      <c r="A5" s="50" t="s">
        <v>17</v>
      </c>
      <c r="B5" s="55">
        <v>4.4600000000000001E-2</v>
      </c>
      <c r="C5" s="55">
        <f t="shared" ref="C5:G5" si="2">((1+$I5)^(C2/365)-1)*365/C2</f>
        <v>3.7224653775365733E-2</v>
      </c>
      <c r="D5" s="55">
        <v>5.3499999999999999E-2</v>
      </c>
      <c r="E5" s="55">
        <f t="shared" si="2"/>
        <v>3.7312065302985954E-2</v>
      </c>
      <c r="F5" s="55">
        <f t="shared" si="2"/>
        <v>3.7369220247494755E-2</v>
      </c>
      <c r="G5" s="55">
        <f t="shared" si="2"/>
        <v>3.7541386378962212E-2</v>
      </c>
      <c r="H5" s="56">
        <v>3.7199999999999997E-2</v>
      </c>
      <c r="I5" s="73">
        <f t="shared" si="1"/>
        <v>3.7898612814819987E-2</v>
      </c>
      <c r="J5" s="74"/>
      <c r="K5" s="67">
        <f>H5-'Daily Data'!BJ140</f>
        <v>2.2499999999999999E-2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3.61E-2</v>
      </c>
      <c r="C7" s="55">
        <f t="shared" ref="C7:G7" si="4">((1+$I7)^(C2/365)-1)*365/C2</f>
        <v>3.442108148072958E-2</v>
      </c>
      <c r="D7" s="55">
        <v>3.78E-2</v>
      </c>
      <c r="E7" s="55">
        <f t="shared" si="4"/>
        <v>3.449581592722497E-2</v>
      </c>
      <c r="F7" s="55">
        <f t="shared" si="4"/>
        <v>3.4544672327758312E-2</v>
      </c>
      <c r="G7" s="55">
        <f t="shared" si="4"/>
        <v>3.4691795745238868E-2</v>
      </c>
      <c r="H7" s="52">
        <v>3.44E-2</v>
      </c>
      <c r="I7" s="73">
        <f t="shared" si="1"/>
        <v>3.4996845680234534E-2</v>
      </c>
      <c r="J7" s="74"/>
      <c r="K7" s="67">
        <f>H7-1.06%</f>
        <v>2.3800000000000002E-2</v>
      </c>
    </row>
    <row r="8" spans="1:11" ht="23.15" customHeight="1" x14ac:dyDescent="0.4">
      <c r="A8" s="50" t="s">
        <v>57</v>
      </c>
      <c r="B8" s="51">
        <f>((1+$I8)^(B2/365)-1)*365/B2</f>
        <v>3.7111314875581947E-2</v>
      </c>
      <c r="C8" s="51">
        <f t="shared" ref="C8:G8" si="5">((1+$I8)^(C2/365)-1)*365/C2</f>
        <v>3.7124521379478526E-2</v>
      </c>
      <c r="D8" s="51">
        <f t="shared" si="5"/>
        <v>3.7154731209908344E-2</v>
      </c>
      <c r="E8" s="51">
        <f t="shared" si="5"/>
        <v>3.7211463020234627E-2</v>
      </c>
      <c r="F8" s="51">
        <f t="shared" si="5"/>
        <v>3.7268310329474294E-2</v>
      </c>
      <c r="G8" s="51">
        <f t="shared" si="5"/>
        <v>3.7439547899246244E-2</v>
      </c>
      <c r="H8" s="52">
        <v>3.7100000000000001E-2</v>
      </c>
      <c r="I8" s="73">
        <f t="shared" si="1"/>
        <v>3.7794838704558797E-2</v>
      </c>
      <c r="J8" s="74"/>
      <c r="K8" s="67">
        <f>H8-'Daily Data'!H140</f>
        <v>2.2700000000000001E-2</v>
      </c>
    </row>
    <row r="9" spans="1:11" ht="23.15" customHeight="1" x14ac:dyDescent="0.5">
      <c r="A9" s="50" t="s">
        <v>56</v>
      </c>
      <c r="B9" s="55">
        <f>((1+$I9)^(B2/365)-1)*365/B2</f>
        <v>3.7811745917646675E-2</v>
      </c>
      <c r="C9" s="55">
        <f t="shared" ref="C9:G9" si="6">((1+$I9)^(C2/365)-1)*365/C2</f>
        <v>3.7825455639434812E-2</v>
      </c>
      <c r="D9" s="55">
        <f t="shared" si="6"/>
        <v>3.7856817040241096E-2</v>
      </c>
      <c r="E9" s="55">
        <f t="shared" si="6"/>
        <v>3.7915713146943579E-2</v>
      </c>
      <c r="F9" s="55">
        <f t="shared" si="6"/>
        <v>3.7974731424557651E-2</v>
      </c>
      <c r="G9" s="55">
        <f t="shared" si="6"/>
        <v>3.8152522137446708E-2</v>
      </c>
      <c r="H9" s="52">
        <v>3.78E-2</v>
      </c>
      <c r="I9" s="73">
        <f t="shared" si="1"/>
        <v>3.8521474829770863E-2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">
    <cfRule type="expression" dxfId="102" priority="1">
      <formula>_xlfn.ISFORMULA(A1)</formula>
    </cfRule>
    <cfRule type="expression" priority="2">
      <formula>_xlfn.ISFORMULA(A1)</formula>
    </cfRule>
  </conditionalFormatting>
  <conditionalFormatting sqref="J1:J9 I1:I10 A10:F10">
    <cfRule type="expression" dxfId="101" priority="5">
      <formula>_xlfn.ISFORMULA(A1)</formula>
    </cfRule>
    <cfRule type="expression" priority="6">
      <formula>_xlfn.ISFORMULA(A1)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2060-5D6B-4379-9649-3F7845DCE6D9}">
  <dimension ref="A1:K10"/>
  <sheetViews>
    <sheetView zoomScale="70" zoomScaleNormal="70" workbookViewId="0">
      <selection activeCell="D5" activeCellId="1" sqref="B5 D5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46217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3.5000000000000003E-2</v>
      </c>
      <c r="C3" s="54">
        <v>4.2999999999999997E-2</v>
      </c>
      <c r="D3" s="54">
        <v>0.04</v>
      </c>
      <c r="E3" s="54">
        <v>0.04</v>
      </c>
      <c r="F3" s="54">
        <v>4.4499999999999998E-2</v>
      </c>
      <c r="G3" s="54">
        <v>5.7299999999999997E-2</v>
      </c>
      <c r="H3" s="52">
        <v>4.0599999999999997E-2</v>
      </c>
      <c r="I3" s="73">
        <f>(1+H3/365)^365-1</f>
        <v>4.1433096627561561E-2</v>
      </c>
      <c r="J3" s="74"/>
      <c r="K3" s="67">
        <f>H3-'Daily Data'!AR144</f>
        <v>2.6299999999999997E-2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Data'!Z144</f>
        <v>6.5000000000000023E-3</v>
      </c>
    </row>
    <row r="5" spans="1:11" ht="23.15" customHeight="1" x14ac:dyDescent="0.5">
      <c r="A5" s="50" t="s">
        <v>17</v>
      </c>
      <c r="B5" s="55">
        <v>4.5600000000000002E-2</v>
      </c>
      <c r="C5" s="55">
        <f t="shared" ref="C5:G5" si="2">((1+$I5)^(C2/365)-1)*365/C2</f>
        <v>3.8025725780286922E-2</v>
      </c>
      <c r="D5" s="55">
        <v>5.4699999999999999E-2</v>
      </c>
      <c r="E5" s="55">
        <f t="shared" si="2"/>
        <v>3.8116942104048458E-2</v>
      </c>
      <c r="F5" s="55">
        <f t="shared" si="2"/>
        <v>3.8176588168356236E-2</v>
      </c>
      <c r="G5" s="55">
        <f t="shared" si="2"/>
        <v>3.8356274017090804E-2</v>
      </c>
      <c r="H5" s="56">
        <v>3.7999999999999999E-2</v>
      </c>
      <c r="I5" s="73">
        <f t="shared" si="1"/>
        <v>3.8729178327362002E-2</v>
      </c>
      <c r="J5" s="74"/>
      <c r="K5" s="67">
        <f>H5-'Daily Data'!BJ144</f>
        <v>2.35E-2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3.1300000000000001E-2</v>
      </c>
      <c r="C7" s="55">
        <f t="shared" ref="C7:G7" si="4">((1+$I7)^(C2/365)-1)*365/C2</f>
        <v>2.9815819576702873E-2</v>
      </c>
      <c r="D7" s="55">
        <v>3.2800000000000003E-2</v>
      </c>
      <c r="E7" s="55">
        <f t="shared" si="4"/>
        <v>2.9871886517863155E-2</v>
      </c>
      <c r="F7" s="55">
        <f t="shared" si="4"/>
        <v>2.9908527640715526E-2</v>
      </c>
      <c r="G7" s="55">
        <f t="shared" si="4"/>
        <v>3.0018810931547121E-2</v>
      </c>
      <c r="H7" s="52">
        <v>2.98E-2</v>
      </c>
      <c r="I7" s="73">
        <f t="shared" si="1"/>
        <v>3.0247210433201888E-2</v>
      </c>
      <c r="J7" s="74"/>
      <c r="K7" s="67">
        <f>H7-1.06%</f>
        <v>1.9200000000000002E-2</v>
      </c>
    </row>
    <row r="8" spans="1:11" ht="23.15" customHeight="1" x14ac:dyDescent="0.4">
      <c r="A8" s="50" t="s">
        <v>57</v>
      </c>
      <c r="B8" s="51">
        <f>((1+$I8)^(B2/365)-1)*365/B2</f>
        <v>3.691119320087604E-2</v>
      </c>
      <c r="C8" s="51">
        <f t="shared" ref="C8:G8" si="5">((1+$I8)^(C2/365)-1)*365/C2</f>
        <v>3.6924257657428176E-2</v>
      </c>
      <c r="D8" s="51">
        <f t="shared" si="5"/>
        <v>3.6954142429492388E-2</v>
      </c>
      <c r="E8" s="51">
        <f t="shared" si="5"/>
        <v>3.7010263332617192E-2</v>
      </c>
      <c r="F8" s="51">
        <f t="shared" si="5"/>
        <v>3.706649787408943E-2</v>
      </c>
      <c r="G8" s="51">
        <f t="shared" si="5"/>
        <v>3.7235885920416052E-2</v>
      </c>
      <c r="H8" s="52">
        <v>3.6900000000000002E-2</v>
      </c>
      <c r="I8" s="73">
        <f t="shared" si="1"/>
        <v>3.7587321525166306E-2</v>
      </c>
      <c r="J8" s="74"/>
      <c r="K8" s="67">
        <f>H8-'Daily Data'!H144</f>
        <v>2.2400000000000003E-2</v>
      </c>
    </row>
    <row r="9" spans="1:11" ht="23.15" customHeight="1" x14ac:dyDescent="0.5">
      <c r="A9" s="50" t="s">
        <v>56</v>
      </c>
      <c r="B9" s="55">
        <f>((1+$I9)^(B2/365)-1)*365/B2</f>
        <v>3.8812375671868189E-2</v>
      </c>
      <c r="C9" s="55">
        <f t="shared" ref="C9:G9" si="6">((1+$I9)^(C2/365)-1)*365/C2</f>
        <v>3.8826820608222859E-2</v>
      </c>
      <c r="D9" s="55">
        <f t="shared" si="6"/>
        <v>3.8859864528720513E-2</v>
      </c>
      <c r="E9" s="55">
        <f t="shared" si="6"/>
        <v>3.8921922983701972E-2</v>
      </c>
      <c r="F9" s="55">
        <f t="shared" si="6"/>
        <v>3.8984113580225445E-2</v>
      </c>
      <c r="G9" s="55">
        <f t="shared" si="6"/>
        <v>3.9171481388509101E-2</v>
      </c>
      <c r="H9" s="52">
        <v>3.8800000000000001E-2</v>
      </c>
      <c r="I9" s="73">
        <f t="shared" si="1"/>
        <v>3.9560406667257908E-2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">
    <cfRule type="expression" dxfId="100" priority="1">
      <formula>_xlfn.ISFORMULA(A1)</formula>
    </cfRule>
    <cfRule type="expression" priority="2">
      <formula>_xlfn.ISFORMULA(A1)</formula>
    </cfRule>
  </conditionalFormatting>
  <conditionalFormatting sqref="J1:J9 I1:I10 A10:F10">
    <cfRule type="expression" dxfId="99" priority="5">
      <formula>_xlfn.ISFORMULA(A1)</formula>
    </cfRule>
    <cfRule type="expression" priority="6">
      <formula>_xlfn.ISFORMULA(A1)</formula>
    </cfRule>
  </conditionalFormatting>
  <pageMargins left="0.7" right="0.7" top="0.75" bottom="0.75" header="0.3" footer="0.3"/>
  <legacy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AD5A8-6DD8-4687-ABCE-D1E64D275412}">
  <dimension ref="A1:K10"/>
  <sheetViews>
    <sheetView zoomScale="80" zoomScaleNormal="80" workbookViewId="0">
      <selection activeCell="H26" sqref="H2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46218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3.3000000000000002E-2</v>
      </c>
      <c r="C3" s="54">
        <v>3.3000000000000002E-2</v>
      </c>
      <c r="D3" s="54">
        <v>3.7900000000000003E-2</v>
      </c>
      <c r="E3" s="54">
        <v>0.04</v>
      </c>
      <c r="F3" s="54">
        <v>4.2900000000000001E-2</v>
      </c>
      <c r="G3" s="54">
        <v>5.7299999999999997E-2</v>
      </c>
      <c r="H3" s="52">
        <v>4.2200000000000001E-2</v>
      </c>
      <c r="I3" s="73">
        <f>(1+H3/365)^365-1</f>
        <v>4.3100534047914474E-2</v>
      </c>
      <c r="J3" s="74"/>
      <c r="K3" s="67">
        <f>H3-'Daily Data'!AR144</f>
        <v>2.7900000000000001E-2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Data'!Z144</f>
        <v>6.5000000000000023E-3</v>
      </c>
    </row>
    <row r="5" spans="1:11" ht="23.15" customHeight="1" x14ac:dyDescent="0.5">
      <c r="A5" s="50" t="s">
        <v>17</v>
      </c>
      <c r="B5" s="55">
        <v>4.7199999999999999E-2</v>
      </c>
      <c r="C5" s="55">
        <f t="shared" ref="C5:G5" si="2">((1+$I5)^(C2/365)-1)*365/C2</f>
        <v>3.9527797305134844E-2</v>
      </c>
      <c r="D5" s="55">
        <v>5.6599999999999998E-2</v>
      </c>
      <c r="E5" s="55">
        <f t="shared" si="2"/>
        <v>3.9626366640761357E-2</v>
      </c>
      <c r="F5" s="55">
        <f t="shared" si="2"/>
        <v>3.969082753132306E-2</v>
      </c>
      <c r="G5" s="55">
        <f t="shared" si="2"/>
        <v>3.9885050217776455E-2</v>
      </c>
      <c r="H5" s="56">
        <v>3.95E-2</v>
      </c>
      <c r="I5" s="73">
        <f t="shared" si="1"/>
        <v>4.0288275604905666E-2</v>
      </c>
      <c r="J5" s="74"/>
      <c r="K5" s="67">
        <f>H5-'Daily Data'!BJ144</f>
        <v>2.5000000000000001E-2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2.2700000000000001E-2</v>
      </c>
      <c r="C7" s="55">
        <f t="shared" ref="C7:G7" si="4">((1+$I7)^(C2/365)-1)*365/C2</f>
        <v>2.1608310569760963E-2</v>
      </c>
      <c r="D7" s="55">
        <v>2.3699999999999999E-2</v>
      </c>
      <c r="E7" s="55">
        <f t="shared" si="4"/>
        <v>2.1637751452725933E-2</v>
      </c>
      <c r="F7" s="55">
        <f t="shared" si="4"/>
        <v>2.1656980840644872E-2</v>
      </c>
      <c r="G7" s="55">
        <f t="shared" si="4"/>
        <v>2.1714805818345999E-2</v>
      </c>
      <c r="H7" s="52">
        <v>2.1600000000000001E-2</v>
      </c>
      <c r="I7" s="73">
        <f t="shared" si="1"/>
        <v>2.1834315672647486E-2</v>
      </c>
      <c r="J7" s="74"/>
      <c r="K7" s="67">
        <f>H7-1.06%</f>
        <v>1.1000000000000001E-2</v>
      </c>
    </row>
    <row r="8" spans="1:11" ht="23.15" customHeight="1" x14ac:dyDescent="0.4">
      <c r="A8" s="50" t="s">
        <v>57</v>
      </c>
      <c r="B8" s="51">
        <f>((1+$I8)^(B2/365)-1)*365/B2</f>
        <v>3.8312058738885373E-2</v>
      </c>
      <c r="C8" s="51">
        <f t="shared" ref="C8:G8" si="5">((1+$I8)^(C2/365)-1)*365/C2</f>
        <v>3.8326133666167612E-2</v>
      </c>
      <c r="D8" s="51">
        <f t="shared" si="5"/>
        <v>3.8358330823753763E-2</v>
      </c>
      <c r="E8" s="51">
        <f t="shared" si="5"/>
        <v>3.8418797736503744E-2</v>
      </c>
      <c r="F8" s="51">
        <f t="shared" si="5"/>
        <v>3.8479391740204962E-2</v>
      </c>
      <c r="G8" s="51">
        <f t="shared" si="5"/>
        <v>3.8661939305934263E-2</v>
      </c>
      <c r="H8" s="52">
        <v>3.8300000000000001E-2</v>
      </c>
      <c r="I8" s="73">
        <f t="shared" si="1"/>
        <v>3.9040811251424667E-2</v>
      </c>
      <c r="J8" s="74"/>
      <c r="K8" s="67">
        <f>H8-'Daily Data'!H144</f>
        <v>2.3800000000000002E-2</v>
      </c>
    </row>
    <row r="9" spans="1:11" ht="23.15" customHeight="1" x14ac:dyDescent="0.5">
      <c r="A9" s="50" t="s">
        <v>56</v>
      </c>
      <c r="B9" s="55">
        <f>((1+$I9)^(B2/365)-1)*365/B2</f>
        <v>3.851218501867569E-2</v>
      </c>
      <c r="C9" s="55">
        <f t="shared" ref="C9:G9" si="6">((1+$I9)^(C2/365)-1)*365/C2</f>
        <v>3.8526407373154492E-2</v>
      </c>
      <c r="D9" s="55">
        <f t="shared" si="6"/>
        <v>3.8558941915132906E-2</v>
      </c>
      <c r="E9" s="55">
        <f t="shared" si="6"/>
        <v>3.862004295629589E-2</v>
      </c>
      <c r="F9" s="55">
        <f t="shared" si="6"/>
        <v>3.8681273092882745E-2</v>
      </c>
      <c r="G9" s="55">
        <f t="shared" si="6"/>
        <v>3.8865741147578438E-2</v>
      </c>
      <c r="H9" s="52">
        <v>3.85E-2</v>
      </c>
      <c r="I9" s="73">
        <f t="shared" si="1"/>
        <v>3.9248618331255036E-2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">
    <cfRule type="expression" dxfId="98" priority="1">
      <formula>_xlfn.ISFORMULA(A1)</formula>
    </cfRule>
    <cfRule type="expression" priority="2">
      <formula>_xlfn.ISFORMULA(A1)</formula>
    </cfRule>
  </conditionalFormatting>
  <conditionalFormatting sqref="J1:J9 I1:I10 A10:F10">
    <cfRule type="expression" dxfId="97" priority="5">
      <formula>_xlfn.ISFORMULA(A1)</formula>
    </cfRule>
    <cfRule type="expression" priority="6">
      <formula>_xlfn.ISFORMULA(A1)</formula>
    </cfRule>
  </conditionalFormatting>
  <pageMargins left="0.7" right="0.7" top="0.75" bottom="0.75" header="0.3" footer="0.3"/>
  <legacy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9C98D-50C8-49C8-ADAB-A4809DCE76C6}">
  <dimension ref="A1:K10"/>
  <sheetViews>
    <sheetView topLeftCell="C1" zoomScale="80" zoomScaleNormal="80" workbookViewId="0">
      <selection activeCell="B4" sqref="B4:G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46219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3.3000000000000002E-2</v>
      </c>
      <c r="C3" s="54">
        <v>3.3000000000000002E-2</v>
      </c>
      <c r="D3" s="54">
        <v>3.7900000000000003E-2</v>
      </c>
      <c r="E3" s="54">
        <v>0.04</v>
      </c>
      <c r="F3" s="54">
        <v>4.2900000000000001E-2</v>
      </c>
      <c r="G3" s="54">
        <v>5.7299999999999997E-2</v>
      </c>
      <c r="H3" s="52">
        <v>4.2200000000000001E-2</v>
      </c>
      <c r="I3" s="73">
        <f>(1+H3/365)^365-1</f>
        <v>4.3100534047914474E-2</v>
      </c>
      <c r="J3" s="74"/>
      <c r="K3" s="67">
        <f>H3-'Daily Data'!AR146</f>
        <v>2.5900000000000003E-2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Data'!Z146</f>
        <v>5.9000000000000025E-3</v>
      </c>
    </row>
    <row r="5" spans="1:11" ht="23.15" customHeight="1" x14ac:dyDescent="0.5">
      <c r="A5" s="50" t="s">
        <v>17</v>
      </c>
      <c r="B5" s="55">
        <v>4.7199999999999999E-2</v>
      </c>
      <c r="C5" s="55">
        <f t="shared" ref="C5:G5" si="2">((1+$I5)^(C2/365)-1)*365/C2</f>
        <v>3.9427656707190346E-2</v>
      </c>
      <c r="D5" s="55">
        <v>5.6599999999999998E-2</v>
      </c>
      <c r="E5" s="55">
        <f t="shared" si="2"/>
        <v>3.9525726953030728E-2</v>
      </c>
      <c r="F5" s="55">
        <f t="shared" si="2"/>
        <v>3.9589861010926784E-2</v>
      </c>
      <c r="G5" s="55">
        <f t="shared" si="2"/>
        <v>3.9783096817143065E-2</v>
      </c>
      <c r="H5" s="56">
        <v>3.9399999999999998E-2</v>
      </c>
      <c r="I5" s="73">
        <f t="shared" si="1"/>
        <v>4.0184263220001792E-2</v>
      </c>
      <c r="J5" s="74"/>
      <c r="K5" s="67">
        <f>H5-'Daily Data'!BJ146</f>
        <v>2.3799999999999998E-2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2.2700000000000001E-2</v>
      </c>
      <c r="C7" s="55">
        <f t="shared" ref="C7:G7" si="4">((1+$I7)^(C2/365)-1)*365/C2</f>
        <v>2.1608310569760963E-2</v>
      </c>
      <c r="D7" s="55">
        <v>2.3699999999999999E-2</v>
      </c>
      <c r="E7" s="55">
        <f t="shared" si="4"/>
        <v>2.1637751452725933E-2</v>
      </c>
      <c r="F7" s="55">
        <f t="shared" si="4"/>
        <v>2.1656980840644872E-2</v>
      </c>
      <c r="G7" s="55">
        <f t="shared" si="4"/>
        <v>2.1714805818345999E-2</v>
      </c>
      <c r="H7" s="52">
        <v>2.1600000000000001E-2</v>
      </c>
      <c r="I7" s="73">
        <f t="shared" si="1"/>
        <v>2.1834315672647486E-2</v>
      </c>
      <c r="J7" s="74"/>
      <c r="K7" s="67">
        <f>H7-1.06%</f>
        <v>1.1000000000000001E-2</v>
      </c>
    </row>
    <row r="8" spans="1:11" ht="23.15" customHeight="1" x14ac:dyDescent="0.4">
      <c r="A8" s="50" t="s">
        <v>57</v>
      </c>
      <c r="B8" s="51">
        <f>((1+$I8)^(B2/365)-1)*365/B2</f>
        <v>3.8111933116994026E-2</v>
      </c>
      <c r="C8" s="51">
        <f t="shared" ref="C8:G8" si="5">((1+$I8)^(C2/365)-1)*365/C2</f>
        <v>3.8125861385658953E-2</v>
      </c>
      <c r="D8" s="51">
        <f t="shared" si="5"/>
        <v>3.8157722919830293E-2</v>
      </c>
      <c r="E8" s="51">
        <f t="shared" si="5"/>
        <v>3.8217559021958877E-2</v>
      </c>
      <c r="F8" s="51">
        <f t="shared" si="5"/>
        <v>3.8277520231449862E-2</v>
      </c>
      <c r="G8" s="51">
        <f t="shared" si="5"/>
        <v>3.8458157450568138E-2</v>
      </c>
      <c r="H8" s="52">
        <v>3.8100000000000002E-2</v>
      </c>
      <c r="I8" s="73">
        <f t="shared" si="1"/>
        <v>3.88330456106869E-2</v>
      </c>
      <c r="J8" s="74"/>
      <c r="K8" s="67">
        <f>H8-'Daily Data'!H146</f>
        <v>2.2700000000000001E-2</v>
      </c>
    </row>
    <row r="9" spans="1:11" ht="23.15" customHeight="1" x14ac:dyDescent="0.5">
      <c r="A9" s="50" t="s">
        <v>56</v>
      </c>
      <c r="B9" s="55">
        <f>((1+$I9)^(B2/365)-1)*365/B2</f>
        <v>3.9913087397973931E-2</v>
      </c>
      <c r="C9" s="55">
        <f t="shared" ref="C9:G9" si="6">((1+$I9)^(C2/365)-1)*365/C2</f>
        <v>3.9928363263475992E-2</v>
      </c>
      <c r="D9" s="55">
        <f t="shared" si="6"/>
        <v>3.9963308806990137E-2</v>
      </c>
      <c r="E9" s="55">
        <f t="shared" si="6"/>
        <v>4.0028941658392388E-2</v>
      </c>
      <c r="F9" s="55">
        <f t="shared" si="6"/>
        <v>4.0094718230666425E-2</v>
      </c>
      <c r="G9" s="55">
        <f t="shared" si="6"/>
        <v>4.0292913817926337E-2</v>
      </c>
      <c r="H9" s="52">
        <v>3.9899999999999998E-2</v>
      </c>
      <c r="I9" s="73">
        <f t="shared" si="1"/>
        <v>4.0704428876507048E-2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">
    <cfRule type="expression" dxfId="96" priority="1">
      <formula>_xlfn.ISFORMULA(A1)</formula>
    </cfRule>
    <cfRule type="expression" priority="2">
      <formula>_xlfn.ISFORMULA(A1)</formula>
    </cfRule>
  </conditionalFormatting>
  <conditionalFormatting sqref="J1:J9 I1:I10 A10:F10">
    <cfRule type="expression" dxfId="95" priority="5">
      <formula>_xlfn.ISFORMULA(A1)</formula>
    </cfRule>
    <cfRule type="expression" priority="6">
      <formula>_xlfn.ISFORMULA(A1)</formula>
    </cfRule>
  </conditionalFormatting>
  <pageMargins left="0.7" right="0.7" top="0.75" bottom="0.75" header="0.3" footer="0.3"/>
  <legacy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3A151-424E-4789-8E09-B11266C28E0F}">
  <dimension ref="A1:K10"/>
  <sheetViews>
    <sheetView zoomScale="60" zoomScaleNormal="60" workbookViewId="0">
      <selection activeCell="B4" sqref="B4:G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46220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3.5000000000000003E-2</v>
      </c>
      <c r="C3" s="54">
        <v>3.3000000000000002E-2</v>
      </c>
      <c r="D3" s="54">
        <v>3.5000000000000003E-2</v>
      </c>
      <c r="E3" s="54">
        <v>0.04</v>
      </c>
      <c r="F3" s="54">
        <v>4.2900000000000001E-2</v>
      </c>
      <c r="G3" s="54">
        <v>5.7000000000000002E-2</v>
      </c>
      <c r="H3" s="52">
        <v>4.1700000000000001E-2</v>
      </c>
      <c r="I3" s="73">
        <f>(1+H3/365)^365-1</f>
        <v>4.2579174052441493E-2</v>
      </c>
      <c r="J3" s="74"/>
      <c r="K3" s="67">
        <f>H3-'Daily Data'!AR146</f>
        <v>2.5400000000000002E-2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Data'!Z146</f>
        <v>5.9000000000000025E-3</v>
      </c>
    </row>
    <row r="5" spans="1:11" ht="23.15" customHeight="1" x14ac:dyDescent="0.5">
      <c r="A5" s="50" t="s">
        <v>17</v>
      </c>
      <c r="B5" s="55">
        <f>((1+$I5)^(B2/365)-1)*365/B2</f>
        <v>3.8712311956318669E-2</v>
      </c>
      <c r="C5" s="55">
        <f t="shared" ref="C5:G5" si="2">((1+$I5)^(C2/365)-1)*365/C2</f>
        <v>3.8726682506561701E-2</v>
      </c>
      <c r="D5" s="55">
        <f t="shared" si="2"/>
        <v>3.8759556193956914E-2</v>
      </c>
      <c r="E5" s="55">
        <f t="shared" si="2"/>
        <v>3.8821294681477138E-2</v>
      </c>
      <c r="F5" s="55">
        <f t="shared" si="2"/>
        <v>3.8883164289896549E-2</v>
      </c>
      <c r="G5" s="55">
        <f t="shared" si="2"/>
        <v>3.9069562977386327E-2</v>
      </c>
      <c r="H5" s="56">
        <v>3.8699999999999998E-2</v>
      </c>
      <c r="I5" s="73">
        <f t="shared" si="1"/>
        <v>3.9456466858355688E-2</v>
      </c>
      <c r="J5" s="74"/>
      <c r="K5" s="67">
        <f>H5-'Daily Data'!BJ146</f>
        <v>2.3099999999999999E-2</v>
      </c>
    </row>
    <row r="6" spans="1:11" ht="23.15" customHeight="1" x14ac:dyDescent="0.5">
      <c r="A6" s="50" t="s">
        <v>55</v>
      </c>
      <c r="B6" s="51">
        <f>((1+$I6)^(B2/365)-1)*365/B2</f>
        <v>3.3709335874898071E-2</v>
      </c>
      <c r="C6" s="51">
        <f t="shared" ref="C6:G6" si="3">((1+$I6)^(C2/365)-1)*365/C2</f>
        <v>3.3720232087598924E-2</v>
      </c>
      <c r="D6" s="51">
        <f t="shared" si="3"/>
        <v>3.3745155354740729E-2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f>((1+$I7)^(B2/365)-1)*365/B2</f>
        <v>1.7902633722116486E-2</v>
      </c>
      <c r="C7" s="55">
        <f t="shared" ref="C7:G7" si="4">((1+$I7)^(C2/365)-1)*365/C2</f>
        <v>1.7905707050962744E-2</v>
      </c>
      <c r="D7" s="55">
        <f t="shared" si="4"/>
        <v>1.7912734444474571E-2</v>
      </c>
      <c r="E7" s="55">
        <f t="shared" si="4"/>
        <v>1.7925920720718819E-2</v>
      </c>
      <c r="F7" s="55">
        <f t="shared" si="4"/>
        <v>1.7939119939552526E-2</v>
      </c>
      <c r="G7" s="55">
        <f t="shared" si="4"/>
        <v>1.7978795394591594E-2</v>
      </c>
      <c r="H7" s="52">
        <v>1.7899999999999999E-2</v>
      </c>
      <c r="I7" s="73">
        <f t="shared" si="1"/>
        <v>1.8060718352335359E-2</v>
      </c>
      <c r="J7" s="74"/>
      <c r="K7" s="67">
        <f>H7-1.06%</f>
        <v>7.2999999999999992E-3</v>
      </c>
    </row>
    <row r="8" spans="1:11" ht="23.15" customHeight="1" x14ac:dyDescent="0.4">
      <c r="A8" s="50" t="s">
        <v>57</v>
      </c>
      <c r="B8" s="51">
        <f>((1+$I8)^(B2/365)-1)*365/B2</f>
        <v>3.7711683846780905E-2</v>
      </c>
      <c r="C8" s="51">
        <f t="shared" ref="C8:G8" si="5">((1+$I8)^(C2/365)-1)*365/C2</f>
        <v>3.7725321103891055E-2</v>
      </c>
      <c r="D8" s="51">
        <f t="shared" si="5"/>
        <v>3.775651667401806E-2</v>
      </c>
      <c r="E8" s="51">
        <f t="shared" si="5"/>
        <v>3.7815101107635661E-2</v>
      </c>
      <c r="F8" s="51">
        <f t="shared" si="5"/>
        <v>3.7873806743672578E-2</v>
      </c>
      <c r="G8" s="51">
        <f t="shared" si="5"/>
        <v>3.8050653690731094E-2</v>
      </c>
      <c r="H8" s="52">
        <v>3.7699999999999997E-2</v>
      </c>
      <c r="I8" s="73">
        <f t="shared" si="1"/>
        <v>3.8417638613382321E-2</v>
      </c>
      <c r="J8" s="74"/>
      <c r="K8" s="67">
        <f>H8-'Daily Data'!H146</f>
        <v>2.2299999999999997E-2</v>
      </c>
    </row>
    <row r="9" spans="1:11" ht="23.15" customHeight="1" x14ac:dyDescent="0.5">
      <c r="A9" s="50" t="s">
        <v>56</v>
      </c>
      <c r="B9" s="55">
        <f>((1+$I9)^(B2/365)-1)*365/B2</f>
        <v>3.9312696716641442E-2</v>
      </c>
      <c r="C9" s="55">
        <f t="shared" ref="C9:G9" si="6">((1+$I9)^(C2/365)-1)*365/C2</f>
        <v>3.9327516465768438E-2</v>
      </c>
      <c r="D9" s="55">
        <f t="shared" si="6"/>
        <v>3.9361418155924789E-2</v>
      </c>
      <c r="E9" s="55">
        <f t="shared" si="6"/>
        <v>3.9425088891784137E-2</v>
      </c>
      <c r="F9" s="55">
        <f t="shared" si="6"/>
        <v>3.9488896952051947E-2</v>
      </c>
      <c r="G9" s="55">
        <f t="shared" si="6"/>
        <v>3.9681148415646884E-2</v>
      </c>
      <c r="H9" s="52">
        <v>3.9300000000000002E-2</v>
      </c>
      <c r="I9" s="73">
        <f t="shared" si="1"/>
        <v>4.0080261206093759E-2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">
    <cfRule type="expression" dxfId="94" priority="1">
      <formula>_xlfn.ISFORMULA(A1)</formula>
    </cfRule>
    <cfRule type="expression" priority="2">
      <formula>_xlfn.ISFORMULA(A1)</formula>
    </cfRule>
  </conditionalFormatting>
  <conditionalFormatting sqref="J1:J9 I1:I10 A10:F10">
    <cfRule type="expression" dxfId="93" priority="5">
      <formula>_xlfn.ISFORMULA(A1)</formula>
    </cfRule>
    <cfRule type="expression" priority="6">
      <formula>_xlfn.ISFORMULA(A1)</formula>
    </cfRule>
  </conditionalFormatting>
  <pageMargins left="0.7" right="0.7" top="0.75" bottom="0.75" header="0.3" footer="0.3"/>
  <legacy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16DC2-C83A-484D-A404-022A8C9F7973}">
  <dimension ref="A1:K10"/>
  <sheetViews>
    <sheetView zoomScale="70" zoomScaleNormal="70" workbookViewId="0">
      <selection activeCell="B4" sqref="B4:G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46221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3.3000000000000002E-2</v>
      </c>
      <c r="C3" s="54">
        <v>3.39E-2</v>
      </c>
      <c r="D3" s="54">
        <v>3.7699999999999997E-2</v>
      </c>
      <c r="E3" s="54">
        <v>3.9899999999999998E-2</v>
      </c>
      <c r="F3" s="54">
        <v>4.2900000000000001E-2</v>
      </c>
      <c r="G3" s="54">
        <v>4.9799999999999997E-2</v>
      </c>
      <c r="H3" s="52">
        <v>4.0599999999999997E-2</v>
      </c>
      <c r="I3" s="73">
        <f>(1+H3/365)^365-1</f>
        <v>4.1433096627561561E-2</v>
      </c>
      <c r="J3" s="74"/>
      <c r="K3" s="67">
        <f>H3-'Daily Data'!AR146</f>
        <v>2.4299999999999999E-2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Data'!Z146</f>
        <v>5.9000000000000025E-3</v>
      </c>
    </row>
    <row r="5" spans="1:11" ht="23.15" customHeight="1" x14ac:dyDescent="0.5">
      <c r="A5" s="50" t="s">
        <v>17</v>
      </c>
      <c r="B5" s="55">
        <v>4.5199999999999997E-2</v>
      </c>
      <c r="C5" s="55">
        <f t="shared" ref="C5:G5" si="2">((1+$I5)^(C2/365)-1)*365/C2</f>
        <v>3.7525053102707075E-2</v>
      </c>
      <c r="D5" s="55">
        <v>5.4199999999999998E-2</v>
      </c>
      <c r="E5" s="55">
        <f t="shared" si="2"/>
        <v>3.7613881907545298E-2</v>
      </c>
      <c r="F5" s="55">
        <f t="shared" si="2"/>
        <v>3.7671964763798499E-2</v>
      </c>
      <c r="G5" s="55">
        <f t="shared" si="2"/>
        <v>3.7846931782462699E-2</v>
      </c>
      <c r="H5" s="56">
        <v>3.7499999999999999E-2</v>
      </c>
      <c r="I5" s="73">
        <f t="shared" si="1"/>
        <v>3.8209997240440829E-2</v>
      </c>
      <c r="J5" s="74"/>
      <c r="K5" s="67">
        <f>H5-'Daily Data'!BJ146</f>
        <v>2.1899999999999999E-2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2.0799999999999999E-2</v>
      </c>
      <c r="C7" s="55">
        <f t="shared" ref="C7:G7" si="4">((1+$I7)^(C2/365)-1)*365/C2</f>
        <v>1.6905087147609837E-2</v>
      </c>
      <c r="D7" s="55">
        <v>1.6400000000000001E-2</v>
      </c>
      <c r="E7" s="55">
        <f t="shared" si="4"/>
        <v>1.6923104225066061E-2</v>
      </c>
      <c r="F7" s="55">
        <f t="shared" si="4"/>
        <v>1.6934868285771128E-2</v>
      </c>
      <c r="G7" s="55">
        <f t="shared" si="4"/>
        <v>1.6970225927890305E-2</v>
      </c>
      <c r="H7" s="52">
        <v>1.6899999999999998E-2</v>
      </c>
      <c r="I7" s="73">
        <f t="shared" si="1"/>
        <v>1.704321497611061E-2</v>
      </c>
      <c r="J7" s="74"/>
      <c r="K7" s="67">
        <f>H7-1.06%</f>
        <v>6.2999999999999983E-3</v>
      </c>
    </row>
    <row r="8" spans="1:11" ht="23.15" customHeight="1" x14ac:dyDescent="0.4">
      <c r="A8" s="50" t="s">
        <v>57</v>
      </c>
      <c r="B8" s="51">
        <f>((1+$I8)^(B2/365)-1)*365/B2</f>
        <v>3.7411498621118887E-2</v>
      </c>
      <c r="C8" s="51">
        <f t="shared" ref="C8:G8" si="5">((1+$I8)^(C2/365)-1)*365/C2</f>
        <v>3.7424919637020534E-2</v>
      </c>
      <c r="D8" s="51">
        <f t="shared" si="5"/>
        <v>3.7455620356396047E-2</v>
      </c>
      <c r="E8" s="51">
        <f t="shared" si="5"/>
        <v>3.7513274746653447E-2</v>
      </c>
      <c r="F8" s="51">
        <f t="shared" si="5"/>
        <v>3.7571047464634799E-2</v>
      </c>
      <c r="G8" s="51">
        <f t="shared" si="5"/>
        <v>3.7745078320365125E-2</v>
      </c>
      <c r="H8" s="52">
        <v>3.7400000000000003E-2</v>
      </c>
      <c r="I8" s="73">
        <f t="shared" si="1"/>
        <v>3.8106192081770685E-2</v>
      </c>
      <c r="J8" s="74"/>
      <c r="K8" s="67">
        <f>H8-'Daily Data'!H146</f>
        <v>2.2000000000000002E-2</v>
      </c>
    </row>
    <row r="9" spans="1:11" ht="23.15" customHeight="1" x14ac:dyDescent="0.5">
      <c r="A9" s="50" t="s">
        <v>56</v>
      </c>
      <c r="B9" s="55">
        <f>((1+$I9)^(B2/365)-1)*365/B2</f>
        <v>3.8111933116994026E-2</v>
      </c>
      <c r="C9" s="55">
        <f t="shared" ref="C9:G9" si="6">((1+$I9)^(C2/365)-1)*365/C2</f>
        <v>3.8125861385658953E-2</v>
      </c>
      <c r="D9" s="55">
        <f t="shared" si="6"/>
        <v>3.8157722919830293E-2</v>
      </c>
      <c r="E9" s="55">
        <f t="shared" si="6"/>
        <v>3.8217559021958877E-2</v>
      </c>
      <c r="F9" s="55">
        <f t="shared" si="6"/>
        <v>3.8277520231449862E-2</v>
      </c>
      <c r="G9" s="55">
        <f t="shared" si="6"/>
        <v>3.8458157450568138E-2</v>
      </c>
      <c r="H9" s="52">
        <v>3.8100000000000002E-2</v>
      </c>
      <c r="I9" s="73">
        <f t="shared" si="1"/>
        <v>3.88330456106869E-2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">
    <cfRule type="expression" dxfId="92" priority="1">
      <formula>_xlfn.ISFORMULA(A1)</formula>
    </cfRule>
    <cfRule type="expression" priority="2">
      <formula>_xlfn.ISFORMULA(A1)</formula>
    </cfRule>
  </conditionalFormatting>
  <conditionalFormatting sqref="J1:J9 I1:I10 A10:F10">
    <cfRule type="expression" dxfId="91" priority="5">
      <formula>_xlfn.ISFORMULA(A1)</formula>
    </cfRule>
    <cfRule type="expression" priority="6">
      <formula>_xlfn.ISFORMULA(A1)</formula>
    </cfRule>
  </conditionalFormatting>
  <pageMargins left="0.7" right="0.7" top="0.75" bottom="0.75" header="0.3" footer="0.3"/>
  <legacy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FA33F-71E1-4573-972F-A13B5B04CBDF}">
  <dimension ref="A1:K10"/>
  <sheetViews>
    <sheetView zoomScale="80" zoomScaleNormal="80" zoomScaleSheetLayoutView="50" workbookViewId="0">
      <selection activeCell="B4" sqref="B4:G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46222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3.3000000000000002E-2</v>
      </c>
      <c r="C3" s="54">
        <v>3.39E-2</v>
      </c>
      <c r="D3" s="54">
        <v>3.7699999999999997E-2</v>
      </c>
      <c r="E3" s="54">
        <v>3.9899999999999998E-2</v>
      </c>
      <c r="F3" s="54">
        <v>4.2900000000000001E-2</v>
      </c>
      <c r="G3" s="54">
        <v>4.9799999999999997E-2</v>
      </c>
      <c r="H3" s="52">
        <v>4.0599999999999997E-2</v>
      </c>
      <c r="I3" s="73">
        <f>(1+H3/365)^365-1</f>
        <v>4.1433096627561561E-2</v>
      </c>
      <c r="J3" s="74"/>
      <c r="K3" s="67">
        <f>H3-'Daily Data'!AR146</f>
        <v>2.4299999999999999E-2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Data'!Z146</f>
        <v>5.9000000000000025E-3</v>
      </c>
    </row>
    <row r="5" spans="1:11" ht="23.15" customHeight="1" x14ac:dyDescent="0.5">
      <c r="A5" s="50" t="s">
        <v>17</v>
      </c>
      <c r="B5" s="55">
        <v>4.5199999999999997E-2</v>
      </c>
      <c r="C5" s="55">
        <f t="shared" ref="C5:G5" si="2">((1+$I5)^(C2/365)-1)*365/C2</f>
        <v>3.7024389340166004E-2</v>
      </c>
      <c r="D5" s="55">
        <v>5.4199999999999998E-2</v>
      </c>
      <c r="E5" s="55">
        <f t="shared" si="2"/>
        <v>3.7110862363455399E-2</v>
      </c>
      <c r="F5" s="55">
        <f t="shared" si="2"/>
        <v>3.7167402871694732E-2</v>
      </c>
      <c r="G5" s="55">
        <f t="shared" si="2"/>
        <v>3.7337714413147337E-2</v>
      </c>
      <c r="H5" s="56">
        <v>3.6999999999999998E-2</v>
      </c>
      <c r="I5" s="73">
        <f t="shared" si="1"/>
        <v>3.7691074941686109E-2</v>
      </c>
      <c r="J5" s="74"/>
      <c r="K5" s="67">
        <f>H5-'Daily Data'!BJ146</f>
        <v>2.1399999999999999E-2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2.0799999999999999E-2</v>
      </c>
      <c r="C7" s="55">
        <f t="shared" ref="C7:G7" si="4">((1+$I7)^(C2/365)-1)*365/C2</f>
        <v>1.6905087147609837E-2</v>
      </c>
      <c r="D7" s="55">
        <v>1.6400000000000001E-2</v>
      </c>
      <c r="E7" s="55">
        <f t="shared" si="4"/>
        <v>1.6923104225066061E-2</v>
      </c>
      <c r="F7" s="55">
        <f t="shared" si="4"/>
        <v>1.6934868285771128E-2</v>
      </c>
      <c r="G7" s="55">
        <f t="shared" si="4"/>
        <v>1.6970225927890305E-2</v>
      </c>
      <c r="H7" s="52">
        <v>1.6899999999999998E-2</v>
      </c>
      <c r="I7" s="73">
        <f t="shared" si="1"/>
        <v>1.704321497611061E-2</v>
      </c>
      <c r="J7" s="74"/>
      <c r="K7" s="67">
        <f>H7-1.06%</f>
        <v>6.2999999999999983E-3</v>
      </c>
    </row>
    <row r="8" spans="1:11" ht="23.15" customHeight="1" x14ac:dyDescent="0.4">
      <c r="A8" s="50" t="s">
        <v>57</v>
      </c>
      <c r="B8" s="51">
        <f>((1+$I8)^(B2/365)-1)*365/B2</f>
        <v>3.6811132610262698E-2</v>
      </c>
      <c r="C8" s="51">
        <f t="shared" ref="C8:G8" si="5">((1+$I8)^(C2/365)-1)*365/C2</f>
        <v>3.6824126331346081E-2</v>
      </c>
      <c r="D8" s="51">
        <f t="shared" si="5"/>
        <v>3.6853849234498227E-2</v>
      </c>
      <c r="E8" s="51">
        <f t="shared" si="5"/>
        <v>3.6909665927788916E-2</v>
      </c>
      <c r="F8" s="51">
        <f t="shared" si="5"/>
        <v>3.6965595336695314E-2</v>
      </c>
      <c r="G8" s="51">
        <f t="shared" si="5"/>
        <v>3.7134062420906062E-2</v>
      </c>
      <c r="H8" s="52">
        <v>3.6799999999999999E-2</v>
      </c>
      <c r="I8" s="73">
        <f t="shared" si="1"/>
        <v>3.7483578454069244E-2</v>
      </c>
      <c r="J8" s="74"/>
      <c r="K8" s="67">
        <f>H8-'Daily Data'!H146</f>
        <v>2.1399999999999999E-2</v>
      </c>
    </row>
    <row r="9" spans="1:11" ht="23.15" customHeight="1" x14ac:dyDescent="0.5">
      <c r="A9" s="50" t="s">
        <v>56</v>
      </c>
      <c r="B9" s="55">
        <f>((1+$I9)^(B2/365)-1)*365/B2</f>
        <v>3.7811745917646675E-2</v>
      </c>
      <c r="C9" s="55">
        <f t="shared" ref="C9:G9" si="6">((1+$I9)^(C2/365)-1)*365/C2</f>
        <v>3.7825455639434812E-2</v>
      </c>
      <c r="D9" s="55">
        <f t="shared" si="6"/>
        <v>3.7856817040241096E-2</v>
      </c>
      <c r="E9" s="55">
        <f t="shared" si="6"/>
        <v>3.7915713146943579E-2</v>
      </c>
      <c r="F9" s="55">
        <f t="shared" si="6"/>
        <v>3.7974731424557651E-2</v>
      </c>
      <c r="G9" s="55">
        <f t="shared" si="6"/>
        <v>3.8152522137446708E-2</v>
      </c>
      <c r="H9" s="52">
        <v>3.78E-2</v>
      </c>
      <c r="I9" s="73">
        <f t="shared" si="1"/>
        <v>3.8521474829770863E-2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">
    <cfRule type="expression" dxfId="90" priority="1">
      <formula>_xlfn.ISFORMULA(A1)</formula>
    </cfRule>
    <cfRule type="expression" priority="2">
      <formula>_xlfn.ISFORMULA(A1)</formula>
    </cfRule>
  </conditionalFormatting>
  <conditionalFormatting sqref="J1:J9 I1:I10 A10:F10">
    <cfRule type="expression" dxfId="89" priority="5">
      <formula>_xlfn.ISFORMULA(A1)</formula>
    </cfRule>
    <cfRule type="expression" priority="6">
      <formula>_xlfn.ISFORMULA(A1)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9577-012E-4F15-A43D-B47F55F5BC77}">
  <dimension ref="A1:K10"/>
  <sheetViews>
    <sheetView zoomScale="70" zoomScaleNormal="7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46223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3.3000000000000002E-2</v>
      </c>
      <c r="C3" s="54">
        <v>3.39E-2</v>
      </c>
      <c r="D3" s="54">
        <v>3.7699999999999997E-2</v>
      </c>
      <c r="E3" s="54">
        <v>3.9899999999999998E-2</v>
      </c>
      <c r="F3" s="54">
        <v>4.2900000000000001E-2</v>
      </c>
      <c r="G3" s="54">
        <v>4.9799999999999997E-2</v>
      </c>
      <c r="H3" s="52">
        <v>4.0599999999999997E-2</v>
      </c>
      <c r="I3" s="73">
        <f>(1+H3/365)^365-1</f>
        <v>4.1433096627561561E-2</v>
      </c>
      <c r="J3" s="74"/>
      <c r="K3" s="67">
        <f>H3-'Daily Data'!AR146</f>
        <v>2.4299999999999999E-2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Data'!Z146</f>
        <v>5.9000000000000025E-3</v>
      </c>
    </row>
    <row r="5" spans="1:11" ht="23.15" customHeight="1" x14ac:dyDescent="0.5">
      <c r="A5" s="50" t="s">
        <v>17</v>
      </c>
      <c r="B5" s="55">
        <v>4.5199999999999997E-2</v>
      </c>
      <c r="C5" s="55">
        <f t="shared" ref="C5:G5" si="2">((1+$I5)^(C2/365)-1)*365/C2</f>
        <v>3.7525053102707075E-2</v>
      </c>
      <c r="D5" s="55">
        <v>5.4199999999999998E-2</v>
      </c>
      <c r="E5" s="55">
        <f t="shared" si="2"/>
        <v>3.7613881907545298E-2</v>
      </c>
      <c r="F5" s="55">
        <f t="shared" si="2"/>
        <v>3.7671964763798499E-2</v>
      </c>
      <c r="G5" s="55">
        <f t="shared" si="2"/>
        <v>3.7846931782462699E-2</v>
      </c>
      <c r="H5" s="56">
        <v>3.7499999999999999E-2</v>
      </c>
      <c r="I5" s="73">
        <f t="shared" si="1"/>
        <v>3.8209997240440829E-2</v>
      </c>
      <c r="J5" s="74"/>
      <c r="K5" s="67">
        <f>H5-'Daily Data'!BJ146</f>
        <v>2.1899999999999999E-2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2.0799999999999999E-2</v>
      </c>
      <c r="C7" s="55">
        <f t="shared" ref="C7:G7" si="4">((1+$I7)^(C2/365)-1)*365/C2</f>
        <v>1.6905087147609837E-2</v>
      </c>
      <c r="D7" s="55">
        <v>1.6400000000000001E-2</v>
      </c>
      <c r="E7" s="55">
        <f t="shared" si="4"/>
        <v>1.6923104225066061E-2</v>
      </c>
      <c r="F7" s="55">
        <f t="shared" si="4"/>
        <v>1.6934868285771128E-2</v>
      </c>
      <c r="G7" s="55">
        <f t="shared" si="4"/>
        <v>1.6970225927890305E-2</v>
      </c>
      <c r="H7" s="52">
        <v>1.6899999999999998E-2</v>
      </c>
      <c r="I7" s="73">
        <f t="shared" si="1"/>
        <v>1.704321497611061E-2</v>
      </c>
      <c r="J7" s="74"/>
      <c r="K7" s="67">
        <f>H7-1.06%</f>
        <v>6.2999999999999983E-3</v>
      </c>
    </row>
    <row r="8" spans="1:11" ht="23.15" customHeight="1" x14ac:dyDescent="0.4">
      <c r="A8" s="50" t="s">
        <v>57</v>
      </c>
      <c r="B8" s="51">
        <f>((1+$I8)^(B2/365)-1)*365/B2</f>
        <v>3.7411498621118887E-2</v>
      </c>
      <c r="C8" s="51">
        <f t="shared" ref="C8:G8" si="5">((1+$I8)^(C2/365)-1)*365/C2</f>
        <v>3.7424919637020534E-2</v>
      </c>
      <c r="D8" s="51">
        <f t="shared" si="5"/>
        <v>3.7455620356396047E-2</v>
      </c>
      <c r="E8" s="51">
        <f t="shared" si="5"/>
        <v>3.7513274746653447E-2</v>
      </c>
      <c r="F8" s="51">
        <f t="shared" si="5"/>
        <v>3.7571047464634799E-2</v>
      </c>
      <c r="G8" s="51">
        <f t="shared" si="5"/>
        <v>3.7745078320365125E-2</v>
      </c>
      <c r="H8" s="52">
        <v>3.7400000000000003E-2</v>
      </c>
      <c r="I8" s="73">
        <f t="shared" si="1"/>
        <v>3.8106192081770685E-2</v>
      </c>
      <c r="J8" s="74"/>
      <c r="K8" s="67">
        <f>H8-'Daily Data'!H146</f>
        <v>2.2000000000000002E-2</v>
      </c>
    </row>
    <row r="9" spans="1:11" ht="23.15" customHeight="1" x14ac:dyDescent="0.5">
      <c r="A9" s="50" t="s">
        <v>56</v>
      </c>
      <c r="B9" s="55">
        <f>((1+$I9)^(B2/365)-1)*365/B2</f>
        <v>3.7811745917646675E-2</v>
      </c>
      <c r="C9" s="55">
        <f t="shared" ref="C9:G9" si="6">((1+$I9)^(C2/365)-1)*365/C2</f>
        <v>3.7825455639434812E-2</v>
      </c>
      <c r="D9" s="55">
        <f t="shared" si="6"/>
        <v>3.7856817040241096E-2</v>
      </c>
      <c r="E9" s="55">
        <f t="shared" si="6"/>
        <v>3.7915713146943579E-2</v>
      </c>
      <c r="F9" s="55">
        <f t="shared" si="6"/>
        <v>3.7974731424557651E-2</v>
      </c>
      <c r="G9" s="55">
        <f t="shared" si="6"/>
        <v>3.8152522137446708E-2</v>
      </c>
      <c r="H9" s="52">
        <v>3.78E-2</v>
      </c>
      <c r="I9" s="73">
        <f t="shared" si="1"/>
        <v>3.8521474829770863E-2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">
    <cfRule type="expression" dxfId="88" priority="1">
      <formula>_xlfn.ISFORMULA(A1)</formula>
    </cfRule>
    <cfRule type="expression" priority="2">
      <formula>_xlfn.ISFORMULA(A1)</formula>
    </cfRule>
  </conditionalFormatting>
  <conditionalFormatting sqref="J1:J9 I1:I10 A10:F10">
    <cfRule type="expression" dxfId="87" priority="5">
      <formula>_xlfn.ISFORMULA(A1)</formula>
    </cfRule>
    <cfRule type="expression" priority="6">
      <formula>_xlfn.ISFORMULA(A1)</formula>
    </cfRule>
  </conditionalFormatting>
  <pageMargins left="0.7" right="0.7" top="0.75" bottom="0.75" header="0.3" footer="0.3"/>
  <legacy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7DE97-939D-4C2D-843F-808F3FE9FE33}">
  <dimension ref="A1:K10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46224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3.39E-2</v>
      </c>
      <c r="C3" s="54">
        <v>3.49E-2</v>
      </c>
      <c r="D3" s="54">
        <v>3.7499999999999999E-2</v>
      </c>
      <c r="E3" s="54">
        <v>3.9899999999999998E-2</v>
      </c>
      <c r="F3" s="54">
        <v>4.1799999999999997E-2</v>
      </c>
      <c r="G3" s="54">
        <v>4.99E-2</v>
      </c>
      <c r="H3" s="52">
        <v>4.1300000000000003E-2</v>
      </c>
      <c r="I3" s="73">
        <f>(1+H3/365)^365-1</f>
        <v>4.2162273169587428E-2</v>
      </c>
      <c r="J3" s="74"/>
      <c r="K3" s="67">
        <f>H3-'Daily Data'!AR151</f>
        <v>2.5200000000000004E-2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Data'!Z151</f>
        <v>5.7000000000000002E-3</v>
      </c>
    </row>
    <row r="5" spans="1:11" ht="23.15" customHeight="1" x14ac:dyDescent="0.5">
      <c r="A5" s="50" t="s">
        <v>17</v>
      </c>
      <c r="B5" s="55">
        <v>4.5900000000000003E-2</v>
      </c>
      <c r="C5" s="55">
        <f t="shared" ref="C5:G5" si="2">((1+$I5)^(C2/365)-1)*365/C2</f>
        <v>3.8326133666167612E-2</v>
      </c>
      <c r="D5" s="55">
        <v>5.5100000000000003E-2</v>
      </c>
      <c r="E5" s="55">
        <f t="shared" si="2"/>
        <v>3.8418797736503744E-2</v>
      </c>
      <c r="F5" s="55">
        <f t="shared" si="2"/>
        <v>3.8479391740204962E-2</v>
      </c>
      <c r="G5" s="55">
        <f t="shared" si="2"/>
        <v>3.8661939305934263E-2</v>
      </c>
      <c r="H5" s="56">
        <v>3.8300000000000001E-2</v>
      </c>
      <c r="I5" s="73">
        <f t="shared" si="1"/>
        <v>3.9040811251424667E-2</v>
      </c>
      <c r="J5" s="74"/>
      <c r="K5" s="67">
        <f>H5-'Daily Data'!BJ151</f>
        <v>2.4199999999999999E-2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2.64E-2</v>
      </c>
      <c r="C7" s="55">
        <f t="shared" ref="C7:G7" si="4">((1+$I7)^(C2/365)-1)*365/C2</f>
        <v>2.1408157364972067E-2</v>
      </c>
      <c r="D7" s="55">
        <v>2.07E-2</v>
      </c>
      <c r="E7" s="55">
        <f t="shared" si="4"/>
        <v>2.1437055195603755E-2</v>
      </c>
      <c r="F7" s="55">
        <f t="shared" si="4"/>
        <v>2.1455929625400896E-2</v>
      </c>
      <c r="G7" s="55">
        <f t="shared" si="4"/>
        <v>2.1512685957521694E-2</v>
      </c>
      <c r="H7" s="52">
        <v>2.1399999999999999E-2</v>
      </c>
      <c r="I7" s="73">
        <f t="shared" si="1"/>
        <v>2.1629981279808197E-2</v>
      </c>
      <c r="J7" s="74"/>
      <c r="K7" s="67">
        <f>H7-1.06%</f>
        <v>1.0799999999999999E-2</v>
      </c>
    </row>
    <row r="8" spans="1:11" ht="23.15" customHeight="1" x14ac:dyDescent="0.4">
      <c r="A8" s="50" t="s">
        <v>57</v>
      </c>
      <c r="B8" s="51">
        <f>((1+$I8)^(B2/365)-1)*365/B2</f>
        <v>3.7811745917646675E-2</v>
      </c>
      <c r="C8" s="51">
        <f t="shared" ref="C8:G8" si="5">((1+$I8)^(C2/365)-1)*365/C2</f>
        <v>3.7825455639434812E-2</v>
      </c>
      <c r="D8" s="51">
        <f t="shared" si="5"/>
        <v>3.7856817040241096E-2</v>
      </c>
      <c r="E8" s="51">
        <f t="shared" si="5"/>
        <v>3.7915713146943579E-2</v>
      </c>
      <c r="F8" s="51">
        <f t="shared" si="5"/>
        <v>3.7974731424557651E-2</v>
      </c>
      <c r="G8" s="51">
        <f t="shared" si="5"/>
        <v>3.8152522137446708E-2</v>
      </c>
      <c r="H8" s="52">
        <v>3.78E-2</v>
      </c>
      <c r="I8" s="73">
        <f t="shared" si="1"/>
        <v>3.8521474829770863E-2</v>
      </c>
      <c r="J8" s="74"/>
      <c r="K8" s="67">
        <f>H8-'Daily Data'!H151</f>
        <v>2.2699999999999998E-2</v>
      </c>
    </row>
    <row r="9" spans="1:11" ht="23.15" customHeight="1" x14ac:dyDescent="0.5">
      <c r="A9" s="50" t="s">
        <v>56</v>
      </c>
      <c r="B9" s="55">
        <f>((1+$I9)^(B2/365)-1)*365/B2</f>
        <v>3.7811745917646675E-2</v>
      </c>
      <c r="C9" s="55">
        <f t="shared" ref="C9:G9" si="6">((1+$I9)^(C2/365)-1)*365/C2</f>
        <v>3.7825455639434812E-2</v>
      </c>
      <c r="D9" s="55">
        <f t="shared" si="6"/>
        <v>3.7856817040241096E-2</v>
      </c>
      <c r="E9" s="55">
        <f t="shared" si="6"/>
        <v>3.7915713146943579E-2</v>
      </c>
      <c r="F9" s="55">
        <f t="shared" si="6"/>
        <v>3.7974731424557651E-2</v>
      </c>
      <c r="G9" s="55">
        <f t="shared" si="6"/>
        <v>3.8152522137446708E-2</v>
      </c>
      <c r="H9" s="52">
        <v>3.78E-2</v>
      </c>
      <c r="I9" s="73">
        <f t="shared" si="1"/>
        <v>3.8521474829770863E-2</v>
      </c>
      <c r="J9" s="74"/>
      <c r="K9" s="67">
        <f>H9-'Daily Data'!H151</f>
        <v>2.2699999999999998E-2</v>
      </c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">
    <cfRule type="expression" dxfId="86" priority="1">
      <formula>_xlfn.ISFORMULA(A1)</formula>
    </cfRule>
    <cfRule type="expression" priority="2">
      <formula>_xlfn.ISFORMULA(A1)</formula>
    </cfRule>
  </conditionalFormatting>
  <conditionalFormatting sqref="J1:J9 I1:I10 A10:F10">
    <cfRule type="expression" dxfId="85" priority="3">
      <formula>_xlfn.ISFORMULA(A1)</formula>
    </cfRule>
    <cfRule type="expression" priority="4">
      <formula>_xlfn.ISFORMULA(A1)</formula>
    </cfRule>
  </conditionalFormatting>
  <pageMargins left="0.7" right="0.7" top="0.75" bottom="0.75" header="0.3" footer="0.3"/>
  <legacy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D2B5A-86B9-4325-BA3C-F30617E084D2}">
  <dimension ref="A1:K10"/>
  <sheetViews>
    <sheetView zoomScale="80" zoomScaleNormal="80" workbookViewId="0">
      <selection activeCell="B4" sqref="B4:G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46225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3.5000000000000003E-2</v>
      </c>
      <c r="C3" s="54">
        <v>3.5000000000000003E-2</v>
      </c>
      <c r="D3" s="54">
        <v>3.5900000000000001E-2</v>
      </c>
      <c r="E3" s="54">
        <v>3.9899999999999998E-2</v>
      </c>
      <c r="F3" s="54">
        <v>4.19E-2</v>
      </c>
      <c r="G3" s="54">
        <v>5.0999999999999997E-2</v>
      </c>
      <c r="H3" s="52">
        <v>4.1300000000000003E-2</v>
      </c>
      <c r="I3" s="73">
        <f>(1+H3/365)^365-1</f>
        <v>4.2162273169587428E-2</v>
      </c>
      <c r="J3" s="74"/>
      <c r="K3" s="67">
        <f>'Daily Data'!AR152</f>
        <v>1.6299999999999999E-2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Data'!Z152</f>
        <v>5.8000000000000031E-3</v>
      </c>
    </row>
    <row r="5" spans="1:11" ht="23.15" customHeight="1" x14ac:dyDescent="0.5">
      <c r="A5" s="50" t="s">
        <v>17</v>
      </c>
      <c r="B5" s="55">
        <v>4.65E-2</v>
      </c>
      <c r="C5" s="55">
        <f t="shared" ref="C5:G5" si="2">((1+$I5)^(C2/365)-1)*365/C2</f>
        <v>3.902709788137345E-2</v>
      </c>
      <c r="D5" s="55">
        <v>5.5800000000000002E-2</v>
      </c>
      <c r="E5" s="55">
        <f t="shared" si="2"/>
        <v>3.9123184467448412E-2</v>
      </c>
      <c r="F5" s="55">
        <f t="shared" si="2"/>
        <v>3.9186019544723498E-2</v>
      </c>
      <c r="G5" s="55">
        <f t="shared" si="2"/>
        <v>3.9375333204310747E-2</v>
      </c>
      <c r="H5" s="56">
        <v>3.9E-2</v>
      </c>
      <c r="I5" s="73">
        <f t="shared" si="1"/>
        <v>3.9768317380816542E-2</v>
      </c>
      <c r="J5" s="74"/>
      <c r="K5" s="67">
        <f>H5-'Daily Data'!BJ152</f>
        <v>2.4199999999999999E-2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2.2800000000000001E-2</v>
      </c>
      <c r="C7" s="55">
        <f t="shared" ref="C7:G7" si="4">((1+$I7)^(C2/365)-1)*365/C2</f>
        <v>1.8506096098917433E-2</v>
      </c>
      <c r="D7" s="55">
        <v>1.7899999999999999E-2</v>
      </c>
      <c r="E7" s="55">
        <f t="shared" si="4"/>
        <v>1.852768842656588E-2</v>
      </c>
      <c r="F7" s="55">
        <f t="shared" si="4"/>
        <v>1.8541788475384728E-2</v>
      </c>
      <c r="G7" s="55">
        <f t="shared" si="4"/>
        <v>1.8584174520299417E-2</v>
      </c>
      <c r="H7" s="52">
        <v>1.8499999999999999E-2</v>
      </c>
      <c r="I7" s="73">
        <f t="shared" si="1"/>
        <v>1.8671707596081832E-2</v>
      </c>
      <c r="J7" s="74"/>
      <c r="K7" s="67">
        <f>H7-1.06%</f>
        <v>7.899999999999999E-3</v>
      </c>
    </row>
    <row r="8" spans="1:11" ht="23.15" customHeight="1" x14ac:dyDescent="0.4">
      <c r="A8" s="50" t="s">
        <v>57</v>
      </c>
      <c r="B8" s="51">
        <f>((1+$I8)^(B2/365)-1)*365/B2</f>
        <v>3.7411498621118887E-2</v>
      </c>
      <c r="C8" s="51">
        <f t="shared" ref="C8:G8" si="5">((1+$I8)^(C2/365)-1)*365/C2</f>
        <v>3.7424919637020534E-2</v>
      </c>
      <c r="D8" s="51">
        <f t="shared" si="5"/>
        <v>3.7455620356396047E-2</v>
      </c>
      <c r="E8" s="51">
        <f t="shared" si="5"/>
        <v>3.7513274746653447E-2</v>
      </c>
      <c r="F8" s="51">
        <f t="shared" si="5"/>
        <v>3.7571047464634799E-2</v>
      </c>
      <c r="G8" s="51">
        <f t="shared" si="5"/>
        <v>3.7745078320365125E-2</v>
      </c>
      <c r="H8" s="52">
        <v>3.7400000000000003E-2</v>
      </c>
      <c r="I8" s="73">
        <f t="shared" si="1"/>
        <v>3.8106192081770685E-2</v>
      </c>
      <c r="J8" s="74"/>
      <c r="K8" s="67">
        <f>H8-'Daily Data'!H152</f>
        <v>2.2600000000000002E-2</v>
      </c>
    </row>
    <row r="9" spans="1:11" ht="23.15" customHeight="1" x14ac:dyDescent="0.5">
      <c r="A9" s="50" t="s">
        <v>56</v>
      </c>
      <c r="B9" s="55">
        <f>((1+$I9)^(B2/365)-1)*365/B2</f>
        <v>3.7811745917646675E-2</v>
      </c>
      <c r="C9" s="55">
        <f t="shared" ref="C9:G9" si="6">((1+$I9)^(C2/365)-1)*365/C2</f>
        <v>3.7825455639434812E-2</v>
      </c>
      <c r="D9" s="55">
        <f t="shared" si="6"/>
        <v>3.7856817040241096E-2</v>
      </c>
      <c r="E9" s="55">
        <f t="shared" si="6"/>
        <v>3.7915713146943579E-2</v>
      </c>
      <c r="F9" s="55">
        <f t="shared" si="6"/>
        <v>3.7974731424557651E-2</v>
      </c>
      <c r="G9" s="55">
        <f t="shared" si="6"/>
        <v>3.8152522137446708E-2</v>
      </c>
      <c r="H9" s="52">
        <v>3.78E-2</v>
      </c>
      <c r="I9" s="73">
        <f t="shared" si="1"/>
        <v>3.8521474829770863E-2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">
    <cfRule type="expression" dxfId="84" priority="1">
      <formula>_xlfn.ISFORMULA(A1)</formula>
    </cfRule>
    <cfRule type="expression" priority="2">
      <formula>_xlfn.ISFORMULA(A1)</formula>
    </cfRule>
  </conditionalFormatting>
  <conditionalFormatting sqref="J1:J9 I1:I10 A10:F10">
    <cfRule type="expression" dxfId="83" priority="3">
      <formula>_xlfn.ISFORMULA(A1)</formula>
    </cfRule>
    <cfRule type="expression" priority="4">
      <formula>_xlfn.ISFORMULA(A1)</formula>
    </cfRule>
  </conditionalFormatting>
  <pageMargins left="0.7" right="0.7" top="0.75" bottom="0.75" header="0.3" footer="0.3"/>
  <legacy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50FE8-C880-4851-AE70-A64E5525040D}">
  <dimension ref="A1:K10"/>
  <sheetViews>
    <sheetView zoomScale="80" zoomScaleNormal="80" workbookViewId="0"/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46226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3.49E-2</v>
      </c>
      <c r="C3" s="54">
        <v>3.5000000000000003E-2</v>
      </c>
      <c r="D3" s="54">
        <v>3.49E-2</v>
      </c>
      <c r="E3" s="54">
        <v>3.9899999999999998E-2</v>
      </c>
      <c r="F3" s="54">
        <v>0.04</v>
      </c>
      <c r="G3" s="54">
        <v>5.0799999999999998E-2</v>
      </c>
      <c r="H3" s="52">
        <v>4.1799999999999997E-2</v>
      </c>
      <c r="I3" s="73">
        <f>(1+H3/365)^365-1</f>
        <v>4.2683425257684871E-2</v>
      </c>
      <c r="J3" s="74"/>
      <c r="K3" s="67">
        <f>H3-'Daily Data'!AR153</f>
        <v>2.5399999999999995E-2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Data'!Z153</f>
        <v>5.7000000000000002E-3</v>
      </c>
    </row>
    <row r="5" spans="1:11" ht="23.15" customHeight="1" x14ac:dyDescent="0.5">
      <c r="A5" s="50" t="s">
        <v>17</v>
      </c>
      <c r="B5" s="55">
        <v>4.7300000000000002E-2</v>
      </c>
      <c r="C5" s="55">
        <f t="shared" ref="C5:G5" si="2">((1+$I5)^(C2/365)-1)*365/C2</f>
        <v>3.9627938259787179E-2</v>
      </c>
      <c r="D5" s="55">
        <v>5.67E-2</v>
      </c>
      <c r="E5" s="55">
        <f t="shared" si="2"/>
        <v>3.9727007955192142E-2</v>
      </c>
      <c r="F5" s="55">
        <f t="shared" si="2"/>
        <v>3.9791796513491108E-2</v>
      </c>
      <c r="G5" s="55">
        <f t="shared" si="2"/>
        <v>3.9987008617983807E-2</v>
      </c>
      <c r="H5" s="56">
        <v>3.9600000000000003E-2</v>
      </c>
      <c r="I5" s="73">
        <f t="shared" si="1"/>
        <v>4.0392298362033729E-2</v>
      </c>
      <c r="J5" s="74"/>
      <c r="K5" s="67">
        <f>H5-'Daily Data'!BJ153</f>
        <v>2.4900000000000005E-2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2.7199999999999998E-2</v>
      </c>
      <c r="C7" s="55">
        <f t="shared" ref="C7:G7" si="4">((1+$I7)^(C2/365)-1)*365/C2</f>
        <v>2.2108699819147599E-2</v>
      </c>
      <c r="D7" s="55">
        <v>2.1299999999999999E-2</v>
      </c>
      <c r="E7" s="55">
        <f t="shared" si="4"/>
        <v>2.2139520481008534E-2</v>
      </c>
      <c r="F7" s="55">
        <f t="shared" si="4"/>
        <v>2.2159651773910487E-2</v>
      </c>
      <c r="G7" s="55">
        <f t="shared" si="4"/>
        <v>2.2220192205426197E-2</v>
      </c>
      <c r="H7" s="56">
        <v>2.2100000000000002E-2</v>
      </c>
      <c r="I7" s="73">
        <f t="shared" si="1"/>
        <v>2.2345329982560003E-2</v>
      </c>
      <c r="J7" s="74"/>
      <c r="K7" s="67">
        <f>H7-1.06%</f>
        <v>1.1500000000000002E-2</v>
      </c>
    </row>
    <row r="8" spans="1:11" ht="23.15" customHeight="1" x14ac:dyDescent="0.4">
      <c r="A8" s="50" t="s">
        <v>57</v>
      </c>
      <c r="B8" s="51">
        <f>((1+$I8)^(B2/365)-1)*365/B2</f>
        <v>3.8712311956318669E-2</v>
      </c>
      <c r="C8" s="51">
        <f t="shared" ref="C8:G8" si="5">((1+$I8)^(C2/365)-1)*365/C2</f>
        <v>3.8726682506561701E-2</v>
      </c>
      <c r="D8" s="51">
        <f t="shared" si="5"/>
        <v>3.8759556193956914E-2</v>
      </c>
      <c r="E8" s="51">
        <f t="shared" si="5"/>
        <v>3.8821294681477138E-2</v>
      </c>
      <c r="F8" s="51">
        <f t="shared" si="5"/>
        <v>3.8883164289896549E-2</v>
      </c>
      <c r="G8" s="51">
        <f t="shared" si="5"/>
        <v>3.9069562977386327E-2</v>
      </c>
      <c r="H8" s="52">
        <v>3.8699999999999998E-2</v>
      </c>
      <c r="I8" s="73">
        <f t="shared" si="1"/>
        <v>3.9456466858355688E-2</v>
      </c>
      <c r="J8" s="74"/>
      <c r="K8" s="67">
        <f>H8-'Daily Data'!H153</f>
        <v>2.2899999999999997E-2</v>
      </c>
    </row>
    <row r="9" spans="1:11" ht="23.15" customHeight="1" x14ac:dyDescent="0.5">
      <c r="A9" s="50" t="s">
        <v>56</v>
      </c>
      <c r="B9" s="55">
        <f>((1+$I9)^(B2/365)-1)*365/B2</f>
        <v>3.7811745917646675E-2</v>
      </c>
      <c r="C9" s="55">
        <f t="shared" ref="C9:G9" si="6">((1+$I9)^(C2/365)-1)*365/C2</f>
        <v>3.7825455639434812E-2</v>
      </c>
      <c r="D9" s="55">
        <f t="shared" si="6"/>
        <v>3.7856817040241096E-2</v>
      </c>
      <c r="E9" s="55">
        <f t="shared" si="6"/>
        <v>3.7915713146943579E-2</v>
      </c>
      <c r="F9" s="55">
        <f t="shared" si="6"/>
        <v>3.7974731424557651E-2</v>
      </c>
      <c r="G9" s="55">
        <f t="shared" si="6"/>
        <v>3.8152522137446708E-2</v>
      </c>
      <c r="H9" s="52">
        <v>3.78E-2</v>
      </c>
      <c r="I9" s="73">
        <f t="shared" si="1"/>
        <v>3.8521474829770863E-2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">
    <cfRule type="expression" dxfId="82" priority="1">
      <formula>_xlfn.ISFORMULA(A1)</formula>
    </cfRule>
    <cfRule type="expression" priority="2">
      <formula>_xlfn.ISFORMULA(A1)</formula>
    </cfRule>
  </conditionalFormatting>
  <conditionalFormatting sqref="J1:J9 I1:I10 A10:F10">
    <cfRule type="expression" dxfId="81" priority="5">
      <formula>_xlfn.ISFORMULA(A1)</formula>
    </cfRule>
    <cfRule type="expression" priority="6">
      <formula>_xlfn.ISFORMULA(A1)</formula>
    </cfRule>
  </conditionalFormatting>
  <pageMargins left="0.7" right="0.7" top="0.75" bottom="0.75" header="0.3" footer="0.3"/>
  <legacy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BD446-534B-49E1-A90A-7222D0209C6F}">
  <dimension ref="A1:K10"/>
  <sheetViews>
    <sheetView zoomScale="80" zoomScaleNormal="80" workbookViewId="0"/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46227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3.5000000000000003E-2</v>
      </c>
      <c r="C3" s="54">
        <v>3.6900000000000002E-2</v>
      </c>
      <c r="D3" s="54">
        <v>3.5900000000000001E-2</v>
      </c>
      <c r="E3" s="54">
        <v>3.9899999999999998E-2</v>
      </c>
      <c r="F3" s="54">
        <v>4.4400000000000002E-2</v>
      </c>
      <c r="G3" s="54">
        <v>4.9700000000000001E-2</v>
      </c>
      <c r="H3" s="52">
        <v>4.2700000000000002E-2</v>
      </c>
      <c r="I3" s="73">
        <f>(1+H3/365)^365-1</f>
        <v>4.3622154043978734E-2</v>
      </c>
      <c r="J3" s="74"/>
      <c r="K3" s="67">
        <f>H3-'Daily Data'!AR153</f>
        <v>2.63E-2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Data'!Z153</f>
        <v>5.7000000000000002E-3</v>
      </c>
    </row>
    <row r="5" spans="1:11" ht="23.15" customHeight="1" x14ac:dyDescent="0.5">
      <c r="A5" s="50" t="s">
        <v>17</v>
      </c>
      <c r="B5" s="55">
        <v>4.7300000000000002E-2</v>
      </c>
      <c r="C5" s="55">
        <f t="shared" ref="C5:G5" si="2">((1+$I5)^(C2/365)-1)*365/C2</f>
        <v>3.9427656707190346E-2</v>
      </c>
      <c r="D5" s="55">
        <v>5.67E-2</v>
      </c>
      <c r="E5" s="55">
        <f t="shared" si="2"/>
        <v>3.9525726953030728E-2</v>
      </c>
      <c r="F5" s="55">
        <f t="shared" si="2"/>
        <v>3.9589861010926784E-2</v>
      </c>
      <c r="G5" s="55">
        <f t="shared" si="2"/>
        <v>3.9783096817143065E-2</v>
      </c>
      <c r="H5" s="56">
        <v>3.9399999999999998E-2</v>
      </c>
      <c r="I5" s="73">
        <f t="shared" si="1"/>
        <v>4.0184263220001792E-2</v>
      </c>
      <c r="J5" s="74"/>
      <c r="K5" s="67">
        <f>H5-'Daily Data'!BJ153</f>
        <v>2.47E-2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2.76E-2</v>
      </c>
      <c r="C7" s="55">
        <f t="shared" ref="C7:G7" si="4">((1+$I7)^(C2/365)-1)*365/C2</f>
        <v>2.2408937645895164E-2</v>
      </c>
      <c r="D7" s="55">
        <v>2.1700000000000001E-2</v>
      </c>
      <c r="E7" s="55">
        <f t="shared" si="4"/>
        <v>2.2440601363315864E-2</v>
      </c>
      <c r="F7" s="55">
        <f t="shared" si="4"/>
        <v>2.246128375003531E-2</v>
      </c>
      <c r="G7" s="55">
        <f t="shared" si="4"/>
        <v>2.2523483522765477E-2</v>
      </c>
      <c r="H7" s="56">
        <v>2.24E-2</v>
      </c>
      <c r="I7" s="73">
        <f t="shared" si="1"/>
        <v>2.2652060890960168E-2</v>
      </c>
      <c r="J7" s="74"/>
      <c r="K7" s="67">
        <f>H7-1.06%</f>
        <v>1.18E-2</v>
      </c>
    </row>
    <row r="8" spans="1:11" ht="23.15" customHeight="1" x14ac:dyDescent="0.4">
      <c r="A8" s="50" t="s">
        <v>57</v>
      </c>
      <c r="B8" s="51">
        <f>((1+$I8)^(B2/365)-1)*365/B2</f>
        <v>3.8912439551918511E-2</v>
      </c>
      <c r="C8" s="51">
        <f t="shared" ref="C8:G8" si="5">((1+$I8)^(C2/365)-1)*365/C2</f>
        <v>3.8926959066522389E-2</v>
      </c>
      <c r="D8" s="51">
        <f t="shared" si="5"/>
        <v>3.8960173660393282E-2</v>
      </c>
      <c r="E8" s="51">
        <f t="shared" si="5"/>
        <v>3.9022552912378425E-2</v>
      </c>
      <c r="F8" s="51">
        <f t="shared" si="5"/>
        <v>3.9085065331842528E-2</v>
      </c>
      <c r="G8" s="51">
        <f t="shared" si="5"/>
        <v>3.9273404797430481E-2</v>
      </c>
      <c r="H8" s="52">
        <v>3.8899999999999997E-2</v>
      </c>
      <c r="I8" s="73">
        <f t="shared" si="1"/>
        <v>3.9664356841096371E-2</v>
      </c>
      <c r="J8" s="74"/>
      <c r="K8" s="67">
        <f>H8-'Daily Data'!H153</f>
        <v>2.3099999999999996E-2</v>
      </c>
    </row>
    <row r="9" spans="1:11" ht="23.15" customHeight="1" x14ac:dyDescent="0.5">
      <c r="A9" s="50" t="s">
        <v>56</v>
      </c>
      <c r="B9" s="55">
        <f>((1+$I9)^(B2/365)-1)*365/B2</f>
        <v>3.7811745917646675E-2</v>
      </c>
      <c r="C9" s="55">
        <f t="shared" ref="C9:G9" si="6">((1+$I9)^(C2/365)-1)*365/C2</f>
        <v>3.7825455639434812E-2</v>
      </c>
      <c r="D9" s="55">
        <f t="shared" si="6"/>
        <v>3.7856817040241096E-2</v>
      </c>
      <c r="E9" s="55">
        <f t="shared" si="6"/>
        <v>3.7915713146943579E-2</v>
      </c>
      <c r="F9" s="55">
        <f t="shared" si="6"/>
        <v>3.7974731424557651E-2</v>
      </c>
      <c r="G9" s="55">
        <f t="shared" si="6"/>
        <v>3.8152522137446708E-2</v>
      </c>
      <c r="H9" s="52">
        <v>3.78E-2</v>
      </c>
      <c r="I9" s="73">
        <f t="shared" si="1"/>
        <v>3.8521474829770863E-2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">
    <cfRule type="expression" dxfId="80" priority="1">
      <formula>_xlfn.ISFORMULA(A1)</formula>
    </cfRule>
    <cfRule type="expression" priority="2">
      <formula>_xlfn.ISFORMULA(A1)</formula>
    </cfRule>
  </conditionalFormatting>
  <conditionalFormatting sqref="J1:J9 I1:I10 A10:F10">
    <cfRule type="expression" dxfId="79" priority="9">
      <formula>_xlfn.ISFORMULA(A1)</formula>
    </cfRule>
    <cfRule type="expression" priority="10">
      <formula>_xlfn.ISFORMULA(A1)</formula>
    </cfRule>
  </conditionalFormatting>
  <pageMargins left="0.7" right="0.7" top="0.75" bottom="0.75" header="0.3" footer="0.3"/>
  <legacy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B097B-589E-4127-9CE7-8B6B9F2307BF}">
  <dimension ref="A1:K10"/>
  <sheetViews>
    <sheetView zoomScale="80" zoomScaleNormal="80" workbookViewId="0"/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46228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3.5000000000000003E-2</v>
      </c>
      <c r="C3" s="54">
        <v>3.5000000000000003E-2</v>
      </c>
      <c r="D3" s="54">
        <v>3.78E-2</v>
      </c>
      <c r="E3" s="54">
        <v>3.9800000000000002E-2</v>
      </c>
      <c r="F3" s="54">
        <v>4.4600000000000001E-2</v>
      </c>
      <c r="G3" s="54">
        <v>4.9700000000000001E-2</v>
      </c>
      <c r="H3" s="52">
        <v>4.24E-2</v>
      </c>
      <c r="I3" s="73">
        <f>(1+H3/365)^365-1</f>
        <v>4.3309150839025312E-2</v>
      </c>
      <c r="J3" s="74"/>
      <c r="K3" s="67">
        <f>H3-'Daily Data'!AR155</f>
        <v>2.5999999999999999E-2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Data'!Z155</f>
        <v>6.1000000000000013E-3</v>
      </c>
    </row>
    <row r="5" spans="1:11" ht="23.15" customHeight="1" x14ac:dyDescent="0.5">
      <c r="A5" s="50" t="s">
        <v>17</v>
      </c>
      <c r="B5" s="55">
        <v>4.7199999999999999E-2</v>
      </c>
      <c r="C5" s="55">
        <f t="shared" ref="C5:G5" si="2">((1+$I5)^(C2/365)-1)*365/C2</f>
        <v>3.9127237052920774E-2</v>
      </c>
      <c r="D5" s="55">
        <v>5.6599999999999998E-2</v>
      </c>
      <c r="E5" s="55">
        <f t="shared" si="2"/>
        <v>3.9223817649076738E-2</v>
      </c>
      <c r="F5" s="55">
        <f t="shared" si="2"/>
        <v>3.9286976219068265E-2</v>
      </c>
      <c r="G5" s="55">
        <f t="shared" si="2"/>
        <v>3.9477266609533074E-2</v>
      </c>
      <c r="H5" s="56">
        <v>3.9100000000000003E-2</v>
      </c>
      <c r="I5" s="73">
        <f t="shared" si="1"/>
        <v>3.9872288287591928E-2</v>
      </c>
      <c r="J5" s="74"/>
      <c r="K5" s="67">
        <f>H5-'Daily Data'!BJ155</f>
        <v>2.4800000000000003E-2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2.9100000000000001E-2</v>
      </c>
      <c r="C7" s="55">
        <f t="shared" ref="C7:G7" si="4">((1+$I7)^(C2/365)-1)*365/C2</f>
        <v>2.3710005297053076E-2</v>
      </c>
      <c r="D7" s="55">
        <v>2.29E-2</v>
      </c>
      <c r="E7" s="55">
        <f t="shared" si="4"/>
        <v>2.374545390438787E-2</v>
      </c>
      <c r="F7" s="55">
        <f t="shared" si="4"/>
        <v>2.3768610629076623E-2</v>
      </c>
      <c r="G7" s="55">
        <f t="shared" si="4"/>
        <v>2.3838261610736038E-2</v>
      </c>
      <c r="H7" s="56">
        <v>2.3699999999999999E-2</v>
      </c>
      <c r="I7" s="73">
        <f t="shared" si="1"/>
        <v>2.3982289026257098E-2</v>
      </c>
      <c r="J7" s="74"/>
      <c r="K7" s="67">
        <f>H7-1.06%</f>
        <v>1.3099999999999999E-2</v>
      </c>
    </row>
    <row r="8" spans="1:11" ht="23.15" customHeight="1" x14ac:dyDescent="0.4">
      <c r="A8" s="50" t="s">
        <v>57</v>
      </c>
      <c r="B8" s="51">
        <f>((1+$I8)^(B2/365)-1)*365/B2</f>
        <v>3.9112567805359433E-2</v>
      </c>
      <c r="C8" s="51">
        <f t="shared" ref="C8:G8" si="5">((1+$I8)^(C2/365)-1)*365/C2</f>
        <v>3.9127237052920774E-2</v>
      </c>
      <c r="D8" s="51">
        <f t="shared" si="5"/>
        <v>3.9160794314363666E-2</v>
      </c>
      <c r="E8" s="51">
        <f t="shared" si="5"/>
        <v>3.9223817649076738E-2</v>
      </c>
      <c r="F8" s="51">
        <f t="shared" si="5"/>
        <v>3.9286976219068265E-2</v>
      </c>
      <c r="G8" s="51">
        <f t="shared" si="5"/>
        <v>3.9477266609533074E-2</v>
      </c>
      <c r="H8" s="52">
        <v>3.9100000000000003E-2</v>
      </c>
      <c r="I8" s="73">
        <f t="shared" si="1"/>
        <v>3.9872288287591928E-2</v>
      </c>
      <c r="J8" s="74"/>
      <c r="K8" s="67">
        <f>H8-'Daily Data'!H155</f>
        <v>2.3800000000000002E-2</v>
      </c>
    </row>
    <row r="9" spans="1:11" ht="23.15" customHeight="1" x14ac:dyDescent="0.5">
      <c r="A9" s="50" t="s">
        <v>56</v>
      </c>
      <c r="B9" s="55">
        <f>((1+$I9)^(B2/365)-1)*365/B2</f>
        <v>3.7811745917646675E-2</v>
      </c>
      <c r="C9" s="55">
        <f t="shared" ref="C9:G9" si="6">((1+$I9)^(C2/365)-1)*365/C2</f>
        <v>3.7825455639434812E-2</v>
      </c>
      <c r="D9" s="55">
        <f t="shared" si="6"/>
        <v>3.7856817040241096E-2</v>
      </c>
      <c r="E9" s="55">
        <f t="shared" si="6"/>
        <v>3.7915713146943579E-2</v>
      </c>
      <c r="F9" s="55">
        <f t="shared" si="6"/>
        <v>3.7974731424557651E-2</v>
      </c>
      <c r="G9" s="55">
        <f t="shared" si="6"/>
        <v>3.8152522137446708E-2</v>
      </c>
      <c r="H9" s="52">
        <v>3.78E-2</v>
      </c>
      <c r="I9" s="73">
        <f t="shared" si="1"/>
        <v>3.8521474829770863E-2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">
    <cfRule type="expression" dxfId="78" priority="1">
      <formula>_xlfn.ISFORMULA(A1)</formula>
    </cfRule>
    <cfRule type="expression" priority="2">
      <formula>_xlfn.ISFORMULA(A1)</formula>
    </cfRule>
  </conditionalFormatting>
  <conditionalFormatting sqref="J1:J9 I1:I10 A10:F10">
    <cfRule type="expression" dxfId="77" priority="9">
      <formula>_xlfn.ISFORMULA(A1)</formula>
    </cfRule>
    <cfRule type="expression" priority="10">
      <formula>_xlfn.ISFORMULA(A1)</formula>
    </cfRule>
  </conditionalFormatting>
  <pageMargins left="0.7" right="0.7" top="0.75" bottom="0.75" header="0.3" footer="0.3"/>
  <legacy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D3A9F-E207-4854-9880-6EC9C9B0D66C}">
  <dimension ref="A1:K10"/>
  <sheetViews>
    <sheetView zoomScale="80" zoomScaleNormal="80" workbookViewId="0"/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46229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3.5000000000000003E-2</v>
      </c>
      <c r="C3" s="54">
        <v>3.5000000000000003E-2</v>
      </c>
      <c r="D3" s="54">
        <v>3.78E-2</v>
      </c>
      <c r="E3" s="54">
        <v>3.9800000000000002E-2</v>
      </c>
      <c r="F3" s="54">
        <v>4.4600000000000001E-2</v>
      </c>
      <c r="G3" s="54">
        <v>4.9700000000000001E-2</v>
      </c>
      <c r="H3" s="52">
        <v>4.24E-2</v>
      </c>
      <c r="I3" s="73">
        <f>(1+H3/365)^365-1</f>
        <v>4.3309150839025312E-2</v>
      </c>
      <c r="J3" s="74"/>
      <c r="K3" s="67">
        <f>H3-'Daily Data'!AR153</f>
        <v>2.5999999999999999E-2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Data'!Z153</f>
        <v>5.7000000000000002E-3</v>
      </c>
    </row>
    <row r="5" spans="1:11" ht="23.15" customHeight="1" x14ac:dyDescent="0.5">
      <c r="A5" s="50" t="s">
        <v>17</v>
      </c>
      <c r="B5" s="55">
        <v>4.7199999999999999E-2</v>
      </c>
      <c r="C5" s="55">
        <f t="shared" ref="C5:G5" si="2">((1+$I5)^(C2/365)-1)*365/C2</f>
        <v>3.8526407373154492E-2</v>
      </c>
      <c r="D5" s="55">
        <v>5.6599999999999998E-2</v>
      </c>
      <c r="E5" s="55">
        <f t="shared" si="2"/>
        <v>3.862004295629589E-2</v>
      </c>
      <c r="F5" s="55">
        <f t="shared" si="2"/>
        <v>3.8681273092882745E-2</v>
      </c>
      <c r="G5" s="55">
        <f t="shared" si="2"/>
        <v>3.8865741147578438E-2</v>
      </c>
      <c r="H5" s="56">
        <v>3.85E-2</v>
      </c>
      <c r="I5" s="73">
        <f t="shared" si="1"/>
        <v>3.9248618331255036E-2</v>
      </c>
      <c r="J5" s="74"/>
      <c r="K5" s="67">
        <f>H5-'Daily Data'!BJ153</f>
        <v>2.3800000000000002E-2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2.9100000000000001E-2</v>
      </c>
      <c r="C7" s="55">
        <f t="shared" ref="C7:G7" si="4">((1+$I7)^(C2/365)-1)*365/C2</f>
        <v>2.3710005297053076E-2</v>
      </c>
      <c r="D7" s="55">
        <v>2.29E-2</v>
      </c>
      <c r="E7" s="55">
        <f t="shared" si="4"/>
        <v>2.374545390438787E-2</v>
      </c>
      <c r="F7" s="55">
        <f t="shared" si="4"/>
        <v>2.3768610629076623E-2</v>
      </c>
      <c r="G7" s="55">
        <f t="shared" si="4"/>
        <v>2.3838261610736038E-2</v>
      </c>
      <c r="H7" s="56">
        <v>2.3699999999999999E-2</v>
      </c>
      <c r="I7" s="73">
        <f t="shared" si="1"/>
        <v>2.3982289026257098E-2</v>
      </c>
      <c r="J7" s="74"/>
      <c r="K7" s="67">
        <f>H7-1.06%</f>
        <v>1.3099999999999999E-2</v>
      </c>
    </row>
    <row r="8" spans="1:11" ht="23.15" customHeight="1" x14ac:dyDescent="0.4">
      <c r="A8" s="50" t="s">
        <v>57</v>
      </c>
      <c r="B8" s="51">
        <f>((1+$I8)^(B2/365)-1)*365/B2</f>
        <v>3.851218501867569E-2</v>
      </c>
      <c r="C8" s="51">
        <f t="shared" ref="C8:G8" si="5">((1+$I8)^(C2/365)-1)*365/C2</f>
        <v>3.8526407373154492E-2</v>
      </c>
      <c r="D8" s="51">
        <f t="shared" si="5"/>
        <v>3.8558941915132906E-2</v>
      </c>
      <c r="E8" s="51">
        <f t="shared" si="5"/>
        <v>3.862004295629589E-2</v>
      </c>
      <c r="F8" s="51">
        <f t="shared" si="5"/>
        <v>3.8681273092882745E-2</v>
      </c>
      <c r="G8" s="51">
        <f t="shared" si="5"/>
        <v>3.8865741147578438E-2</v>
      </c>
      <c r="H8" s="52">
        <v>3.85E-2</v>
      </c>
      <c r="I8" s="73">
        <f t="shared" si="1"/>
        <v>3.9248618331255036E-2</v>
      </c>
      <c r="J8" s="74"/>
      <c r="K8" s="67">
        <f>H8-'Daily Data'!H153</f>
        <v>2.2699999999999998E-2</v>
      </c>
    </row>
    <row r="9" spans="1:11" ht="23.15" customHeight="1" x14ac:dyDescent="0.5">
      <c r="A9" s="50" t="s">
        <v>56</v>
      </c>
      <c r="B9" s="55">
        <f>((1+$I9)^(B2/365)-1)*365/B2</f>
        <v>3.7811745917646675E-2</v>
      </c>
      <c r="C9" s="55">
        <f t="shared" ref="C9:G9" si="6">((1+$I9)^(C2/365)-1)*365/C2</f>
        <v>3.7825455639434812E-2</v>
      </c>
      <c r="D9" s="55">
        <f t="shared" si="6"/>
        <v>3.7856817040241096E-2</v>
      </c>
      <c r="E9" s="55">
        <f t="shared" si="6"/>
        <v>3.7915713146943579E-2</v>
      </c>
      <c r="F9" s="55">
        <f t="shared" si="6"/>
        <v>3.7974731424557651E-2</v>
      </c>
      <c r="G9" s="55">
        <f t="shared" si="6"/>
        <v>3.8152522137446708E-2</v>
      </c>
      <c r="H9" s="52">
        <v>3.78E-2</v>
      </c>
      <c r="I9" s="73">
        <f t="shared" si="1"/>
        <v>3.8521474829770863E-2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">
    <cfRule type="expression" dxfId="76" priority="1">
      <formula>_xlfn.ISFORMULA(A1)</formula>
    </cfRule>
    <cfRule type="expression" priority="2">
      <formula>_xlfn.ISFORMULA(A1)</formula>
    </cfRule>
  </conditionalFormatting>
  <conditionalFormatting sqref="J1:J9 I1:I10 A10:F10">
    <cfRule type="expression" dxfId="75" priority="5">
      <formula>_xlfn.ISFORMULA(A1)</formula>
    </cfRule>
    <cfRule type="expression" priority="6">
      <formula>_xlfn.ISFORMULA(A1)</formula>
    </cfRule>
  </conditionalFormatting>
  <pageMargins left="0.7" right="0.7" top="0.75" bottom="0.75" header="0.3" footer="0.3"/>
  <legacy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38A45-8B4C-4A6E-9224-F24F3B273A3C}">
  <dimension ref="A1:K10"/>
  <sheetViews>
    <sheetView zoomScale="80" zoomScaleNormal="80" workbookViewId="0">
      <selection activeCell="B4" sqref="B4:G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46230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3.5000000000000003E-2</v>
      </c>
      <c r="C3" s="54">
        <v>3.5000000000000003E-2</v>
      </c>
      <c r="D3" s="54">
        <v>3.78E-2</v>
      </c>
      <c r="E3" s="54">
        <v>3.9800000000000002E-2</v>
      </c>
      <c r="F3" s="54">
        <v>4.4600000000000001E-2</v>
      </c>
      <c r="G3" s="54">
        <v>4.9700000000000001E-2</v>
      </c>
      <c r="H3" s="52">
        <v>4.24E-2</v>
      </c>
      <c r="I3" s="73">
        <f>(1+H3/365)^365-1</f>
        <v>4.3309150839025312E-2</v>
      </c>
      <c r="J3" s="74"/>
      <c r="K3" s="67">
        <f>H3-'Daily Data'!AR153</f>
        <v>2.5999999999999999E-2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Data'!Z153</f>
        <v>5.7000000000000002E-3</v>
      </c>
    </row>
    <row r="5" spans="1:11" ht="23.15" customHeight="1" x14ac:dyDescent="0.5">
      <c r="A5" s="50" t="s">
        <v>17</v>
      </c>
      <c r="B5" s="55">
        <v>4.7199999999999999E-2</v>
      </c>
      <c r="C5" s="55">
        <f t="shared" ref="C5:G5" si="2">((1+$I5)^(C2/365)-1)*365/C2</f>
        <v>3.8526407373154492E-2</v>
      </c>
      <c r="D5" s="55">
        <v>5.6599999999999998E-2</v>
      </c>
      <c r="E5" s="55">
        <f t="shared" si="2"/>
        <v>3.862004295629589E-2</v>
      </c>
      <c r="F5" s="55">
        <f t="shared" si="2"/>
        <v>3.8681273092882745E-2</v>
      </c>
      <c r="G5" s="55">
        <f t="shared" si="2"/>
        <v>3.8865741147578438E-2</v>
      </c>
      <c r="H5" s="56">
        <v>3.85E-2</v>
      </c>
      <c r="I5" s="73">
        <f t="shared" si="1"/>
        <v>3.9248618331255036E-2</v>
      </c>
      <c r="J5" s="74"/>
      <c r="K5" s="67">
        <f>H5-'Daily Data'!BJ153</f>
        <v>2.3800000000000002E-2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2.9100000000000001E-2</v>
      </c>
      <c r="C7" s="55">
        <f t="shared" ref="C7:G7" si="4">((1+$I7)^(C2/365)-1)*365/C2</f>
        <v>2.3710005297053076E-2</v>
      </c>
      <c r="D7" s="55">
        <v>2.29E-2</v>
      </c>
      <c r="E7" s="55">
        <f t="shared" si="4"/>
        <v>2.374545390438787E-2</v>
      </c>
      <c r="F7" s="55">
        <f t="shared" si="4"/>
        <v>2.3768610629076623E-2</v>
      </c>
      <c r="G7" s="55">
        <f t="shared" si="4"/>
        <v>2.3838261610736038E-2</v>
      </c>
      <c r="H7" s="56">
        <v>2.3699999999999999E-2</v>
      </c>
      <c r="I7" s="73">
        <f t="shared" si="1"/>
        <v>2.3982289026257098E-2</v>
      </c>
      <c r="J7" s="74"/>
      <c r="K7" s="67">
        <f>H7-1.06%</f>
        <v>1.3099999999999999E-2</v>
      </c>
    </row>
    <row r="8" spans="1:11" ht="23.15" customHeight="1" x14ac:dyDescent="0.4">
      <c r="A8" s="50" t="s">
        <v>57</v>
      </c>
      <c r="B8" s="51">
        <f>((1+$I8)^(B2/365)-1)*365/B2</f>
        <v>3.851218501867569E-2</v>
      </c>
      <c r="C8" s="51">
        <f t="shared" ref="C8:G8" si="5">((1+$I8)^(C2/365)-1)*365/C2</f>
        <v>3.8526407373154492E-2</v>
      </c>
      <c r="D8" s="51">
        <f t="shared" si="5"/>
        <v>3.8558941915132906E-2</v>
      </c>
      <c r="E8" s="51">
        <f t="shared" si="5"/>
        <v>3.862004295629589E-2</v>
      </c>
      <c r="F8" s="51">
        <f t="shared" si="5"/>
        <v>3.8681273092882745E-2</v>
      </c>
      <c r="G8" s="51">
        <f t="shared" si="5"/>
        <v>3.8865741147578438E-2</v>
      </c>
      <c r="H8" s="52">
        <v>3.85E-2</v>
      </c>
      <c r="I8" s="73">
        <f t="shared" si="1"/>
        <v>3.9248618331255036E-2</v>
      </c>
      <c r="J8" s="74"/>
      <c r="K8" s="67">
        <f>H8-'Daily Data'!H153</f>
        <v>2.2699999999999998E-2</v>
      </c>
    </row>
    <row r="9" spans="1:11" ht="23.15" customHeight="1" x14ac:dyDescent="0.5">
      <c r="A9" s="50" t="s">
        <v>56</v>
      </c>
      <c r="B9" s="55">
        <f>((1+$I9)^(B2/365)-1)*365/B2</f>
        <v>3.7811745917646675E-2</v>
      </c>
      <c r="C9" s="55">
        <f t="shared" ref="C9:G9" si="6">((1+$I9)^(C2/365)-1)*365/C2</f>
        <v>3.7825455639434812E-2</v>
      </c>
      <c r="D9" s="55">
        <f t="shared" si="6"/>
        <v>3.7856817040241096E-2</v>
      </c>
      <c r="E9" s="55">
        <f t="shared" si="6"/>
        <v>3.7915713146943579E-2</v>
      </c>
      <c r="F9" s="55">
        <f t="shared" si="6"/>
        <v>3.7974731424557651E-2</v>
      </c>
      <c r="G9" s="55">
        <f t="shared" si="6"/>
        <v>3.8152522137446708E-2</v>
      </c>
      <c r="H9" s="52">
        <v>3.78E-2</v>
      </c>
      <c r="I9" s="73">
        <f t="shared" si="1"/>
        <v>3.8521474829770863E-2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74" priority="7">
      <formula>_xlfn.ISFORMULA(A3)</formula>
    </cfRule>
    <cfRule type="expression" priority="8">
      <formula>_xlfn.ISFORMULA(A3)</formula>
    </cfRule>
  </conditionalFormatting>
  <conditionalFormatting sqref="A1:J2">
    <cfRule type="expression" dxfId="73" priority="1">
      <formula>_xlfn.ISFORMULA(A1)</formula>
    </cfRule>
    <cfRule type="expression" priority="2">
      <formula>_xlfn.ISFORMULA(A1)</formula>
    </cfRule>
  </conditionalFormatting>
  <conditionalFormatting sqref="B3:H9">
    <cfRule type="expression" dxfId="72" priority="3">
      <formula>_xlfn.ISFORMULA(B3)</formula>
    </cfRule>
    <cfRule type="expression" priority="4">
      <formula>_xlfn.ISFORMULA(B3)</formula>
    </cfRule>
  </conditionalFormatting>
  <conditionalFormatting sqref="J3:J9 I3:I10 B10:F10">
    <cfRule type="expression" dxfId="71" priority="5">
      <formula>_xlfn.ISFORMULA(B3)</formula>
    </cfRule>
    <cfRule type="expression" priority="6">
      <formula>_xlfn.ISFORMULA(B3)</formula>
    </cfRule>
  </conditionalFormatting>
  <pageMargins left="0.7" right="0.7" top="0.75" bottom="0.75" header="0.3" footer="0.3"/>
  <legacy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595B6-62C3-4874-9214-1EC0BDA557BE}">
  <dimension ref="A1:K10"/>
  <sheetViews>
    <sheetView zoomScale="70" zoomScaleNormal="70" workbookViewId="0">
      <selection activeCell="B4" sqref="B4:G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46231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3.4799999999999998E-2</v>
      </c>
      <c r="C3" s="54">
        <v>3.6900000000000002E-2</v>
      </c>
      <c r="D3" s="54">
        <v>3.5999999999999997E-2</v>
      </c>
      <c r="E3" s="54">
        <v>3.9899999999999998E-2</v>
      </c>
      <c r="F3" s="54">
        <v>4.48E-2</v>
      </c>
      <c r="G3" s="54">
        <v>4.9500000000000002E-2</v>
      </c>
      <c r="H3" s="52">
        <v>4.1099999999999998E-2</v>
      </c>
      <c r="I3" s="73">
        <f>(1+H3/365)^365-1</f>
        <v>4.1953885076647213E-2</v>
      </c>
      <c r="J3" s="74"/>
      <c r="K3" s="67">
        <f>H3-'Daily Data'!AR153</f>
        <v>2.4699999999999996E-2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Data'!Z153</f>
        <v>5.7000000000000002E-3</v>
      </c>
    </row>
    <row r="5" spans="1:11" ht="23.15" customHeight="1" x14ac:dyDescent="0.5">
      <c r="A5" s="50" t="s">
        <v>17</v>
      </c>
      <c r="B5" s="55">
        <v>4.5999999999999999E-2</v>
      </c>
      <c r="C5" s="55">
        <f t="shared" ref="C5:G5" si="2">((1+$I5)^(C2/365)-1)*365/C2</f>
        <v>3.8326133666167612E-2</v>
      </c>
      <c r="D5" s="55">
        <v>5.5199999999999999E-2</v>
      </c>
      <c r="E5" s="55">
        <f t="shared" si="2"/>
        <v>3.8418797736503744E-2</v>
      </c>
      <c r="F5" s="55">
        <f t="shared" si="2"/>
        <v>3.8479391740204962E-2</v>
      </c>
      <c r="G5" s="55">
        <f t="shared" si="2"/>
        <v>3.8661939305934263E-2</v>
      </c>
      <c r="H5" s="56">
        <v>3.8300000000000001E-2</v>
      </c>
      <c r="I5" s="73">
        <f t="shared" si="1"/>
        <v>3.9040811251424667E-2</v>
      </c>
      <c r="J5" s="74"/>
      <c r="K5" s="67">
        <f>H5-'Daily Data'!BJ153</f>
        <v>2.3600000000000003E-2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2.9399999999999999E-2</v>
      </c>
      <c r="C7" s="55">
        <f t="shared" ref="C7:G7" si="4">((1+$I7)^(C2/365)-1)*365/C2</f>
        <v>2.3810089919127524E-2</v>
      </c>
      <c r="D7" s="55">
        <v>2.3099999999999999E-2</v>
      </c>
      <c r="E7" s="55">
        <f t="shared" si="4"/>
        <v>2.38458385338212E-2</v>
      </c>
      <c r="F7" s="55">
        <f t="shared" si="4"/>
        <v>2.386919139980459E-2</v>
      </c>
      <c r="G7" s="55">
        <f t="shared" si="4"/>
        <v>2.3939433107786758E-2</v>
      </c>
      <c r="H7" s="56">
        <v>2.3800000000000002E-2</v>
      </c>
      <c r="I7" s="73">
        <f t="shared" si="1"/>
        <v>2.4084685712115306E-2</v>
      </c>
      <c r="J7" s="74"/>
      <c r="K7" s="67">
        <f>H7-1.06%</f>
        <v>1.3200000000000002E-2</v>
      </c>
    </row>
    <row r="8" spans="1:11" ht="23.15" customHeight="1" x14ac:dyDescent="0.4">
      <c r="A8" s="50" t="s">
        <v>57</v>
      </c>
      <c r="B8" s="51">
        <f>((1+$I8)^(B2/365)-1)*365/B2</f>
        <v>3.7611621940462241E-2</v>
      </c>
      <c r="C8" s="51">
        <f t="shared" ref="C8:G8" si="5">((1+$I8)^(C2/365)-1)*365/C2</f>
        <v>3.762518692503198E-2</v>
      </c>
      <c r="D8" s="51">
        <f t="shared" si="5"/>
        <v>3.7656217104698797E-2</v>
      </c>
      <c r="E8" s="51">
        <f t="shared" si="5"/>
        <v>3.7714490694561884E-2</v>
      </c>
      <c r="F8" s="51">
        <f t="shared" si="5"/>
        <v>3.7772884523489474E-2</v>
      </c>
      <c r="G8" s="51">
        <f t="shared" si="5"/>
        <v>3.7948790239201682E-2</v>
      </c>
      <c r="H8" s="52">
        <v>3.7600000000000001E-2</v>
      </c>
      <c r="I8" s="73">
        <f t="shared" si="1"/>
        <v>3.8313812750667031E-2</v>
      </c>
      <c r="J8" s="74"/>
      <c r="K8" s="67">
        <f>H8-'Daily Data'!H153</f>
        <v>2.18E-2</v>
      </c>
    </row>
    <row r="9" spans="1:11" ht="23.15" customHeight="1" x14ac:dyDescent="0.5">
      <c r="A9" s="50" t="s">
        <v>56</v>
      </c>
      <c r="B9" s="55">
        <f>((1+$I9)^(B2/365)-1)*365/B2</f>
        <v>3.9312696716641442E-2</v>
      </c>
      <c r="C9" s="55">
        <f t="shared" ref="C9:G9" si="6">((1+$I9)^(C2/365)-1)*365/C2</f>
        <v>3.9327516465768438E-2</v>
      </c>
      <c r="D9" s="55">
        <f t="shared" si="6"/>
        <v>3.9361418155924789E-2</v>
      </c>
      <c r="E9" s="55">
        <f t="shared" si="6"/>
        <v>3.9425088891784137E-2</v>
      </c>
      <c r="F9" s="55">
        <f t="shared" si="6"/>
        <v>3.9488896952051947E-2</v>
      </c>
      <c r="G9" s="55">
        <f t="shared" si="6"/>
        <v>3.9681148415646884E-2</v>
      </c>
      <c r="H9" s="52">
        <v>3.9300000000000002E-2</v>
      </c>
      <c r="I9" s="73">
        <f t="shared" si="1"/>
        <v>4.0080261206093759E-2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70" priority="9">
      <formula>_xlfn.ISFORMULA(A3)</formula>
    </cfRule>
    <cfRule type="expression" priority="10">
      <formula>_xlfn.ISFORMULA(A3)</formula>
    </cfRule>
  </conditionalFormatting>
  <conditionalFormatting sqref="A1:J2">
    <cfRule type="expression" dxfId="69" priority="3">
      <formula>_xlfn.ISFORMULA(A1)</formula>
    </cfRule>
    <cfRule type="expression" priority="4">
      <formula>_xlfn.ISFORMULA(A1)</formula>
    </cfRule>
  </conditionalFormatting>
  <conditionalFormatting sqref="B3:H9">
    <cfRule type="expression" dxfId="68" priority="1">
      <formula>_xlfn.ISFORMULA(B3)</formula>
    </cfRule>
    <cfRule type="expression" priority="2">
      <formula>_xlfn.ISFORMULA(B3)</formula>
    </cfRule>
  </conditionalFormatting>
  <conditionalFormatting sqref="J3:J9 I3:I10 B10:F10">
    <cfRule type="expression" dxfId="67" priority="7">
      <formula>_xlfn.ISFORMULA(B3)</formula>
    </cfRule>
    <cfRule type="expression" priority="8">
      <formula>_xlfn.ISFORMULA(B3)</formula>
    </cfRule>
  </conditionalFormatting>
  <pageMargins left="0.7" right="0.7" top="0.75" bottom="0.75" header="0.3" footer="0.3"/>
  <legacy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7395F-E4AF-4176-A6B2-06C10A43FE32}">
  <dimension ref="A1:K10"/>
  <sheetViews>
    <sheetView zoomScale="70" zoomScaleNormal="70" zoomScaleSheetLayoutView="50" workbookViewId="0">
      <selection activeCell="K9" sqref="K3: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46232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3.2000000000000001E-2</v>
      </c>
      <c r="C3" s="54">
        <v>3.6900000000000002E-2</v>
      </c>
      <c r="D3" s="54">
        <v>3.5999999999999997E-2</v>
      </c>
      <c r="E3" s="54">
        <v>0.04</v>
      </c>
      <c r="F3" s="54">
        <v>4.48E-2</v>
      </c>
      <c r="G3" s="54">
        <v>4.9799999999999997E-2</v>
      </c>
      <c r="H3" s="52">
        <v>4.24E-2</v>
      </c>
      <c r="I3" s="73">
        <f>(1+H3/365)^365-1</f>
        <v>4.3309150839025312E-2</v>
      </c>
      <c r="J3" s="74"/>
      <c r="K3" s="67">
        <f>H3-'Daily Data'!AR153</f>
        <v>2.5999999999999999E-2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Data'!Z153</f>
        <v>5.7000000000000002E-3</v>
      </c>
    </row>
    <row r="5" spans="1:11" ht="23.15" customHeight="1" x14ac:dyDescent="0.5">
      <c r="A5" s="50" t="s">
        <v>17</v>
      </c>
      <c r="B5" s="55">
        <v>4.6699999999999998E-2</v>
      </c>
      <c r="C5" s="55">
        <f t="shared" ref="C5:G5" si="2">((1+$I5)^(C2/365)-1)*365/C2</f>
        <v>3.9127237052920774E-2</v>
      </c>
      <c r="D5" s="55">
        <v>5.6099999999999997E-2</v>
      </c>
      <c r="E5" s="55">
        <f t="shared" si="2"/>
        <v>3.9223817649076738E-2</v>
      </c>
      <c r="F5" s="55">
        <f t="shared" si="2"/>
        <v>3.9286976219068265E-2</v>
      </c>
      <c r="G5" s="55">
        <f t="shared" si="2"/>
        <v>3.9477266609533074E-2</v>
      </c>
      <c r="H5" s="56">
        <v>3.9100000000000003E-2</v>
      </c>
      <c r="I5" s="73">
        <f t="shared" si="1"/>
        <v>3.9872288287591928E-2</v>
      </c>
      <c r="J5" s="74"/>
      <c r="K5" s="67">
        <f>H5-'Daily Data'!BJ153</f>
        <v>2.4400000000000005E-2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2.6800000000000001E-2</v>
      </c>
      <c r="C7" s="55">
        <f t="shared" ref="C7:G7" si="4">((1+$I7)^(C2/365)-1)*365/C2</f>
        <v>2.1708387706840884E-2</v>
      </c>
      <c r="D7" s="55">
        <v>2.1100000000000001E-2</v>
      </c>
      <c r="E7" s="55">
        <f t="shared" si="4"/>
        <v>2.1738102014333516E-2</v>
      </c>
      <c r="F7" s="55">
        <f t="shared" si="4"/>
        <v>2.1757510124933641E-2</v>
      </c>
      <c r="G7" s="55">
        <f t="shared" si="4"/>
        <v>2.1815873182762256E-2</v>
      </c>
      <c r="H7" s="56">
        <v>2.1700000000000001E-2</v>
      </c>
      <c r="I7" s="73">
        <f t="shared" si="1"/>
        <v>2.1936498152339556E-2</v>
      </c>
      <c r="J7" s="74"/>
      <c r="K7" s="67">
        <f>H7-1.06%</f>
        <v>1.11E-2</v>
      </c>
    </row>
    <row r="8" spans="1:11" ht="23.15" customHeight="1" x14ac:dyDescent="0.4">
      <c r="A8" s="50" t="s">
        <v>57</v>
      </c>
      <c r="B8" s="51">
        <f>((1+$I8)^(B2/365)-1)*365/B2</f>
        <v>3.9012503596365419E-2</v>
      </c>
      <c r="C8" s="51">
        <f t="shared" ref="C8:G8" si="5">((1+$I8)^(C2/365)-1)*365/C2</f>
        <v>3.902709788137345E-2</v>
      </c>
      <c r="D8" s="51">
        <f t="shared" si="5"/>
        <v>3.906048358889147E-2</v>
      </c>
      <c r="E8" s="51">
        <f t="shared" si="5"/>
        <v>3.9123184467448412E-2</v>
      </c>
      <c r="F8" s="51">
        <f t="shared" si="5"/>
        <v>3.9186019544723498E-2</v>
      </c>
      <c r="G8" s="51">
        <f t="shared" si="5"/>
        <v>3.9375333204310747E-2</v>
      </c>
      <c r="H8" s="52">
        <v>3.9E-2</v>
      </c>
      <c r="I8" s="73">
        <f t="shared" si="1"/>
        <v>3.9768317380816542E-2</v>
      </c>
      <c r="J8" s="74"/>
      <c r="K8" s="67">
        <f>H8-'Daily Data'!H153</f>
        <v>2.3199999999999998E-2</v>
      </c>
    </row>
    <row r="9" spans="1:11" ht="23.15" customHeight="1" x14ac:dyDescent="0.5">
      <c r="A9" s="50" t="s">
        <v>56</v>
      </c>
      <c r="B9" s="55">
        <f>((1+$I9)^(B2/365)-1)*365/B2</f>
        <v>3.9212632178726885E-2</v>
      </c>
      <c r="C9" s="55">
        <f t="shared" ref="C9:G9" si="6">((1+$I9)^(C2/365)-1)*365/C2</f>
        <v>3.9227376581002268E-2</v>
      </c>
      <c r="D9" s="55">
        <f t="shared" si="6"/>
        <v>3.9261105836655874E-2</v>
      </c>
      <c r="E9" s="55">
        <f t="shared" si="6"/>
        <v>3.932445245712831E-2</v>
      </c>
      <c r="F9" s="55">
        <f t="shared" si="6"/>
        <v>3.9387935354773279E-2</v>
      </c>
      <c r="G9" s="55">
        <f t="shared" si="6"/>
        <v>3.9579205013178513E-2</v>
      </c>
      <c r="H9" s="52">
        <v>3.9199999999999999E-2</v>
      </c>
      <c r="I9" s="73">
        <f t="shared" si="1"/>
        <v>3.9976269562287836E-2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66" priority="9">
      <formula>_xlfn.ISFORMULA(A3)</formula>
    </cfRule>
    <cfRule type="expression" priority="10">
      <formula>_xlfn.ISFORMULA(A3)</formula>
    </cfRule>
  </conditionalFormatting>
  <conditionalFormatting sqref="A1:J2">
    <cfRule type="expression" dxfId="65" priority="5">
      <formula>_xlfn.ISFORMULA(A1)</formula>
    </cfRule>
    <cfRule type="expression" priority="6">
      <formula>_xlfn.ISFORMULA(A1)</formula>
    </cfRule>
  </conditionalFormatting>
  <conditionalFormatting sqref="B3:H9">
    <cfRule type="expression" dxfId="64" priority="1">
      <formula>_xlfn.ISFORMULA(B3)</formula>
    </cfRule>
    <cfRule type="expression" priority="2">
      <formula>_xlfn.ISFORMULA(B3)</formula>
    </cfRule>
  </conditionalFormatting>
  <conditionalFormatting sqref="J3:J9 I3:I10 B10:F10">
    <cfRule type="expression" dxfId="63" priority="7">
      <formula>_xlfn.ISFORMULA(B3)</formula>
    </cfRule>
    <cfRule type="expression" priority="8">
      <formula>_xlfn.ISFORMULA(B3)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48F48-188C-48D6-BE14-9C0929BFEB41}">
  <dimension ref="A1:K10"/>
  <sheetViews>
    <sheetView zoomScale="60" zoomScaleNormal="60" workbookViewId="0">
      <selection activeCell="B4" sqref="B4:G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46232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3.49E-2</v>
      </c>
      <c r="C3" s="54">
        <v>3.0099999999999998E-2</v>
      </c>
      <c r="D3" s="54">
        <v>2.9499999999999998E-2</v>
      </c>
      <c r="E3" s="54">
        <v>0.04</v>
      </c>
      <c r="F3" s="54">
        <v>4.48E-2</v>
      </c>
      <c r="G3" s="54">
        <v>4.9799999999999997E-2</v>
      </c>
      <c r="H3" s="52">
        <v>4.3900000000000002E-2</v>
      </c>
      <c r="I3" s="73">
        <f>(1+H3/365)^365-1</f>
        <v>4.487510361063185E-2</v>
      </c>
      <c r="J3" s="74"/>
      <c r="K3" s="67">
        <f>H3-'Daily Data'!AR153</f>
        <v>2.75E-2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Data'!Z153</f>
        <v>5.7000000000000002E-3</v>
      </c>
    </row>
    <row r="5" spans="1:11" ht="23.15" customHeight="1" x14ac:dyDescent="0.5">
      <c r="A5" s="50" t="s">
        <v>17</v>
      </c>
      <c r="B5" s="55">
        <v>4.9000000000000002E-2</v>
      </c>
      <c r="C5" s="55">
        <f t="shared" ref="C5:G5" si="2">((1+$I5)^(C2/365)-1)*365/C2</f>
        <v>4.1230242036151318E-2</v>
      </c>
      <c r="D5" s="55">
        <v>5.8799999999999998E-2</v>
      </c>
      <c r="E5" s="55">
        <f t="shared" si="2"/>
        <v>4.1337490226565209E-2</v>
      </c>
      <c r="F5" s="55">
        <f t="shared" si="2"/>
        <v>4.1407635065704738E-2</v>
      </c>
      <c r="G5" s="55">
        <f t="shared" si="2"/>
        <v>4.1619023150302505E-2</v>
      </c>
      <c r="H5" s="56">
        <v>4.1200000000000001E-2</v>
      </c>
      <c r="I5" s="73">
        <f t="shared" si="1"/>
        <v>4.2058073928315842E-2</v>
      </c>
      <c r="J5" s="74"/>
      <c r="K5" s="67">
        <f>H5-'Daily Data'!BJ153</f>
        <v>2.6500000000000003E-2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2.64E-2</v>
      </c>
      <c r="C7" s="55">
        <f t="shared" ref="C7:G7" si="4">((1+$I7)^(C2/365)-1)*365/C2</f>
        <v>2.1508233789209425E-2</v>
      </c>
      <c r="D7" s="55">
        <v>2.0799999999999999E-2</v>
      </c>
      <c r="E7" s="55">
        <f t="shared" si="4"/>
        <v>2.1537402513229942E-2</v>
      </c>
      <c r="F7" s="55">
        <f t="shared" si="4"/>
        <v>2.1556454007559442E-2</v>
      </c>
      <c r="G7" s="55">
        <f t="shared" si="4"/>
        <v>2.1613743410085418E-2</v>
      </c>
      <c r="H7" s="56">
        <v>2.1499999999999998E-2</v>
      </c>
      <c r="I7" s="73">
        <f t="shared" si="1"/>
        <v>2.1732143382214852E-2</v>
      </c>
      <c r="J7" s="74"/>
      <c r="K7" s="67">
        <f>H7-1.06%</f>
        <v>1.0899999999999998E-2</v>
      </c>
    </row>
    <row r="8" spans="1:11" ht="23.15" customHeight="1" x14ac:dyDescent="0.4">
      <c r="A8" s="50" t="s">
        <v>57</v>
      </c>
      <c r="B8" s="51">
        <f>((1+$I8)^(B2/365)-1)*365/B2</f>
        <v>4.0513484000246666E-2</v>
      </c>
      <c r="C8" s="51">
        <f t="shared" ref="C8:G8" si="5">((1+$I8)^(C2/365)-1)*365/C2</f>
        <v>4.052922289982909E-2</v>
      </c>
      <c r="D8" s="51">
        <f t="shared" si="5"/>
        <v>4.0565228148374044E-2</v>
      </c>
      <c r="E8" s="51">
        <f t="shared" si="5"/>
        <v>4.0632852986788683E-2</v>
      </c>
      <c r="F8" s="51">
        <f t="shared" si="5"/>
        <v>4.0700628138462452E-2</v>
      </c>
      <c r="G8" s="51">
        <f t="shared" si="5"/>
        <v>4.0904859236788139E-2</v>
      </c>
      <c r="H8" s="52">
        <v>4.0500000000000001E-2</v>
      </c>
      <c r="I8" s="73">
        <f t="shared" si="1"/>
        <v>4.1328970092306072E-2</v>
      </c>
      <c r="J8" s="74"/>
      <c r="K8" s="67">
        <f>H8-'Daily Data'!H153</f>
        <v>2.47E-2</v>
      </c>
    </row>
    <row r="9" spans="1:11" ht="23.15" customHeight="1" x14ac:dyDescent="0.5">
      <c r="A9" s="50" t="s">
        <v>56</v>
      </c>
      <c r="B9" s="55">
        <f>((1+$I9)^(B2/365)-1)*365/B2</f>
        <v>4.181436361804728E-2</v>
      </c>
      <c r="C9" s="55">
        <f t="shared" ref="C9:G9" si="6">((1+$I9)^(C2/365)-1)*365/C2</f>
        <v>4.1831129490696686E-2</v>
      </c>
      <c r="D9" s="55">
        <f t="shared" si="6"/>
        <v>4.186948515191935E-2</v>
      </c>
      <c r="E9" s="55">
        <f t="shared" si="6"/>
        <v>4.1941528458230258E-2</v>
      </c>
      <c r="F9" s="55">
        <f t="shared" si="6"/>
        <v>4.2013737047616573E-2</v>
      </c>
      <c r="G9" s="55">
        <f t="shared" si="6"/>
        <v>4.2231358786059485E-2</v>
      </c>
      <c r="H9" s="52">
        <v>4.1799999999999997E-2</v>
      </c>
      <c r="I9" s="73">
        <f t="shared" si="1"/>
        <v>4.2683425257684871E-2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62" priority="9">
      <formula>_xlfn.ISFORMULA(A3)</formula>
    </cfRule>
    <cfRule type="expression" priority="10">
      <formula>_xlfn.ISFORMULA(A3)</formula>
    </cfRule>
  </conditionalFormatting>
  <conditionalFormatting sqref="A1:J2">
    <cfRule type="expression" dxfId="61" priority="5">
      <formula>_xlfn.ISFORMULA(A1)</formula>
    </cfRule>
    <cfRule type="expression" priority="6">
      <formula>_xlfn.ISFORMULA(A1)</formula>
    </cfRule>
  </conditionalFormatting>
  <conditionalFormatting sqref="B3:H9">
    <cfRule type="expression" dxfId="60" priority="1">
      <formula>_xlfn.ISFORMULA(B3)</formula>
    </cfRule>
    <cfRule type="expression" priority="2">
      <formula>_xlfn.ISFORMULA(B3)</formula>
    </cfRule>
  </conditionalFormatting>
  <conditionalFormatting sqref="J3:J9 I3:I10 B10:F10">
    <cfRule type="expression" dxfId="59" priority="7">
      <formula>_xlfn.ISFORMULA(B3)</formula>
    </cfRule>
    <cfRule type="expression" priority="8">
      <formula>_xlfn.ISFORMULA(B3)</formula>
    </cfRule>
  </conditionalFormatting>
  <pageMargins left="0.7" right="0.7" top="0.75" bottom="0.75" header="0.3" footer="0.3"/>
  <legacy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15CBF-D403-430A-AA86-DF543C1C6DF9}">
  <dimension ref="A1:K10"/>
  <sheetViews>
    <sheetView zoomScale="50" zoomScaleNormal="50" workbookViewId="0">
      <selection activeCell="B4" sqref="B4:G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46234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3.0099999999999998E-2</v>
      </c>
      <c r="C3" s="54">
        <v>3.6900000000000002E-2</v>
      </c>
      <c r="D3" s="54">
        <v>3.78E-2</v>
      </c>
      <c r="E3" s="54">
        <v>0.04</v>
      </c>
      <c r="F3" s="54">
        <v>4.4900000000000002E-2</v>
      </c>
      <c r="G3" s="54">
        <v>5.0599999999999999E-2</v>
      </c>
      <c r="H3" s="52">
        <v>4.41E-2</v>
      </c>
      <c r="I3" s="73">
        <f>(1+H3/365)^365-1</f>
        <v>4.5084074336688928E-2</v>
      </c>
      <c r="J3" s="74"/>
      <c r="K3" s="67">
        <f>H3-'Daily Data'!AR153</f>
        <v>2.7699999999999999E-2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Data'!Z153</f>
        <v>5.7000000000000002E-3</v>
      </c>
    </row>
    <row r="5" spans="1:11" ht="23.15" customHeight="1" x14ac:dyDescent="0.5">
      <c r="A5" s="50" t="s">
        <v>17</v>
      </c>
      <c r="B5" s="55">
        <v>4.9500000000000002E-2</v>
      </c>
      <c r="C5" s="55">
        <f t="shared" ref="C5:G5" si="2">((1+$I5)^(C2/365)-1)*365/C2</f>
        <v>4.1530684158452923E-2</v>
      </c>
      <c r="D5" s="55">
        <v>5.9400000000000001E-2</v>
      </c>
      <c r="E5" s="55">
        <f t="shared" si="2"/>
        <v>4.1639502020257312E-2</v>
      </c>
      <c r="F5" s="55">
        <f t="shared" si="2"/>
        <v>4.1710674973684414E-2</v>
      </c>
      <c r="G5" s="55">
        <f t="shared" si="2"/>
        <v>4.1925168448489862E-2</v>
      </c>
      <c r="H5" s="56">
        <v>4.1500000000000002E-2</v>
      </c>
      <c r="I5" s="73">
        <f t="shared" si="1"/>
        <v>4.237070282542077E-2</v>
      </c>
      <c r="J5" s="74"/>
      <c r="K5" s="67">
        <f>H5-'Daily Data'!BJ153</f>
        <v>2.6800000000000004E-2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2.8500000000000001E-2</v>
      </c>
      <c r="C7" s="55">
        <f t="shared" ref="C7:G7" si="4">((1+$I7)^(C2/365)-1)*365/C2</f>
        <v>2.3209587533257667E-2</v>
      </c>
      <c r="D7" s="55">
        <v>2.24E-2</v>
      </c>
      <c r="E7" s="55">
        <f t="shared" si="4"/>
        <v>2.3243555094752066E-2</v>
      </c>
      <c r="F7" s="55">
        <f t="shared" si="4"/>
        <v>2.3265743559169324E-2</v>
      </c>
      <c r="G7" s="55">
        <f t="shared" si="4"/>
        <v>2.3332478537392582E-2</v>
      </c>
      <c r="H7" s="56">
        <v>2.3199999999999998E-2</v>
      </c>
      <c r="I7" s="73">
        <f t="shared" si="1"/>
        <v>2.3470458733289679E-2</v>
      </c>
      <c r="J7" s="74"/>
      <c r="K7" s="67">
        <f>H7-1.06%</f>
        <v>1.2599999999999998E-2</v>
      </c>
    </row>
    <row r="8" spans="1:11" ht="23.15" customHeight="1" x14ac:dyDescent="0.4">
      <c r="A8" s="50" t="s">
        <v>57</v>
      </c>
      <c r="B8" s="51">
        <f>((1+$I8)^(B2/365)-1)*365/B2</f>
        <v>4.0613550676324203E-2</v>
      </c>
      <c r="C8" s="51">
        <f t="shared" ref="C8:G8" si="5">((1+$I8)^(C2/365)-1)*365/C2</f>
        <v>4.0629367420836178E-2</v>
      </c>
      <c r="D8" s="51">
        <f t="shared" si="5"/>
        <v>4.0665550828091611E-2</v>
      </c>
      <c r="E8" s="51">
        <f t="shared" si="5"/>
        <v>4.0733510568810041E-2</v>
      </c>
      <c r="F8" s="51">
        <f t="shared" si="5"/>
        <v>4.0801621740776922E-2</v>
      </c>
      <c r="G8" s="51">
        <f t="shared" si="5"/>
        <v>4.1006867645299115E-2</v>
      </c>
      <c r="H8" s="52">
        <v>4.0599999999999997E-2</v>
      </c>
      <c r="I8" s="73">
        <f t="shared" si="1"/>
        <v>4.1433096627561561E-2</v>
      </c>
      <c r="J8" s="74"/>
      <c r="K8" s="67">
        <f>H8-'Daily Data'!H153</f>
        <v>2.4799999999999996E-2</v>
      </c>
    </row>
    <row r="9" spans="1:11" ht="23.15" customHeight="1" x14ac:dyDescent="0.5">
      <c r="A9" s="50" t="s">
        <v>56</v>
      </c>
      <c r="B9" s="55">
        <f>((1+$I9)^(B2/365)-1)*365/B2</f>
        <v>4.2114570554201744E-2</v>
      </c>
      <c r="C9" s="55">
        <f t="shared" ref="C9:G9" si="6">((1+$I9)^(C2/365)-1)*365/C2</f>
        <v>4.2131578032795769E-2</v>
      </c>
      <c r="D9" s="55">
        <f t="shared" si="6"/>
        <v>4.2170486666584552E-2</v>
      </c>
      <c r="E9" s="55">
        <f t="shared" si="6"/>
        <v>4.2243569541063529E-2</v>
      </c>
      <c r="F9" s="55">
        <f t="shared" si="6"/>
        <v>4.2316821288990662E-2</v>
      </c>
      <c r="G9" s="55">
        <f t="shared" si="6"/>
        <v>4.2537594169484265E-2</v>
      </c>
      <c r="H9" s="52">
        <v>4.2099999999999999E-2</v>
      </c>
      <c r="I9" s="73">
        <f t="shared" si="1"/>
        <v>4.2996241252897249E-2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58" priority="9">
      <formula>_xlfn.ISFORMULA(A3)</formula>
    </cfRule>
    <cfRule type="expression" priority="10">
      <formula>_xlfn.ISFORMULA(A3)</formula>
    </cfRule>
  </conditionalFormatting>
  <conditionalFormatting sqref="A1:J2">
    <cfRule type="expression" dxfId="57" priority="5">
      <formula>_xlfn.ISFORMULA(A1)</formula>
    </cfRule>
    <cfRule type="expression" priority="6">
      <formula>_xlfn.ISFORMULA(A1)</formula>
    </cfRule>
  </conditionalFormatting>
  <conditionalFormatting sqref="B3:H9">
    <cfRule type="expression" dxfId="56" priority="1">
      <formula>_xlfn.ISFORMULA(B3)</formula>
    </cfRule>
    <cfRule type="expression" priority="2">
      <formula>_xlfn.ISFORMULA(B3)</formula>
    </cfRule>
  </conditionalFormatting>
  <conditionalFormatting sqref="J3:J9 I3:I10 B10:F10">
    <cfRule type="expression" dxfId="55" priority="7">
      <formula>_xlfn.ISFORMULA(B3)</formula>
    </cfRule>
    <cfRule type="expression" priority="8">
      <formula>_xlfn.ISFORMULA(B3)</formula>
    </cfRule>
  </conditionalFormatting>
  <pageMargins left="0.7" right="0.7" top="0.75" bottom="0.75" header="0.3" footer="0.3"/>
  <legacy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00A93-75ED-4198-89F6-2879D040AA76}">
  <dimension ref="A1:K10"/>
  <sheetViews>
    <sheetView zoomScale="60" zoomScaleNormal="60" workbookViewId="0">
      <selection activeCell="B4" sqref="B4:H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46235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3.6900000000000002E-2</v>
      </c>
      <c r="C3" s="54">
        <v>3.7900000000000003E-2</v>
      </c>
      <c r="D3" s="54">
        <v>0.05</v>
      </c>
      <c r="E3" s="54">
        <v>4.9500000000000002E-2</v>
      </c>
      <c r="F3" s="54">
        <v>0.04</v>
      </c>
      <c r="G3" s="54">
        <v>4.8000000000000001E-2</v>
      </c>
      <c r="H3" s="52">
        <v>4.3400000000000001E-2</v>
      </c>
      <c r="I3" s="73">
        <f>(1+H3/365)^365-1</f>
        <v>4.4352859085561747E-2</v>
      </c>
      <c r="J3" s="74"/>
      <c r="K3" s="67">
        <f>H3-'Daily Data'!AR153</f>
        <v>2.7E-2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Data'!Z153</f>
        <v>5.7000000000000002E-3</v>
      </c>
    </row>
    <row r="5" spans="1:11" ht="23.15" customHeight="1" x14ac:dyDescent="0.5">
      <c r="A5" s="50" t="s">
        <v>17</v>
      </c>
      <c r="B5" s="55">
        <v>4.8300000000000003E-2</v>
      </c>
      <c r="C5" s="55">
        <f t="shared" ref="C5:G5" si="2">((1+$I5)^(C2/365)-1)*365/C2</f>
        <v>4.0228791476834877E-2</v>
      </c>
      <c r="D5" s="55">
        <v>5.8000000000000003E-2</v>
      </c>
      <c r="E5" s="55">
        <f t="shared" si="2"/>
        <v>4.0330890002044026E-2</v>
      </c>
      <c r="F5" s="55">
        <f t="shared" si="2"/>
        <v>4.0397662105142076E-2</v>
      </c>
      <c r="G5" s="55">
        <f t="shared" si="2"/>
        <v>4.059886402201985E-2</v>
      </c>
      <c r="H5" s="56">
        <v>4.02E-2</v>
      </c>
      <c r="I5" s="73">
        <f t="shared" si="1"/>
        <v>4.1016652777330576E-2</v>
      </c>
      <c r="J5" s="74"/>
      <c r="K5" s="67">
        <f>H5-'Daily Data'!BJ153</f>
        <v>2.5500000000000002E-2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3.1E-2</v>
      </c>
      <c r="C7" s="55">
        <f t="shared" ref="C7:G7" si="4">((1+$I7)^(C2/365)-1)*365/C2</f>
        <v>2.9515502614004818E-2</v>
      </c>
      <c r="D7" s="55">
        <v>3.2500000000000001E-2</v>
      </c>
      <c r="E7" s="55">
        <f t="shared" si="4"/>
        <v>2.957044530350909E-2</v>
      </c>
      <c r="F7" s="55">
        <f t="shared" si="4"/>
        <v>2.9606350952279013E-2</v>
      </c>
      <c r="G7" s="55">
        <f t="shared" si="4"/>
        <v>2.9714417036530872E-2</v>
      </c>
      <c r="H7" s="56">
        <v>2.9499999999999998E-2</v>
      </c>
      <c r="I7" s="73">
        <f t="shared" si="1"/>
        <v>2.9938207723953836E-2</v>
      </c>
      <c r="J7" s="74"/>
      <c r="K7" s="67">
        <f>H7-1.06%</f>
        <v>1.89E-2</v>
      </c>
    </row>
    <row r="8" spans="1:11" ht="23.15" customHeight="1" x14ac:dyDescent="0.4">
      <c r="A8" s="50" t="s">
        <v>57</v>
      </c>
      <c r="B8" s="51">
        <f>((1+$I8)^(B2/365)-1)*365/B2</f>
        <v>4.0213284959007237E-2</v>
      </c>
      <c r="C8" s="51">
        <f t="shared" ref="C8:G8" si="5">((1+$I8)^(C2/365)-1)*365/C2</f>
        <v>4.0228791476834877E-2</v>
      </c>
      <c r="D8" s="51">
        <f t="shared" si="5"/>
        <v>4.0264264891335534E-2</v>
      </c>
      <c r="E8" s="51">
        <f t="shared" si="5"/>
        <v>4.0330890002044026E-2</v>
      </c>
      <c r="F8" s="51">
        <f t="shared" si="5"/>
        <v>4.0397662105142076E-2</v>
      </c>
      <c r="G8" s="51">
        <f t="shared" si="5"/>
        <v>4.059886402201985E-2</v>
      </c>
      <c r="H8" s="52">
        <v>4.02E-2</v>
      </c>
      <c r="I8" s="73">
        <f t="shared" si="1"/>
        <v>4.1016652777330576E-2</v>
      </c>
      <c r="J8" s="74"/>
      <c r="K8" s="67">
        <f>H8-'Daily Data'!H153</f>
        <v>2.4399999999999998E-2</v>
      </c>
    </row>
    <row r="9" spans="1:11" ht="23.15" customHeight="1" x14ac:dyDescent="0.5">
      <c r="A9" s="50" t="s">
        <v>56</v>
      </c>
      <c r="B9" s="55">
        <f>((1+$I9)^(B2/365)-1)*365/B2</f>
        <v>4.0813684521854299E-2</v>
      </c>
      <c r="C9" s="55">
        <f t="shared" ref="C9:G9" si="6">((1+$I9)^(C2/365)-1)*365/C2</f>
        <v>4.0829657532690203E-2</v>
      </c>
      <c r="D9" s="55">
        <f t="shared" si="6"/>
        <v>4.0866198578456858E-2</v>
      </c>
      <c r="E9" s="55">
        <f t="shared" si="6"/>
        <v>4.093483061350843E-2</v>
      </c>
      <c r="F9" s="55">
        <f t="shared" si="6"/>
        <v>4.1003616332415969E-2</v>
      </c>
      <c r="G9" s="55">
        <f t="shared" si="6"/>
        <v>4.1210899469005316E-2</v>
      </c>
      <c r="H9" s="52">
        <v>4.0800000000000003E-2</v>
      </c>
      <c r="I9" s="73">
        <f t="shared" si="1"/>
        <v>4.1641380849498866E-2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54" priority="9">
      <formula>_xlfn.ISFORMULA(A3)</formula>
    </cfRule>
    <cfRule type="expression" priority="10">
      <formula>_xlfn.ISFORMULA(A3)</formula>
    </cfRule>
  </conditionalFormatting>
  <conditionalFormatting sqref="A1:J2">
    <cfRule type="expression" dxfId="53" priority="5">
      <formula>_xlfn.ISFORMULA(A1)</formula>
    </cfRule>
    <cfRule type="expression" priority="6">
      <formula>_xlfn.ISFORMULA(A1)</formula>
    </cfRule>
  </conditionalFormatting>
  <conditionalFormatting sqref="B3:H9">
    <cfRule type="expression" dxfId="52" priority="1">
      <formula>_xlfn.ISFORMULA(B3)</formula>
    </cfRule>
    <cfRule type="expression" priority="2">
      <formula>_xlfn.ISFORMULA(B3)</formula>
    </cfRule>
  </conditionalFormatting>
  <conditionalFormatting sqref="J3:J9 I3:I10 B10:F10">
    <cfRule type="expression" dxfId="51" priority="7">
      <formula>_xlfn.ISFORMULA(B3)</formula>
    </cfRule>
    <cfRule type="expression" priority="8">
      <formula>_xlfn.ISFORMULA(B3)</formula>
    </cfRule>
  </conditionalFormatting>
  <pageMargins left="0.7" right="0.7" top="0.75" bottom="0.75" header="0.3" footer="0.3"/>
  <legacy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6D14D-38E6-4026-96CB-A354C4087112}">
  <dimension ref="A1:K10"/>
  <sheetViews>
    <sheetView zoomScale="50" zoomScaleNormal="50" zoomScaleSheetLayoutView="50" workbookViewId="0">
      <selection activeCell="B5" sqref="B5:G5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46236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3.6900000000000002E-2</v>
      </c>
      <c r="C3" s="54">
        <v>3.7900000000000003E-2</v>
      </c>
      <c r="D3" s="54">
        <v>0.05</v>
      </c>
      <c r="E3" s="54">
        <v>4.9500000000000002E-2</v>
      </c>
      <c r="F3" s="54">
        <v>0.04</v>
      </c>
      <c r="G3" s="54">
        <v>4.8000000000000001E-2</v>
      </c>
      <c r="H3" s="52">
        <v>4.3400000000000001E-2</v>
      </c>
      <c r="I3" s="73">
        <f>(1+H3/365)^365-1</f>
        <v>4.4352859085561747E-2</v>
      </c>
      <c r="J3" s="74"/>
      <c r="K3" s="67">
        <f>H3-'Daily Data'!AR153</f>
        <v>2.7E-2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Data'!Z153</f>
        <v>5.7000000000000002E-3</v>
      </c>
    </row>
    <row r="5" spans="1:11" ht="23.15" customHeight="1" x14ac:dyDescent="0.5">
      <c r="A5" s="50" t="s">
        <v>17</v>
      </c>
      <c r="B5" s="55">
        <v>4.8300000000000003E-2</v>
      </c>
      <c r="C5" s="55">
        <f t="shared" ref="C5:G5" si="2">((1+$I5)^(C2/365)-1)*365/C2</f>
        <v>3.9427656707190346E-2</v>
      </c>
      <c r="D5" s="55">
        <v>5.8000000000000003E-2</v>
      </c>
      <c r="E5" s="55">
        <f t="shared" si="2"/>
        <v>3.9525726953030728E-2</v>
      </c>
      <c r="F5" s="55">
        <f t="shared" si="2"/>
        <v>3.9589861010926784E-2</v>
      </c>
      <c r="G5" s="55">
        <f t="shared" si="2"/>
        <v>3.9783096817143065E-2</v>
      </c>
      <c r="H5" s="56">
        <v>3.9399999999999998E-2</v>
      </c>
      <c r="I5" s="73">
        <f t="shared" si="1"/>
        <v>4.0184263220001792E-2</v>
      </c>
      <c r="J5" s="74"/>
      <c r="K5" s="67">
        <f>H5-'Daily Data'!BJ153</f>
        <v>2.47E-2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3.1E-2</v>
      </c>
      <c r="C7" s="55">
        <f t="shared" ref="C7:G7" si="4">((1+$I7)^(C2/365)-1)*365/C2</f>
        <v>2.9515502614004818E-2</v>
      </c>
      <c r="D7" s="55">
        <v>3.2500000000000001E-2</v>
      </c>
      <c r="E7" s="55">
        <f t="shared" si="4"/>
        <v>2.957044530350909E-2</v>
      </c>
      <c r="F7" s="55">
        <f t="shared" si="4"/>
        <v>2.9606350952279013E-2</v>
      </c>
      <c r="G7" s="55">
        <f t="shared" si="4"/>
        <v>2.9714417036530872E-2</v>
      </c>
      <c r="H7" s="56">
        <v>2.9499999999999998E-2</v>
      </c>
      <c r="I7" s="73">
        <f t="shared" si="1"/>
        <v>2.9938207723953836E-2</v>
      </c>
      <c r="J7" s="74"/>
      <c r="K7" s="67">
        <f>H7-1.06%</f>
        <v>1.89E-2</v>
      </c>
    </row>
    <row r="8" spans="1:11" ht="23.15" customHeight="1" x14ac:dyDescent="0.4">
      <c r="A8" s="50" t="s">
        <v>57</v>
      </c>
      <c r="B8" s="51">
        <f>((1+$I8)^(B2/365)-1)*365/B2</f>
        <v>3.9412761419056794E-2</v>
      </c>
      <c r="C8" s="51">
        <f t="shared" ref="C8:G8" si="5">((1+$I8)^(C2/365)-1)*365/C2</f>
        <v>3.9427656707190346E-2</v>
      </c>
      <c r="D8" s="51">
        <f t="shared" si="5"/>
        <v>3.9461731272140699E-2</v>
      </c>
      <c r="E8" s="51">
        <f t="shared" si="5"/>
        <v>3.9525726953030728E-2</v>
      </c>
      <c r="F8" s="51">
        <f t="shared" si="5"/>
        <v>3.9589861010926784E-2</v>
      </c>
      <c r="G8" s="51">
        <f t="shared" si="5"/>
        <v>3.9783096817143065E-2</v>
      </c>
      <c r="H8" s="52">
        <v>3.9399999999999998E-2</v>
      </c>
      <c r="I8" s="73">
        <f t="shared" si="1"/>
        <v>4.0184263220001792E-2</v>
      </c>
      <c r="J8" s="74"/>
      <c r="K8" s="67">
        <f>H8-'Daily Data'!H153</f>
        <v>2.3599999999999996E-2</v>
      </c>
    </row>
    <row r="9" spans="1:11" ht="23.15" customHeight="1" x14ac:dyDescent="0.5">
      <c r="A9" s="50" t="s">
        <v>56</v>
      </c>
      <c r="B9" s="55">
        <f>((1+$I9)^(B2/365)-1)*365/B2</f>
        <v>4.0113218940828678E-2</v>
      </c>
      <c r="C9" s="55">
        <f t="shared" ref="C9:G9" si="6">((1+$I9)^(C2/365)-1)*365/C2</f>
        <v>4.0128648382387055E-2</v>
      </c>
      <c r="D9" s="55">
        <f t="shared" si="6"/>
        <v>4.0163945399559919E-2</v>
      </c>
      <c r="E9" s="55">
        <f t="shared" si="6"/>
        <v>4.0230238927370383E-2</v>
      </c>
      <c r="F9" s="55">
        <f t="shared" si="6"/>
        <v>4.0296678351598655E-2</v>
      </c>
      <c r="G9" s="55">
        <f t="shared" si="6"/>
        <v>4.0496875619757178E-2</v>
      </c>
      <c r="H9" s="52">
        <v>4.0099999999999997E-2</v>
      </c>
      <c r="I9" s="73">
        <f t="shared" si="1"/>
        <v>4.0912567765710728E-2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50" priority="11">
      <formula>_xlfn.ISFORMULA(A3)</formula>
    </cfRule>
    <cfRule type="expression" priority="12">
      <formula>_xlfn.ISFORMULA(A3)</formula>
    </cfRule>
  </conditionalFormatting>
  <conditionalFormatting sqref="A1:J2">
    <cfRule type="expression" dxfId="49" priority="7">
      <formula>_xlfn.ISFORMULA(A1)</formula>
    </cfRule>
    <cfRule type="expression" priority="8">
      <formula>_xlfn.ISFORMULA(A1)</formula>
    </cfRule>
  </conditionalFormatting>
  <conditionalFormatting sqref="B3:H9">
    <cfRule type="expression" dxfId="48" priority="1">
      <formula>_xlfn.ISFORMULA(B3)</formula>
    </cfRule>
    <cfRule type="expression" priority="2">
      <formula>_xlfn.ISFORMULA(B3)</formula>
    </cfRule>
  </conditionalFormatting>
  <conditionalFormatting sqref="J3:J9 I3:I10 B10:F10">
    <cfRule type="expression" dxfId="47" priority="9">
      <formula>_xlfn.ISFORMULA(B3)</formula>
    </cfRule>
    <cfRule type="expression" priority="10">
      <formula>_xlfn.ISFORMULA(B3)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A4A1C-8F55-4013-9321-AF61A4F6E5F9}">
  <dimension ref="A1:K10"/>
  <sheetViews>
    <sheetView zoomScale="50" zoomScaleNormal="50" workbookViewId="0">
      <selection activeCell="B6" sqref="B6:G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46237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3.6900000000000002E-2</v>
      </c>
      <c r="C3" s="54">
        <v>3.7900000000000003E-2</v>
      </c>
      <c r="D3" s="54">
        <v>0.05</v>
      </c>
      <c r="E3" s="54">
        <v>4.9500000000000002E-2</v>
      </c>
      <c r="F3" s="54">
        <v>0.04</v>
      </c>
      <c r="G3" s="54">
        <v>4.8000000000000001E-2</v>
      </c>
      <c r="H3" s="52">
        <v>4.3400000000000001E-2</v>
      </c>
      <c r="I3" s="73">
        <f>(1+H3/365)^365-1</f>
        <v>4.4352859085561747E-2</v>
      </c>
      <c r="J3" s="74"/>
      <c r="K3" s="67">
        <f>H3-'Daily Data'!AR153</f>
        <v>2.7E-2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Data'!Z153</f>
        <v>5.7000000000000002E-3</v>
      </c>
    </row>
    <row r="5" spans="1:11" ht="23.15" customHeight="1" x14ac:dyDescent="0.5">
      <c r="A5" s="50" t="s">
        <v>17</v>
      </c>
      <c r="B5" s="55">
        <v>4.8300000000000003E-2</v>
      </c>
      <c r="C5" s="55">
        <f t="shared" ref="C5:G5" si="2">((1+$I5)^(C2/365)-1)*365/C2</f>
        <v>4.0328934927845804E-2</v>
      </c>
      <c r="D5" s="55">
        <v>5.8000000000000003E-2</v>
      </c>
      <c r="E5" s="55">
        <f t="shared" si="2"/>
        <v>4.0431542703446198E-2</v>
      </c>
      <c r="F5" s="55">
        <f t="shared" si="2"/>
        <v>4.0498648320718415E-2</v>
      </c>
      <c r="G5" s="55">
        <f t="shared" si="2"/>
        <v>4.0700857425407182E-2</v>
      </c>
      <c r="H5" s="56">
        <v>4.0300000000000002E-2</v>
      </c>
      <c r="I5" s="73">
        <f t="shared" si="1"/>
        <v>4.1120748168237853E-2</v>
      </c>
      <c r="J5" s="74"/>
      <c r="K5" s="67">
        <f>H5-'Daily Data'!BJ153</f>
        <v>2.5600000000000005E-2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3.1E-2</v>
      </c>
      <c r="C7" s="55">
        <f t="shared" ref="C7:G7" si="4">((1+$I7)^(C2/365)-1)*365/C2</f>
        <v>2.9515502614004818E-2</v>
      </c>
      <c r="D7" s="55">
        <v>3.2500000000000001E-2</v>
      </c>
      <c r="E7" s="55">
        <f t="shared" si="4"/>
        <v>2.957044530350909E-2</v>
      </c>
      <c r="F7" s="55">
        <f t="shared" si="4"/>
        <v>2.9606350952279013E-2</v>
      </c>
      <c r="G7" s="55">
        <f t="shared" si="4"/>
        <v>2.9714417036530872E-2</v>
      </c>
      <c r="H7" s="56">
        <v>2.9499999999999998E-2</v>
      </c>
      <c r="I7" s="73">
        <f t="shared" si="1"/>
        <v>2.9938207723953836E-2</v>
      </c>
      <c r="J7" s="74"/>
      <c r="K7" s="67">
        <f>H7-1.06%</f>
        <v>1.89E-2</v>
      </c>
    </row>
    <row r="8" spans="1:11" ht="23.15" customHeight="1" x14ac:dyDescent="0.4">
      <c r="A8" s="50" t="s">
        <v>57</v>
      </c>
      <c r="B8" s="51">
        <f>((1+$I8)^(B2/365)-1)*365/B2</f>
        <v>4.0113218940828678E-2</v>
      </c>
      <c r="C8" s="51">
        <f t="shared" ref="C8:G8" si="5">((1+$I8)^(C2/365)-1)*365/C2</f>
        <v>4.0128648382387055E-2</v>
      </c>
      <c r="D8" s="51">
        <f t="shared" si="5"/>
        <v>4.0163945399559919E-2</v>
      </c>
      <c r="E8" s="51">
        <f t="shared" si="5"/>
        <v>4.0230238927370383E-2</v>
      </c>
      <c r="F8" s="51">
        <f t="shared" si="5"/>
        <v>4.0296678351598655E-2</v>
      </c>
      <c r="G8" s="51">
        <f t="shared" si="5"/>
        <v>4.0496875619757178E-2</v>
      </c>
      <c r="H8" s="52">
        <v>4.0099999999999997E-2</v>
      </c>
      <c r="I8" s="73">
        <f t="shared" si="1"/>
        <v>4.0912567765710728E-2</v>
      </c>
      <c r="J8" s="74"/>
      <c r="K8" s="67">
        <f>H8-'Daily Data'!H153</f>
        <v>2.4299999999999995E-2</v>
      </c>
    </row>
    <row r="9" spans="1:11" ht="23.15" customHeight="1" x14ac:dyDescent="0.5">
      <c r="A9" s="50" t="s">
        <v>56</v>
      </c>
      <c r="B9" s="55">
        <f>((1+$I9)^(B2/365)-1)*365/B2</f>
        <v>4.0613550676324203E-2</v>
      </c>
      <c r="C9" s="55">
        <f t="shared" ref="C9:G9" si="6">((1+$I9)^(C2/365)-1)*365/C2</f>
        <v>4.0629367420836178E-2</v>
      </c>
      <c r="D9" s="55">
        <f t="shared" si="6"/>
        <v>4.0665550828091611E-2</v>
      </c>
      <c r="E9" s="55">
        <f t="shared" si="6"/>
        <v>4.0733510568810041E-2</v>
      </c>
      <c r="F9" s="55">
        <f t="shared" si="6"/>
        <v>4.0801621740776922E-2</v>
      </c>
      <c r="G9" s="55">
        <f t="shared" si="6"/>
        <v>4.1006867645299115E-2</v>
      </c>
      <c r="H9" s="52">
        <v>4.0599999999999997E-2</v>
      </c>
      <c r="I9" s="73">
        <f t="shared" si="1"/>
        <v>4.1433096627561561E-2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46" priority="19">
      <formula>_xlfn.ISFORMULA(A3)</formula>
    </cfRule>
    <cfRule type="expression" priority="20">
      <formula>_xlfn.ISFORMULA(A3)</formula>
    </cfRule>
  </conditionalFormatting>
  <conditionalFormatting sqref="A1:J2">
    <cfRule type="expression" dxfId="45" priority="15">
      <formula>_xlfn.ISFORMULA(A1)</formula>
    </cfRule>
    <cfRule type="expression" priority="16">
      <formula>_xlfn.ISFORMULA(A1)</formula>
    </cfRule>
  </conditionalFormatting>
  <conditionalFormatting sqref="B3:H9">
    <cfRule type="expression" dxfId="44" priority="1">
      <formula>_xlfn.ISFORMULA(B3)</formula>
    </cfRule>
    <cfRule type="expression" priority="2">
      <formula>_xlfn.ISFORMULA(B3)</formula>
    </cfRule>
  </conditionalFormatting>
  <conditionalFormatting sqref="J3:J9 I3:I10 B10:F10">
    <cfRule type="expression" dxfId="43" priority="17">
      <formula>_xlfn.ISFORMULA(B3)</formula>
    </cfRule>
    <cfRule type="expression" priority="18">
      <formula>_xlfn.ISFORMULA(B3)</formula>
    </cfRule>
  </conditionalFormatting>
  <pageMargins left="0.7" right="0.7" top="0.75" bottom="0.75" header="0.3" footer="0.3"/>
  <legacy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A9AAE-2037-47D6-9EBB-D2F37B77F1E0}">
  <dimension ref="A1:K10"/>
  <sheetViews>
    <sheetView zoomScale="80" zoomScaleNormal="80" workbookViewId="0">
      <selection activeCell="B5" sqref="B5:G5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46238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3.6900000000000002E-2</v>
      </c>
      <c r="C3" s="54">
        <v>3.7900000000000003E-2</v>
      </c>
      <c r="D3" s="54">
        <v>0.04</v>
      </c>
      <c r="E3" s="54">
        <v>4.9500000000000002E-2</v>
      </c>
      <c r="F3" s="54">
        <v>3.5999999999999997E-2</v>
      </c>
      <c r="G3" s="54">
        <v>4.8000000000000001E-2</v>
      </c>
      <c r="H3" s="52">
        <v>4.2799999999999998E-2</v>
      </c>
      <c r="I3" s="73">
        <f>(1+H3/365)^365-1</f>
        <v>4.3726509254560675E-2</v>
      </c>
      <c r="J3" s="74"/>
      <c r="K3" s="67">
        <f>H3-'Daily Data'!AR153</f>
        <v>2.6399999999999996E-2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Data'!Z153</f>
        <v>5.7000000000000002E-3</v>
      </c>
    </row>
    <row r="5" spans="1:11" ht="23.15" customHeight="1" x14ac:dyDescent="0.5">
      <c r="A5" s="50" t="s">
        <v>17</v>
      </c>
      <c r="B5" s="55">
        <v>4.8300000000000003E-2</v>
      </c>
      <c r="C5" s="55">
        <f t="shared" ref="C5:G5" si="2">((1+$I5)^(C2/365)-1)*365/C2</f>
        <v>4.0429078735564575E-2</v>
      </c>
      <c r="D5" s="55">
        <v>5.8000000000000003E-2</v>
      </c>
      <c r="E5" s="55">
        <f t="shared" si="2"/>
        <v>4.0532197031737639E-2</v>
      </c>
      <c r="F5" s="55">
        <f t="shared" si="2"/>
        <v>4.0599636998523987E-2</v>
      </c>
      <c r="G5" s="55">
        <f t="shared" si="2"/>
        <v>4.080285583030098E-2</v>
      </c>
      <c r="H5" s="56">
        <v>4.0399999999999998E-2</v>
      </c>
      <c r="I5" s="73">
        <f t="shared" si="1"/>
        <v>4.1224853939605843E-2</v>
      </c>
      <c r="J5" s="74"/>
      <c r="K5" s="67">
        <f>H5-'Daily Data'!BJ153</f>
        <v>2.5700000000000001E-2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3.1E-2</v>
      </c>
      <c r="C7" s="55">
        <f t="shared" ref="C7:G7" si="4">((1+$I7)^(C2/365)-1)*365/C2</f>
        <v>3.0616680497176203E-2</v>
      </c>
      <c r="D7" s="55">
        <v>3.2500000000000001E-2</v>
      </c>
      <c r="E7" s="55">
        <f t="shared" si="4"/>
        <v>3.0675801218832937E-2</v>
      </c>
      <c r="F7" s="55">
        <f t="shared" si="4"/>
        <v>3.071444020872649E-2</v>
      </c>
      <c r="G7" s="55">
        <f t="shared" si="4"/>
        <v>3.0830746942096931E-2</v>
      </c>
      <c r="H7" s="56">
        <v>3.0599999999999999E-2</v>
      </c>
      <c r="I7" s="73">
        <f t="shared" si="1"/>
        <v>3.1071669725747597E-2</v>
      </c>
      <c r="J7" s="74"/>
      <c r="K7" s="67">
        <f>H7-1.06%</f>
        <v>1.9999999999999997E-2</v>
      </c>
    </row>
    <row r="8" spans="1:11" ht="23.15" customHeight="1" x14ac:dyDescent="0.4">
      <c r="A8" s="50" t="s">
        <v>57</v>
      </c>
      <c r="B8" s="51">
        <f>((1+$I8)^(B2/365)-1)*365/B2</f>
        <v>3.9112567805359433E-2</v>
      </c>
      <c r="C8" s="51">
        <f t="shared" ref="C8:G8" si="5">((1+$I8)^(C2/365)-1)*365/C2</f>
        <v>3.9127237052920774E-2</v>
      </c>
      <c r="D8" s="51">
        <f t="shared" si="5"/>
        <v>3.9160794314363666E-2</v>
      </c>
      <c r="E8" s="51">
        <f t="shared" si="5"/>
        <v>3.9223817649076738E-2</v>
      </c>
      <c r="F8" s="51">
        <f t="shared" si="5"/>
        <v>3.9286976219068265E-2</v>
      </c>
      <c r="G8" s="51">
        <f t="shared" si="5"/>
        <v>3.9477266609533074E-2</v>
      </c>
      <c r="H8" s="52">
        <v>3.9100000000000003E-2</v>
      </c>
      <c r="I8" s="73">
        <f t="shared" si="1"/>
        <v>3.9872288287591928E-2</v>
      </c>
      <c r="J8" s="74"/>
      <c r="K8" s="67">
        <f>H8-'Daily Data'!H153</f>
        <v>2.3300000000000001E-2</v>
      </c>
    </row>
    <row r="9" spans="1:11" ht="23.15" customHeight="1" x14ac:dyDescent="0.5">
      <c r="A9" s="50" t="s">
        <v>56</v>
      </c>
      <c r="B9" s="55">
        <f>((1+$I9)^(B2/365)-1)*365/B2</f>
        <v>4.1113886523714359E-2</v>
      </c>
      <c r="C9" s="55">
        <f t="shared" ref="C9:G9" si="6">((1+$I9)^(C2/365)-1)*365/C2</f>
        <v>4.1130095375302433E-2</v>
      </c>
      <c r="D9" s="55">
        <f t="shared" si="6"/>
        <v>4.1167176181610997E-2</v>
      </c>
      <c r="E9" s="55">
        <f t="shared" si="6"/>
        <v>4.1236822882765166E-2</v>
      </c>
      <c r="F9" s="55">
        <f t="shared" si="6"/>
        <v>4.1306626688469565E-2</v>
      </c>
      <c r="G9" s="55">
        <f t="shared" si="6"/>
        <v>4.1516984725118604E-2</v>
      </c>
      <c r="H9" s="52">
        <v>4.1099999999999998E-2</v>
      </c>
      <c r="I9" s="73">
        <f t="shared" si="1"/>
        <v>4.1953885076647213E-2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42" priority="13">
      <formula>_xlfn.ISFORMULA(A3)</formula>
    </cfRule>
    <cfRule type="expression" priority="14">
      <formula>_xlfn.ISFORMULA(A3)</formula>
    </cfRule>
  </conditionalFormatting>
  <conditionalFormatting sqref="A1:J2">
    <cfRule type="expression" dxfId="41" priority="9">
      <formula>_xlfn.ISFORMULA(A1)</formula>
    </cfRule>
    <cfRule type="expression" priority="10">
      <formula>_xlfn.ISFORMULA(A1)</formula>
    </cfRule>
  </conditionalFormatting>
  <conditionalFormatting sqref="B3:H9">
    <cfRule type="expression" dxfId="40" priority="1">
      <formula>_xlfn.ISFORMULA(B3)</formula>
    </cfRule>
    <cfRule type="expression" priority="2">
      <formula>_xlfn.ISFORMULA(B3)</formula>
    </cfRule>
  </conditionalFormatting>
  <conditionalFormatting sqref="J3:J9 I3:I10 B10:F10">
    <cfRule type="expression" dxfId="39" priority="11">
      <formula>_xlfn.ISFORMULA(B3)</formula>
    </cfRule>
    <cfRule type="expression" priority="12">
      <formula>_xlfn.ISFORMULA(B3)</formula>
    </cfRule>
  </conditionalFormatting>
  <pageMargins left="0.7" right="0.7" top="0.75" bottom="0.75" header="0.3" footer="0.3"/>
  <legacy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5B311-0A18-4243-ADD8-84DF76714FDF}">
  <dimension ref="A1:K10"/>
  <sheetViews>
    <sheetView zoomScale="80" zoomScaleNormal="80" workbookViewId="0">
      <selection activeCell="B7" sqref="B7:G7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46239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3.6799999999999999E-2</v>
      </c>
      <c r="C3" s="54">
        <v>3.5900000000000001E-2</v>
      </c>
      <c r="D3" s="54">
        <v>4.4400000000000002E-2</v>
      </c>
      <c r="E3" s="54">
        <v>3.9899999999999998E-2</v>
      </c>
      <c r="F3" s="54">
        <v>4.4900000000000002E-2</v>
      </c>
      <c r="G3" s="54">
        <v>4.9799999999999997E-2</v>
      </c>
      <c r="H3" s="52">
        <v>4.2999999999999997E-2</v>
      </c>
      <c r="I3" s="73">
        <f>(1+H3/365)^365-1</f>
        <v>4.3935250895680733E-2</v>
      </c>
      <c r="J3" s="74"/>
      <c r="K3" s="67">
        <f>H3-'Daily Data'!AR153</f>
        <v>2.6599999999999995E-2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Data'!Z153</f>
        <v>5.7000000000000002E-3</v>
      </c>
    </row>
    <row r="5" spans="1:11" ht="23.15" customHeight="1" x14ac:dyDescent="0.5">
      <c r="A5" s="50" t="s">
        <v>17</v>
      </c>
      <c r="B5" s="55">
        <v>4.8000000000000001E-2</v>
      </c>
      <c r="C5" s="55">
        <f t="shared" ref="C5:G5" si="2">((1+$I5)^(C2/365)-1)*365/C2</f>
        <v>4.0128648382387055E-2</v>
      </c>
      <c r="D5" s="55">
        <v>5.7500000000000002E-2</v>
      </c>
      <c r="E5" s="55">
        <f t="shared" si="2"/>
        <v>4.0230238927370383E-2</v>
      </c>
      <c r="F5" s="55">
        <f t="shared" si="2"/>
        <v>4.0296678351598655E-2</v>
      </c>
      <c r="G5" s="55">
        <f t="shared" si="2"/>
        <v>4.0496875619757178E-2</v>
      </c>
      <c r="H5" s="56">
        <v>4.0099999999999997E-2</v>
      </c>
      <c r="I5" s="73">
        <f t="shared" si="1"/>
        <v>4.0912567765710728E-2</v>
      </c>
      <c r="J5" s="74"/>
      <c r="K5" s="67">
        <f>H5-'Daily Data'!BJ153</f>
        <v>2.5399999999999999E-2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2.9899999999999999E-2</v>
      </c>
      <c r="C7" s="55">
        <f t="shared" ref="C7:G7" si="4">((1+$I7)^(C2/365)-1)*365/C2</f>
        <v>2.8514469244696868E-2</v>
      </c>
      <c r="D7" s="55">
        <v>3.1300000000000001E-2</v>
      </c>
      <c r="E7" s="55">
        <f t="shared" si="4"/>
        <v>2.8565746813953425E-2</v>
      </c>
      <c r="F7" s="55">
        <f t="shared" si="4"/>
        <v>2.8599254939608972E-2</v>
      </c>
      <c r="G7" s="55">
        <f t="shared" si="4"/>
        <v>2.8700094069031949E-2</v>
      </c>
      <c r="H7" s="56">
        <v>2.8500000000000001E-2</v>
      </c>
      <c r="I7" s="73">
        <f t="shared" si="1"/>
        <v>2.8908866056128746E-2</v>
      </c>
      <c r="J7" s="74"/>
      <c r="K7" s="67">
        <f>H7-1.06%</f>
        <v>1.7899999999999999E-2</v>
      </c>
    </row>
    <row r="8" spans="1:11" ht="23.15" customHeight="1" x14ac:dyDescent="0.4">
      <c r="A8" s="50" t="s">
        <v>57</v>
      </c>
      <c r="B8" s="51">
        <f>((1+$I8)^(B2/365)-1)*365/B2</f>
        <v>3.9112567805359433E-2</v>
      </c>
      <c r="C8" s="51">
        <f t="shared" ref="C8:G8" si="5">((1+$I8)^(C2/365)-1)*365/C2</f>
        <v>3.9127237052920774E-2</v>
      </c>
      <c r="D8" s="51">
        <f t="shared" si="5"/>
        <v>3.9160794314363666E-2</v>
      </c>
      <c r="E8" s="51">
        <f t="shared" si="5"/>
        <v>3.9223817649076738E-2</v>
      </c>
      <c r="F8" s="51">
        <f t="shared" si="5"/>
        <v>3.9286976219068265E-2</v>
      </c>
      <c r="G8" s="51">
        <f t="shared" si="5"/>
        <v>3.9477266609533074E-2</v>
      </c>
      <c r="H8" s="52">
        <v>3.9100000000000003E-2</v>
      </c>
      <c r="I8" s="73">
        <f t="shared" si="1"/>
        <v>3.9872288287591928E-2</v>
      </c>
      <c r="J8" s="74"/>
      <c r="K8" s="67">
        <f>H8-'Daily Data'!H153</f>
        <v>2.3300000000000001E-2</v>
      </c>
    </row>
    <row r="9" spans="1:11" ht="23.15" customHeight="1" x14ac:dyDescent="0.5">
      <c r="A9" s="50" t="s">
        <v>56</v>
      </c>
      <c r="B9" s="55">
        <f>((1+$I9)^(B2/365)-1)*365/B2</f>
        <v>4.0813684521854299E-2</v>
      </c>
      <c r="C9" s="55">
        <f t="shared" ref="C9:G9" si="6">((1+$I9)^(C2/365)-1)*365/C2</f>
        <v>4.0829657532690203E-2</v>
      </c>
      <c r="D9" s="55">
        <f t="shared" si="6"/>
        <v>4.0866198578456858E-2</v>
      </c>
      <c r="E9" s="55">
        <f t="shared" si="6"/>
        <v>4.093483061350843E-2</v>
      </c>
      <c r="F9" s="55">
        <f t="shared" si="6"/>
        <v>4.1003616332415969E-2</v>
      </c>
      <c r="G9" s="55">
        <f t="shared" si="6"/>
        <v>4.1210899469005316E-2</v>
      </c>
      <c r="H9" s="52">
        <v>4.0800000000000003E-2</v>
      </c>
      <c r="I9" s="73">
        <f t="shared" si="1"/>
        <v>4.1641380849498866E-2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38" priority="17">
      <formula>_xlfn.ISFORMULA(A3)</formula>
    </cfRule>
    <cfRule type="expression" priority="18">
      <formula>_xlfn.ISFORMULA(A3)</formula>
    </cfRule>
  </conditionalFormatting>
  <conditionalFormatting sqref="A1:J2">
    <cfRule type="expression" dxfId="37" priority="13">
      <formula>_xlfn.ISFORMULA(A1)</formula>
    </cfRule>
    <cfRule type="expression" priority="14">
      <formula>_xlfn.ISFORMULA(A1)</formula>
    </cfRule>
  </conditionalFormatting>
  <conditionalFormatting sqref="B3:H9">
    <cfRule type="expression" dxfId="36" priority="1">
      <formula>_xlfn.ISFORMULA(B3)</formula>
    </cfRule>
    <cfRule type="expression" priority="2">
      <formula>_xlfn.ISFORMULA(B3)</formula>
    </cfRule>
  </conditionalFormatting>
  <conditionalFormatting sqref="J3:J9 I3:I10 B10:F10">
    <cfRule type="expression" dxfId="35" priority="15">
      <formula>_xlfn.ISFORMULA(B3)</formula>
    </cfRule>
    <cfRule type="expression" priority="16">
      <formula>_xlfn.ISFORMULA(B3)</formula>
    </cfRule>
  </conditionalFormatting>
  <pageMargins left="0.7" right="0.7" top="0.75" bottom="0.75" header="0.3" footer="0.3"/>
  <legacy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4655B-7755-4772-B63A-8C171FE7A23B}">
  <dimension ref="A1:K10"/>
  <sheetViews>
    <sheetView topLeftCell="B1" zoomScale="80" zoomScaleNormal="80" workbookViewId="0">
      <selection activeCell="B4" sqref="B4:G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46240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3.6700000000000003E-2</v>
      </c>
      <c r="C3" s="54">
        <v>3.9E-2</v>
      </c>
      <c r="D3" s="54">
        <v>4.9399999999999999E-2</v>
      </c>
      <c r="E3" s="54">
        <v>0.04</v>
      </c>
      <c r="F3" s="54">
        <v>4.4900000000000002E-2</v>
      </c>
      <c r="G3" s="54">
        <v>4.9799999999999997E-2</v>
      </c>
      <c r="H3" s="52">
        <v>4.24E-2</v>
      </c>
      <c r="I3" s="73">
        <f>(1+H3/365)^365-1</f>
        <v>4.3309150839025312E-2</v>
      </c>
      <c r="J3" s="74"/>
      <c r="K3" s="67">
        <f>H3-'Daily Data'!AR153</f>
        <v>2.5999999999999999E-2</v>
      </c>
    </row>
    <row r="4" spans="1:11" ht="23.15" customHeight="1" x14ac:dyDescent="0.5">
      <c r="A4" s="50" t="s">
        <v>15</v>
      </c>
      <c r="B4" s="55">
        <f>((1+$I4)^(B2/365)-1)*365/B2</f>
        <v>2.8006444659502021E-2</v>
      </c>
      <c r="C4" s="55">
        <f t="shared" ref="C4:G4" si="0">((1+$I4)^(C2/365)-1)*365/C2</f>
        <v>2.8013965928817948E-2</v>
      </c>
      <c r="D4" s="55">
        <f t="shared" si="0"/>
        <v>2.8031167516386346E-2</v>
      </c>
      <c r="E4" s="55">
        <f t="shared" si="0"/>
        <v>2.8063458462371366E-2</v>
      </c>
      <c r="F4" s="55">
        <f t="shared" si="0"/>
        <v>2.8095799005777876E-2</v>
      </c>
      <c r="G4" s="55">
        <f t="shared" si="0"/>
        <v>2.8193119078325148E-2</v>
      </c>
      <c r="H4" s="56">
        <v>2.8000000000000001E-2</v>
      </c>
      <c r="I4" s="73">
        <f t="shared" ref="I4:I9" si="1">(1+H4/365)^365-1</f>
        <v>2.8394580009664327E-2</v>
      </c>
      <c r="J4" s="74"/>
      <c r="K4" s="67">
        <f>H4-'Daily Data'!Z153</f>
        <v>8.6999999999999994E-3</v>
      </c>
    </row>
    <row r="5" spans="1:11" ht="23.15" customHeight="1" x14ac:dyDescent="0.5">
      <c r="A5" s="50" t="s">
        <v>17</v>
      </c>
      <c r="B5" s="55">
        <v>4.7300000000000002E-2</v>
      </c>
      <c r="C5" s="55">
        <f t="shared" ref="C5:G5" si="2">((1+$I5)^(C2/365)-1)*365/C2</f>
        <v>4.0028505644548663E-2</v>
      </c>
      <c r="D5" s="55">
        <v>5.7299999999999997E-2</v>
      </c>
      <c r="E5" s="55">
        <f t="shared" si="2"/>
        <v>4.0129589479445525E-2</v>
      </c>
      <c r="F5" s="55">
        <f t="shared" si="2"/>
        <v>4.0195697060078257E-2</v>
      </c>
      <c r="G5" s="55">
        <f t="shared" si="2"/>
        <v>4.0394892218424641E-2</v>
      </c>
      <c r="H5" s="56">
        <v>0.04</v>
      </c>
      <c r="I5" s="73">
        <f t="shared" si="1"/>
        <v>4.080849313239665E-2</v>
      </c>
      <c r="J5" s="74"/>
      <c r="K5" s="67">
        <f>H5-'Daily Data'!BJ153</f>
        <v>2.5300000000000003E-2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2.86E-2</v>
      </c>
      <c r="C7" s="55">
        <f t="shared" ref="C7:G7" si="4">((1+$I7)^(C2/365)-1)*365/C2</f>
        <v>2.7313276259254522E-2</v>
      </c>
      <c r="D7" s="55">
        <v>0.03</v>
      </c>
      <c r="E7" s="55">
        <f t="shared" si="4"/>
        <v>2.7360322962594403E-2</v>
      </c>
      <c r="F7" s="55">
        <f t="shared" si="4"/>
        <v>2.7391063801394545E-2</v>
      </c>
      <c r="G7" s="55">
        <f t="shared" si="4"/>
        <v>2.7483562888867545E-2</v>
      </c>
      <c r="H7" s="56">
        <v>2.7300000000000001E-2</v>
      </c>
      <c r="I7" s="73">
        <f t="shared" si="1"/>
        <v>2.7675010192383942E-2</v>
      </c>
      <c r="J7" s="74"/>
      <c r="K7" s="67">
        <f>H7-1.06%</f>
        <v>1.67E-2</v>
      </c>
    </row>
    <row r="8" spans="1:11" ht="23.15" customHeight="1" x14ac:dyDescent="0.4">
      <c r="A8" s="50" t="s">
        <v>57</v>
      </c>
      <c r="B8" s="51">
        <f>((1+$I8)^(B2/365)-1)*365/B2</f>
        <v>3.8812375671868189E-2</v>
      </c>
      <c r="C8" s="51">
        <f t="shared" ref="C8:G8" si="5">((1+$I8)^(C2/365)-1)*365/C2</f>
        <v>3.8826820608222859E-2</v>
      </c>
      <c r="D8" s="51">
        <f t="shared" si="5"/>
        <v>3.8859864528720513E-2</v>
      </c>
      <c r="E8" s="51">
        <f t="shared" si="5"/>
        <v>3.8921922983701972E-2</v>
      </c>
      <c r="F8" s="51">
        <f t="shared" si="5"/>
        <v>3.8984113580225445E-2</v>
      </c>
      <c r="G8" s="51">
        <f t="shared" si="5"/>
        <v>3.9171481388509101E-2</v>
      </c>
      <c r="H8" s="52">
        <v>3.8800000000000001E-2</v>
      </c>
      <c r="I8" s="73">
        <f t="shared" si="1"/>
        <v>3.9560406667257908E-2</v>
      </c>
      <c r="J8" s="74"/>
      <c r="K8" s="67">
        <f>H8-'Daily Data'!H153</f>
        <v>2.3E-2</v>
      </c>
    </row>
    <row r="9" spans="1:11" ht="23.15" customHeight="1" x14ac:dyDescent="0.5">
      <c r="A9" s="50" t="s">
        <v>56</v>
      </c>
      <c r="B9" s="55">
        <f>((1+$I9)^(B2/365)-1)*365/B2</f>
        <v>4.0113218940828678E-2</v>
      </c>
      <c r="C9" s="55">
        <f t="shared" ref="C9:G9" si="6">((1+$I9)^(C2/365)-1)*365/C2</f>
        <v>4.0128648382387055E-2</v>
      </c>
      <c r="D9" s="55">
        <f t="shared" si="6"/>
        <v>4.0163945399559919E-2</v>
      </c>
      <c r="E9" s="55">
        <f t="shared" si="6"/>
        <v>4.0230238927370383E-2</v>
      </c>
      <c r="F9" s="55">
        <f t="shared" si="6"/>
        <v>4.0296678351598655E-2</v>
      </c>
      <c r="G9" s="55">
        <f t="shared" si="6"/>
        <v>4.0496875619757178E-2</v>
      </c>
      <c r="H9" s="52">
        <v>4.0099999999999997E-2</v>
      </c>
      <c r="I9" s="73">
        <f t="shared" si="1"/>
        <v>4.0912567765710728E-2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34" priority="13">
      <formula>_xlfn.ISFORMULA(A3)</formula>
    </cfRule>
    <cfRule type="expression" priority="14">
      <formula>_xlfn.ISFORMULA(A3)</formula>
    </cfRule>
  </conditionalFormatting>
  <conditionalFormatting sqref="A1:J2">
    <cfRule type="expression" dxfId="33" priority="9">
      <formula>_xlfn.ISFORMULA(A1)</formula>
    </cfRule>
    <cfRule type="expression" priority="10">
      <formula>_xlfn.ISFORMULA(A1)</formula>
    </cfRule>
  </conditionalFormatting>
  <conditionalFormatting sqref="B3:H9">
    <cfRule type="expression" dxfId="32" priority="1">
      <formula>_xlfn.ISFORMULA(B3)</formula>
    </cfRule>
    <cfRule type="expression" priority="2">
      <formula>_xlfn.ISFORMULA(B3)</formula>
    </cfRule>
  </conditionalFormatting>
  <conditionalFormatting sqref="J3:J9 I3:I10 B10:F10">
    <cfRule type="expression" dxfId="31" priority="11">
      <formula>_xlfn.ISFORMULA(B3)</formula>
    </cfRule>
    <cfRule type="expression" priority="12">
      <formula>_xlfn.ISFORMULA(B3)</formula>
    </cfRule>
  </conditionalFormatting>
  <pageMargins left="0.7" right="0.7" top="0.75" bottom="0.75" header="0.3" footer="0.3"/>
  <legacy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35220-38E4-43AA-B328-6DA37675E6FE}">
  <dimension ref="A1:K10"/>
  <sheetViews>
    <sheetView zoomScale="60" zoomScaleNormal="60" workbookViewId="0">
      <selection activeCell="B4" sqref="B4:H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46241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3.6999999999999998E-2</v>
      </c>
      <c r="C3" s="54">
        <v>3.6900000000000002E-2</v>
      </c>
      <c r="D3" s="54">
        <v>4.5699999999999998E-2</v>
      </c>
      <c r="E3" s="54">
        <v>0.04</v>
      </c>
      <c r="F3" s="54">
        <v>4.41E-2</v>
      </c>
      <c r="G3" s="54">
        <v>4.9799999999999997E-2</v>
      </c>
      <c r="H3" s="52">
        <v>4.48E-2</v>
      </c>
      <c r="I3" s="73">
        <f>(1+H3/365)^365-1</f>
        <v>4.5815800152780639E-2</v>
      </c>
      <c r="J3" s="74"/>
      <c r="K3" s="67">
        <f>H3-'Daily Data'!AR153</f>
        <v>2.8399999999999998E-2</v>
      </c>
    </row>
    <row r="4" spans="1:11" ht="23.15" customHeight="1" x14ac:dyDescent="0.5">
      <c r="A4" s="50" t="s">
        <v>15</v>
      </c>
      <c r="B4" s="55">
        <f>((1+$I4)^(B2/365)-1)*365/B2</f>
        <v>2.8006444659502021E-2</v>
      </c>
      <c r="C4" s="55">
        <f t="shared" ref="C4:G4" si="0">((1+$I4)^(C2/365)-1)*365/C2</f>
        <v>2.8013965928817948E-2</v>
      </c>
      <c r="D4" s="55">
        <f t="shared" si="0"/>
        <v>2.8031167516386346E-2</v>
      </c>
      <c r="E4" s="55">
        <f t="shared" si="0"/>
        <v>2.8063458462371366E-2</v>
      </c>
      <c r="F4" s="55">
        <f t="shared" si="0"/>
        <v>2.8095799005777876E-2</v>
      </c>
      <c r="G4" s="55">
        <f t="shared" si="0"/>
        <v>2.8193119078325148E-2</v>
      </c>
      <c r="H4" s="56">
        <v>2.8000000000000001E-2</v>
      </c>
      <c r="I4" s="73">
        <f t="shared" ref="I4:I9" si="1">(1+H4/365)^365-1</f>
        <v>2.8394580009664327E-2</v>
      </c>
      <c r="J4" s="74"/>
      <c r="K4" s="67">
        <f>H4-'Daily Data'!Z153</f>
        <v>8.6999999999999994E-3</v>
      </c>
    </row>
    <row r="5" spans="1:11" ht="23.15" customHeight="1" x14ac:dyDescent="0.5">
      <c r="A5" s="50" t="s">
        <v>17</v>
      </c>
      <c r="B5" s="55">
        <v>5.0299999999999997E-2</v>
      </c>
      <c r="C5" s="55">
        <f t="shared" ref="C5:G5" si="2">((1+$I5)^(C2/365)-1)*365/C2</f>
        <v>4.0929803123583457E-2</v>
      </c>
      <c r="D5" s="55">
        <v>6.0400000000000002E-2</v>
      </c>
      <c r="E5" s="55">
        <f t="shared" si="2"/>
        <v>4.1035493076274597E-2</v>
      </c>
      <c r="F5" s="55">
        <f t="shared" si="2"/>
        <v>4.1104617321895423E-2</v>
      </c>
      <c r="G5" s="55">
        <f t="shared" si="2"/>
        <v>4.1312922884725982E-2</v>
      </c>
      <c r="H5" s="56">
        <v>4.0899999999999999E-2</v>
      </c>
      <c r="I5" s="73">
        <f t="shared" si="1"/>
        <v>4.1745538538283444E-2</v>
      </c>
      <c r="J5" s="74"/>
      <c r="K5" s="67">
        <f>H5-'Daily Data'!BJ153</f>
        <v>2.6200000000000001E-2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2.81E-2</v>
      </c>
      <c r="C7" s="55">
        <f t="shared" ref="C7:G7" si="4">((1+$I7)^(C2/365)-1)*365/C2</f>
        <v>2.6712699016764634E-2</v>
      </c>
      <c r="D7" s="55">
        <v>2.9399999999999999E-2</v>
      </c>
      <c r="E7" s="55">
        <f t="shared" si="4"/>
        <v>2.6757698706801596E-2</v>
      </c>
      <c r="F7" s="55">
        <f t="shared" si="4"/>
        <v>2.6787100779346665E-2</v>
      </c>
      <c r="G7" s="55">
        <f t="shared" si="4"/>
        <v>2.6875565695969501E-2</v>
      </c>
      <c r="H7" s="56">
        <v>2.6700000000000002E-2</v>
      </c>
      <c r="I7" s="73">
        <f t="shared" si="1"/>
        <v>2.7058635711906476E-2</v>
      </c>
      <c r="J7" s="74"/>
      <c r="K7" s="67">
        <f>H7-1.06%</f>
        <v>1.6100000000000003E-2</v>
      </c>
    </row>
    <row r="8" spans="1:11" ht="23.15" customHeight="1" x14ac:dyDescent="0.4">
      <c r="A8" s="50" t="s">
        <v>57</v>
      </c>
      <c r="B8" s="51">
        <f>((1+$I8)^(B2/365)-1)*365/B2</f>
        <v>4.031335114159397E-2</v>
      </c>
      <c r="C8" s="51">
        <f t="shared" ref="C8:G8" si="5">((1+$I8)^(C2/365)-1)*365/C2</f>
        <v>4.0328934927845804E-2</v>
      </c>
      <c r="D8" s="51">
        <f t="shared" si="5"/>
        <v>4.036458518001762E-2</v>
      </c>
      <c r="E8" s="51">
        <f t="shared" si="5"/>
        <v>4.0431542703446198E-2</v>
      </c>
      <c r="F8" s="51">
        <f t="shared" si="5"/>
        <v>4.0498648320718415E-2</v>
      </c>
      <c r="G8" s="51">
        <f t="shared" si="5"/>
        <v>4.0700857425407182E-2</v>
      </c>
      <c r="H8" s="52">
        <v>4.0300000000000002E-2</v>
      </c>
      <c r="I8" s="73">
        <f t="shared" si="1"/>
        <v>4.1120748168237853E-2</v>
      </c>
      <c r="J8" s="74"/>
      <c r="K8" s="67">
        <f>H8-'Daily Data'!H153</f>
        <v>2.4500000000000001E-2</v>
      </c>
    </row>
    <row r="9" spans="1:11" ht="23.15" customHeight="1" x14ac:dyDescent="0.5">
      <c r="A9" s="50" t="s">
        <v>56</v>
      </c>
      <c r="B9" s="55">
        <f>((1+$I9)^(B2/365)-1)*365/B2</f>
        <v>4.1013819025260211E-2</v>
      </c>
      <c r="C9" s="55">
        <f t="shared" ref="C9:G9" si="6">((1+$I9)^(C2/365)-1)*365/C2</f>
        <v>4.1029949071097707E-2</v>
      </c>
      <c r="D9" s="55">
        <f t="shared" si="6"/>
        <v>4.1066849516847803E-2</v>
      </c>
      <c r="E9" s="55">
        <f t="shared" si="6"/>
        <v>4.113615716599487E-2</v>
      </c>
      <c r="F9" s="55">
        <f t="shared" si="6"/>
        <v>4.1205620773869758E-2</v>
      </c>
      <c r="G9" s="55">
        <f t="shared" si="6"/>
        <v>4.1414951303325058E-2</v>
      </c>
      <c r="H9" s="52">
        <v>4.1000000000000002E-2</v>
      </c>
      <c r="I9" s="73">
        <f t="shared" si="1"/>
        <v>4.1849706613630966E-2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30" priority="9">
      <formula>_xlfn.ISFORMULA(A3)</formula>
    </cfRule>
    <cfRule type="expression" priority="10">
      <formula>_xlfn.ISFORMULA(A3)</formula>
    </cfRule>
  </conditionalFormatting>
  <conditionalFormatting sqref="A1:J2">
    <cfRule type="expression" dxfId="29" priority="5">
      <formula>_xlfn.ISFORMULA(A1)</formula>
    </cfRule>
    <cfRule type="expression" priority="6">
      <formula>_xlfn.ISFORMULA(A1)</formula>
    </cfRule>
  </conditionalFormatting>
  <conditionalFormatting sqref="B3:H9">
    <cfRule type="expression" dxfId="28" priority="1">
      <formula>_xlfn.ISFORMULA(B3)</formula>
    </cfRule>
    <cfRule type="expression" priority="2">
      <formula>_xlfn.ISFORMULA(B3)</formula>
    </cfRule>
  </conditionalFormatting>
  <conditionalFormatting sqref="J3:J9 I3:I10 B10:F10">
    <cfRule type="expression" dxfId="27" priority="7">
      <formula>_xlfn.ISFORMULA(B3)</formula>
    </cfRule>
    <cfRule type="expression" priority="8">
      <formula>_xlfn.ISFORMULA(B3)</formula>
    </cfRule>
  </conditionalFormatting>
  <pageMargins left="0.7" right="0.7" top="0.75" bottom="0.75" header="0.3" footer="0.3"/>
  <legacy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509B4-A0CA-4672-9A69-393223917BD2}">
  <dimension ref="A1:K10"/>
  <sheetViews>
    <sheetView zoomScale="60" zoomScaleNormal="60" workbookViewId="0">
      <selection activeCell="B9" sqref="B9:G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46242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3.6999999999999998E-2</v>
      </c>
      <c r="C3" s="54">
        <v>3.6900000000000002E-2</v>
      </c>
      <c r="D3" s="54">
        <v>4.5699999999999998E-2</v>
      </c>
      <c r="E3" s="54">
        <v>0.04</v>
      </c>
      <c r="F3" s="54">
        <v>4.41E-2</v>
      </c>
      <c r="G3" s="54">
        <v>4.9799999999999997E-2</v>
      </c>
      <c r="H3" s="52">
        <v>4.48E-2</v>
      </c>
      <c r="I3" s="73">
        <f>(1+H3/365)^365-1</f>
        <v>4.5815800152780639E-2</v>
      </c>
      <c r="J3" s="74"/>
      <c r="K3" s="67">
        <f>H3-'Daily Data'!AR153</f>
        <v>2.8399999999999998E-2</v>
      </c>
    </row>
    <row r="4" spans="1:11" ht="23.15" customHeight="1" x14ac:dyDescent="0.5">
      <c r="A4" s="50" t="s">
        <v>15</v>
      </c>
      <c r="B4" s="55">
        <f>((1+$I4)^(B2/365)-1)*365/B2</f>
        <v>2.8006444659502021E-2</v>
      </c>
      <c r="C4" s="55">
        <f t="shared" ref="C4:G4" si="0">((1+$I4)^(C2/365)-1)*365/C2</f>
        <v>2.8013965928817948E-2</v>
      </c>
      <c r="D4" s="55">
        <f t="shared" si="0"/>
        <v>2.8031167516386346E-2</v>
      </c>
      <c r="E4" s="55">
        <f t="shared" si="0"/>
        <v>2.8063458462371366E-2</v>
      </c>
      <c r="F4" s="55">
        <f t="shared" si="0"/>
        <v>2.8095799005777876E-2</v>
      </c>
      <c r="G4" s="55">
        <f t="shared" si="0"/>
        <v>2.8193119078325148E-2</v>
      </c>
      <c r="H4" s="56">
        <v>2.8000000000000001E-2</v>
      </c>
      <c r="I4" s="73">
        <f t="shared" ref="I4:I9" si="1">(1+H4/365)^365-1</f>
        <v>2.8394580009664327E-2</v>
      </c>
      <c r="J4" s="74"/>
      <c r="K4" s="67">
        <f>H4-'Daily Data'!Z153</f>
        <v>8.6999999999999994E-3</v>
      </c>
    </row>
    <row r="5" spans="1:11" ht="23.15" customHeight="1" x14ac:dyDescent="0.5">
      <c r="A5" s="50" t="s">
        <v>17</v>
      </c>
      <c r="B5" s="55">
        <v>5.0299999999999997E-2</v>
      </c>
      <c r="C5" s="55">
        <f t="shared" ref="C5:G5" si="2">((1+$I5)^(C2/365)-1)*365/C2</f>
        <v>4.1931278648089418E-2</v>
      </c>
      <c r="D5" s="55">
        <v>6.0400000000000002E-2</v>
      </c>
      <c r="E5" s="55">
        <f t="shared" si="2"/>
        <v>4.2042207191949066E-2</v>
      </c>
      <c r="F5" s="55">
        <f t="shared" si="2"/>
        <v>4.2114762664961662E-2</v>
      </c>
      <c r="G5" s="55">
        <f t="shared" si="2"/>
        <v>4.2333432241796282E-2</v>
      </c>
      <c r="H5" s="56">
        <v>4.19E-2</v>
      </c>
      <c r="I5" s="73">
        <f t="shared" si="1"/>
        <v>4.2787686858843488E-2</v>
      </c>
      <c r="J5" s="74"/>
      <c r="K5" s="67">
        <f>H5-'Daily Data'!BJ153</f>
        <v>2.7200000000000002E-2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2.81E-2</v>
      </c>
      <c r="C7" s="55">
        <f t="shared" ref="C7:G7" si="4">((1+$I7)^(C2/365)-1)*365/C2</f>
        <v>2.6712699016764634E-2</v>
      </c>
      <c r="D7" s="55">
        <v>2.9399999999999999E-2</v>
      </c>
      <c r="E7" s="55">
        <f t="shared" si="4"/>
        <v>2.6757698706801596E-2</v>
      </c>
      <c r="F7" s="55">
        <f t="shared" si="4"/>
        <v>2.6787100779346665E-2</v>
      </c>
      <c r="G7" s="55">
        <f t="shared" si="4"/>
        <v>2.6875565695969501E-2</v>
      </c>
      <c r="H7" s="56">
        <v>2.6700000000000002E-2</v>
      </c>
      <c r="I7" s="73">
        <f t="shared" si="1"/>
        <v>2.7058635711906476E-2</v>
      </c>
      <c r="J7" s="74"/>
      <c r="K7" s="67">
        <f>H7-1.06%</f>
        <v>1.6100000000000003E-2</v>
      </c>
    </row>
    <row r="8" spans="1:11" ht="23.15" customHeight="1" x14ac:dyDescent="0.4">
      <c r="A8" s="50" t="s">
        <v>57</v>
      </c>
      <c r="B8" s="51">
        <f>((1+$I8)^(B2/365)-1)*365/B2</f>
        <v>4.0813684521854299E-2</v>
      </c>
      <c r="C8" s="51">
        <f t="shared" ref="C8:G8" si="5">((1+$I8)^(C2/365)-1)*365/C2</f>
        <v>4.0829657532690203E-2</v>
      </c>
      <c r="D8" s="51">
        <f t="shared" si="5"/>
        <v>4.0866198578456858E-2</v>
      </c>
      <c r="E8" s="51">
        <f t="shared" si="5"/>
        <v>4.093483061350843E-2</v>
      </c>
      <c r="F8" s="51">
        <f t="shared" si="5"/>
        <v>4.1003616332415969E-2</v>
      </c>
      <c r="G8" s="51">
        <f t="shared" si="5"/>
        <v>4.1210899469005316E-2</v>
      </c>
      <c r="H8" s="52">
        <v>4.0800000000000003E-2</v>
      </c>
      <c r="I8" s="73">
        <f t="shared" si="1"/>
        <v>4.1641380849498866E-2</v>
      </c>
      <c r="J8" s="74"/>
      <c r="K8" s="67">
        <f>H8-'Daily Data'!H153</f>
        <v>2.5000000000000001E-2</v>
      </c>
    </row>
    <row r="9" spans="1:11" ht="23.15" customHeight="1" x14ac:dyDescent="0.5">
      <c r="A9" s="50" t="s">
        <v>56</v>
      </c>
      <c r="B9" s="55">
        <f>((1+$I9)^(B2/365)-1)*365/B2</f>
        <v>4.1414090005873164E-2</v>
      </c>
      <c r="C9" s="55">
        <f t="shared" ref="C9:G9" si="6">((1+$I9)^(C2/365)-1)*365/C2</f>
        <v>4.1430536427735247E-2</v>
      </c>
      <c r="D9" s="55">
        <f t="shared" si="6"/>
        <v>4.1468160958033663E-2</v>
      </c>
      <c r="E9" s="55">
        <f t="shared" si="6"/>
        <v>4.1538829795291013E-2</v>
      </c>
      <c r="F9" s="55">
        <f t="shared" si="6"/>
        <v>4.1609659208258577E-2</v>
      </c>
      <c r="G9" s="55">
        <f t="shared" si="6"/>
        <v>4.1823115011749498E-2</v>
      </c>
      <c r="H9" s="52">
        <v>4.1399999999999999E-2</v>
      </c>
      <c r="I9" s="73">
        <f t="shared" si="1"/>
        <v>4.2266482801674554E-2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26" priority="9">
      <formula>_xlfn.ISFORMULA(A3)</formula>
    </cfRule>
    <cfRule type="expression" priority="10">
      <formula>_xlfn.ISFORMULA(A3)</formula>
    </cfRule>
  </conditionalFormatting>
  <conditionalFormatting sqref="A1:J2">
    <cfRule type="expression" dxfId="25" priority="5">
      <formula>_xlfn.ISFORMULA(A1)</formula>
    </cfRule>
    <cfRule type="expression" priority="6">
      <formula>_xlfn.ISFORMULA(A1)</formula>
    </cfRule>
  </conditionalFormatting>
  <conditionalFormatting sqref="B3:H9">
    <cfRule type="expression" dxfId="24" priority="1">
      <formula>_xlfn.ISFORMULA(B3)</formula>
    </cfRule>
    <cfRule type="expression" priority="2">
      <formula>_xlfn.ISFORMULA(B3)</formula>
    </cfRule>
  </conditionalFormatting>
  <conditionalFormatting sqref="J3:J9 I3:I10 B10:F10">
    <cfRule type="expression" dxfId="23" priority="7">
      <formula>_xlfn.ISFORMULA(B3)</formula>
    </cfRule>
    <cfRule type="expression" priority="8">
      <formula>_xlfn.ISFORMULA(B3)</formula>
    </cfRule>
  </conditionalFormatting>
  <pageMargins left="0.7" right="0.7" top="0.75" bottom="0.75" header="0.3" footer="0.3"/>
  <legacy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5FFC0-2C48-4D25-9817-3CA93E501EC9}">
  <dimension ref="A1:K10"/>
  <sheetViews>
    <sheetView zoomScale="70" zoomScaleNormal="70" workbookViewId="0">
      <selection activeCell="B3" sqref="B3:H3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46243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3.6999999999999998E-2</v>
      </c>
      <c r="C3" s="54">
        <v>3.6900000000000002E-2</v>
      </c>
      <c r="D3" s="54">
        <v>4.5699999999999998E-2</v>
      </c>
      <c r="E3" s="54">
        <v>0.04</v>
      </c>
      <c r="F3" s="54">
        <v>4.41E-2</v>
      </c>
      <c r="G3" s="54">
        <v>4.9799999999999997E-2</v>
      </c>
      <c r="H3" s="52">
        <v>4.48E-2</v>
      </c>
      <c r="I3" s="73">
        <f>(1+H3/365)^365-1</f>
        <v>4.5815800152780639E-2</v>
      </c>
      <c r="J3" s="74"/>
      <c r="K3" s="67">
        <f>H3-'Daily Data'!AR153</f>
        <v>2.8399999999999998E-2</v>
      </c>
    </row>
    <row r="4" spans="1:11" ht="23.15" customHeight="1" x14ac:dyDescent="0.5">
      <c r="A4" s="50" t="s">
        <v>15</v>
      </c>
      <c r="B4" s="55">
        <f>((1+$I4)^(B2/365)-1)*365/B2</f>
        <v>2.8006444659502021E-2</v>
      </c>
      <c r="C4" s="55">
        <f t="shared" ref="C4:G4" si="0">((1+$I4)^(C2/365)-1)*365/C2</f>
        <v>2.8013965928817948E-2</v>
      </c>
      <c r="D4" s="55">
        <f t="shared" si="0"/>
        <v>2.8031167516386346E-2</v>
      </c>
      <c r="E4" s="55">
        <f t="shared" si="0"/>
        <v>2.8063458462371366E-2</v>
      </c>
      <c r="F4" s="55">
        <f t="shared" si="0"/>
        <v>2.8095799005777876E-2</v>
      </c>
      <c r="G4" s="55">
        <f t="shared" si="0"/>
        <v>2.8193119078325148E-2</v>
      </c>
      <c r="H4" s="56">
        <v>2.8000000000000001E-2</v>
      </c>
      <c r="I4" s="73">
        <f t="shared" ref="I4:I9" si="1">(1+H4/365)^365-1</f>
        <v>2.8394580009664327E-2</v>
      </c>
      <c r="J4" s="74"/>
      <c r="K4" s="67">
        <f>H4-'Daily Data'!Z153</f>
        <v>8.6999999999999994E-3</v>
      </c>
    </row>
    <row r="5" spans="1:11" ht="23.15" customHeight="1" x14ac:dyDescent="0.5">
      <c r="A5" s="50" t="s">
        <v>17</v>
      </c>
      <c r="B5" s="55">
        <v>5.0299999999999997E-2</v>
      </c>
      <c r="C5" s="55">
        <f t="shared" ref="C5:G5" si="2">((1+$I5)^(C2/365)-1)*365/C2</f>
        <v>4.1931278648089418E-2</v>
      </c>
      <c r="D5" s="55">
        <v>6.0400000000000002E-2</v>
      </c>
      <c r="E5" s="55">
        <f t="shared" si="2"/>
        <v>4.2042207191949066E-2</v>
      </c>
      <c r="F5" s="55">
        <f t="shared" si="2"/>
        <v>4.2114762664961662E-2</v>
      </c>
      <c r="G5" s="55">
        <f t="shared" si="2"/>
        <v>4.2333432241796282E-2</v>
      </c>
      <c r="H5" s="56">
        <v>4.19E-2</v>
      </c>
      <c r="I5" s="73">
        <f t="shared" si="1"/>
        <v>4.2787686858843488E-2</v>
      </c>
      <c r="J5" s="74"/>
      <c r="K5" s="67">
        <f>H5-'Daily Data'!BJ153</f>
        <v>2.7200000000000002E-2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2.81E-2</v>
      </c>
      <c r="C7" s="55">
        <f t="shared" ref="C7:G7" si="4">((1+$I7)^(C2/365)-1)*365/C2</f>
        <v>2.6712699016764634E-2</v>
      </c>
      <c r="D7" s="55">
        <v>2.9399999999999999E-2</v>
      </c>
      <c r="E7" s="55">
        <f t="shared" si="4"/>
        <v>2.6757698706801596E-2</v>
      </c>
      <c r="F7" s="55">
        <f t="shared" si="4"/>
        <v>2.6787100779346665E-2</v>
      </c>
      <c r="G7" s="55">
        <f t="shared" si="4"/>
        <v>2.6875565695969501E-2</v>
      </c>
      <c r="H7" s="56">
        <v>2.6700000000000002E-2</v>
      </c>
      <c r="I7" s="73">
        <f t="shared" si="1"/>
        <v>2.7058635711906476E-2</v>
      </c>
      <c r="J7" s="74"/>
      <c r="K7" s="67">
        <f>H7-1.06%</f>
        <v>1.6100000000000003E-2</v>
      </c>
    </row>
    <row r="8" spans="1:11" ht="23.15" customHeight="1" x14ac:dyDescent="0.4">
      <c r="A8" s="50" t="s">
        <v>57</v>
      </c>
      <c r="B8" s="51">
        <f>((1+$I8)^(B2/365)-1)*365/B2</f>
        <v>4.0913751691330012E-2</v>
      </c>
      <c r="C8" s="51">
        <f t="shared" ref="C8:G8" si="5">((1+$I8)^(C2/365)-1)*365/C2</f>
        <v>4.0929803123583457E-2</v>
      </c>
      <c r="D8" s="51">
        <f t="shared" si="5"/>
        <v>4.0966523649155873E-2</v>
      </c>
      <c r="E8" s="51">
        <f t="shared" si="5"/>
        <v>4.1035493076274597E-2</v>
      </c>
      <c r="F8" s="51">
        <f t="shared" si="5"/>
        <v>4.1104617321895423E-2</v>
      </c>
      <c r="G8" s="51">
        <f t="shared" si="5"/>
        <v>4.1312922884725982E-2</v>
      </c>
      <c r="H8" s="52">
        <v>4.0899999999999999E-2</v>
      </c>
      <c r="I8" s="73">
        <f t="shared" si="1"/>
        <v>4.1745538538283444E-2</v>
      </c>
      <c r="J8" s="74"/>
      <c r="K8" s="67">
        <f>H8-'Daily Data'!H153</f>
        <v>2.5099999999999997E-2</v>
      </c>
    </row>
    <row r="9" spans="1:11" ht="23.15" customHeight="1" x14ac:dyDescent="0.5">
      <c r="A9" s="50" t="s">
        <v>56</v>
      </c>
      <c r="B9" s="55">
        <f>((1+$I9)^(B2/365)-1)*365/B2</f>
        <v>4.1614226482987578E-2</v>
      </c>
      <c r="C9" s="55">
        <f t="shared" ref="C9:G9" si="6">((1+$I9)^(C2/365)-1)*365/C2</f>
        <v>4.1630832245890023E-2</v>
      </c>
      <c r="D9" s="55">
        <f t="shared" si="6"/>
        <v>4.1668821460839389E-2</v>
      </c>
      <c r="E9" s="55">
        <f t="shared" si="6"/>
        <v>4.1740175872424894E-2</v>
      </c>
      <c r="F9" s="55">
        <f t="shared" si="6"/>
        <v>4.1811693202051796E-2</v>
      </c>
      <c r="G9" s="55">
        <f t="shared" si="6"/>
        <v>4.2027226889665169E-2</v>
      </c>
      <c r="H9" s="52">
        <v>4.1599999999999998E-2</v>
      </c>
      <c r="I9" s="73">
        <f t="shared" si="1"/>
        <v>4.2474933242022228E-2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22" priority="19">
      <formula>_xlfn.ISFORMULA(A3)</formula>
    </cfRule>
    <cfRule type="expression" priority="20">
      <formula>_xlfn.ISFORMULA(A3)</formula>
    </cfRule>
  </conditionalFormatting>
  <conditionalFormatting sqref="A1:J2">
    <cfRule type="expression" dxfId="21" priority="15">
      <formula>_xlfn.ISFORMULA(A1)</formula>
    </cfRule>
    <cfRule type="expression" priority="16">
      <formula>_xlfn.ISFORMULA(A1)</formula>
    </cfRule>
  </conditionalFormatting>
  <conditionalFormatting sqref="B3:H9">
    <cfRule type="expression" dxfId="20" priority="1">
      <formula>_xlfn.ISFORMULA(B3)</formula>
    </cfRule>
    <cfRule type="expression" priority="2">
      <formula>_xlfn.ISFORMULA(B3)</formula>
    </cfRule>
  </conditionalFormatting>
  <conditionalFormatting sqref="J3:J9 I3:I10 B10:F10">
    <cfRule type="expression" dxfId="19" priority="17">
      <formula>_xlfn.ISFORMULA(B3)</formula>
    </cfRule>
    <cfRule type="expression" priority="18">
      <formula>_xlfn.ISFORMULA(B3)</formula>
    </cfRule>
  </conditionalFormatting>
  <pageMargins left="0.7" right="0.7" top="0.75" bottom="0.75" header="0.3" footer="0.3"/>
  <legacy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88C16-F34E-4CFA-90A1-37E6F6AF1694}">
  <dimension ref="A1:K10"/>
  <sheetViews>
    <sheetView zoomScale="70" zoomScaleNormal="70" workbookViewId="0">
      <selection activeCell="B4" sqref="B4:G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46244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3.6999999999999998E-2</v>
      </c>
      <c r="C3" s="54">
        <v>3.6900000000000002E-2</v>
      </c>
      <c r="D3" s="54">
        <v>4.5699999999999998E-2</v>
      </c>
      <c r="E3" s="54">
        <v>0.04</v>
      </c>
      <c r="F3" s="54">
        <v>4.41E-2</v>
      </c>
      <c r="G3" s="54">
        <v>4.9799999999999997E-2</v>
      </c>
      <c r="H3" s="52">
        <v>4.48E-2</v>
      </c>
      <c r="I3" s="73">
        <f>(1+H3/365)^365-1</f>
        <v>4.5815800152780639E-2</v>
      </c>
      <c r="J3" s="74"/>
      <c r="K3" s="67">
        <f>H3-'Daily Data'!AR153</f>
        <v>2.8399999999999998E-2</v>
      </c>
    </row>
    <row r="4" spans="1:11" ht="23.15" customHeight="1" x14ac:dyDescent="0.5">
      <c r="A4" s="50" t="s">
        <v>15</v>
      </c>
      <c r="B4" s="55">
        <f>((1+$I4)^(B2/365)-1)*365/B2</f>
        <v>2.8006444659502021E-2</v>
      </c>
      <c r="C4" s="55">
        <f t="shared" ref="C4:G4" si="0">((1+$I4)^(C2/365)-1)*365/C2</f>
        <v>2.8013965928817948E-2</v>
      </c>
      <c r="D4" s="55">
        <f t="shared" si="0"/>
        <v>2.8031167516386346E-2</v>
      </c>
      <c r="E4" s="55">
        <f t="shared" si="0"/>
        <v>2.8063458462371366E-2</v>
      </c>
      <c r="F4" s="55">
        <f t="shared" si="0"/>
        <v>2.8095799005777876E-2</v>
      </c>
      <c r="G4" s="55">
        <f t="shared" si="0"/>
        <v>2.8193119078325148E-2</v>
      </c>
      <c r="H4" s="56">
        <v>2.8000000000000001E-2</v>
      </c>
      <c r="I4" s="73">
        <f t="shared" ref="I4:I9" si="1">(1+H4/365)^365-1</f>
        <v>2.8394580009664327E-2</v>
      </c>
      <c r="J4" s="74"/>
      <c r="K4" s="67">
        <f>H4-'Daily Data'!Z153</f>
        <v>8.6999999999999994E-3</v>
      </c>
    </row>
    <row r="5" spans="1:11" ht="23.15" customHeight="1" x14ac:dyDescent="0.5">
      <c r="A5" s="50" t="s">
        <v>17</v>
      </c>
      <c r="B5" s="55">
        <v>5.0299999999999997E-2</v>
      </c>
      <c r="C5" s="55">
        <f t="shared" ref="C5:G5" si="2">((1+$I5)^(C2/365)-1)*365/C2</f>
        <v>4.2131578032795769E-2</v>
      </c>
      <c r="D5" s="55">
        <v>6.0400000000000002E-2</v>
      </c>
      <c r="E5" s="55">
        <f t="shared" si="2"/>
        <v>4.2243569541063529E-2</v>
      </c>
      <c r="F5" s="55">
        <f t="shared" si="2"/>
        <v>4.2316821288990662E-2</v>
      </c>
      <c r="G5" s="55">
        <f t="shared" si="2"/>
        <v>4.2537594169484265E-2</v>
      </c>
      <c r="H5" s="56">
        <v>4.2099999999999999E-2</v>
      </c>
      <c r="I5" s="73">
        <f t="shared" si="1"/>
        <v>4.2996241252897249E-2</v>
      </c>
      <c r="J5" s="74"/>
      <c r="K5" s="67">
        <f>H5-'Daily Data'!BJ153</f>
        <v>2.7400000000000001E-2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2.81E-2</v>
      </c>
      <c r="C7" s="55">
        <f t="shared" ref="C7:G7" si="4">((1+$I7)^(C2/365)-1)*365/C2</f>
        <v>2.6712699016764634E-2</v>
      </c>
      <c r="D7" s="55">
        <v>2.9399999999999999E-2</v>
      </c>
      <c r="E7" s="55">
        <f t="shared" si="4"/>
        <v>2.6757698706801596E-2</v>
      </c>
      <c r="F7" s="55">
        <f t="shared" si="4"/>
        <v>2.6787100779346665E-2</v>
      </c>
      <c r="G7" s="55">
        <f t="shared" si="4"/>
        <v>2.6875565695969501E-2</v>
      </c>
      <c r="H7" s="56">
        <v>2.6700000000000002E-2</v>
      </c>
      <c r="I7" s="73">
        <f t="shared" si="1"/>
        <v>2.7058635711906476E-2</v>
      </c>
      <c r="J7" s="74"/>
      <c r="K7" s="67">
        <f>H7-1.06%</f>
        <v>1.6100000000000003E-2</v>
      </c>
    </row>
    <row r="8" spans="1:11" ht="23.15" customHeight="1" x14ac:dyDescent="0.4">
      <c r="A8" s="50" t="s">
        <v>57</v>
      </c>
      <c r="B8" s="51">
        <f>((1+$I8)^(B2/365)-1)*365/B2</f>
        <v>4.1013819025260211E-2</v>
      </c>
      <c r="C8" s="51">
        <f t="shared" ref="C8:G8" si="5">((1+$I8)^(C2/365)-1)*365/C2</f>
        <v>4.1029949071097707E-2</v>
      </c>
      <c r="D8" s="51">
        <f t="shared" si="5"/>
        <v>4.1066849516847803E-2</v>
      </c>
      <c r="E8" s="51">
        <f t="shared" si="5"/>
        <v>4.113615716599487E-2</v>
      </c>
      <c r="F8" s="51">
        <f t="shared" si="5"/>
        <v>4.1205620773869758E-2</v>
      </c>
      <c r="G8" s="51">
        <f t="shared" si="5"/>
        <v>4.1414951303325058E-2</v>
      </c>
      <c r="H8" s="52">
        <v>4.1000000000000002E-2</v>
      </c>
      <c r="I8" s="73">
        <f t="shared" si="1"/>
        <v>4.1849706613630966E-2</v>
      </c>
      <c r="J8" s="74"/>
      <c r="K8" s="67">
        <f>H8-'Daily Data'!H153</f>
        <v>2.52E-2</v>
      </c>
    </row>
    <row r="9" spans="1:11" ht="23.15" customHeight="1" x14ac:dyDescent="0.5">
      <c r="A9" s="50" t="s">
        <v>56</v>
      </c>
      <c r="B9" s="55">
        <f>((1+$I9)^(B2/365)-1)*365/B2</f>
        <v>4.1614226482987578E-2</v>
      </c>
      <c r="C9" s="55">
        <f t="shared" ref="C9:G9" si="6">((1+$I9)^(C2/365)-1)*365/C2</f>
        <v>4.1630832245890023E-2</v>
      </c>
      <c r="D9" s="55">
        <f t="shared" si="6"/>
        <v>4.1668821460839389E-2</v>
      </c>
      <c r="E9" s="55">
        <f t="shared" si="6"/>
        <v>4.1740175872424894E-2</v>
      </c>
      <c r="F9" s="55">
        <f t="shared" si="6"/>
        <v>4.1811693202051796E-2</v>
      </c>
      <c r="G9" s="55">
        <f t="shared" si="6"/>
        <v>4.2027226889665169E-2</v>
      </c>
      <c r="H9" s="52">
        <v>4.1599999999999998E-2</v>
      </c>
      <c r="I9" s="73">
        <f t="shared" si="1"/>
        <v>4.2474933242022228E-2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18" priority="21">
      <formula>_xlfn.ISFORMULA(A3)</formula>
    </cfRule>
    <cfRule type="expression" priority="22">
      <formula>_xlfn.ISFORMULA(A3)</formula>
    </cfRule>
  </conditionalFormatting>
  <conditionalFormatting sqref="A1:J2">
    <cfRule type="expression" dxfId="17" priority="17">
      <formula>_xlfn.ISFORMULA(A1)</formula>
    </cfRule>
    <cfRule type="expression" priority="18">
      <formula>_xlfn.ISFORMULA(A1)</formula>
    </cfRule>
  </conditionalFormatting>
  <conditionalFormatting sqref="B3:H9">
    <cfRule type="expression" dxfId="16" priority="1">
      <formula>_xlfn.ISFORMULA(B3)</formula>
    </cfRule>
    <cfRule type="expression" priority="2">
      <formula>_xlfn.ISFORMULA(B3)</formula>
    </cfRule>
  </conditionalFormatting>
  <conditionalFormatting sqref="J3:J9 I3:I10 B10:F10">
    <cfRule type="expression" dxfId="15" priority="19">
      <formula>_xlfn.ISFORMULA(B3)</formula>
    </cfRule>
    <cfRule type="expression" priority="20">
      <formula>_xlfn.ISFORMULA(B3)</formula>
    </cfRule>
  </conditionalFormatting>
  <pageMargins left="0.7" right="0.7" top="0.75" bottom="0.75" header="0.3" footer="0.3"/>
  <legacy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18DAE-9AC8-46DA-9A70-1481A85364FA}">
  <dimension ref="A1:K10"/>
  <sheetViews>
    <sheetView zoomScale="80" zoomScaleNormal="80" workbookViewId="0">
      <selection activeCell="B9" sqref="B9:G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46245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3.7900000000000003E-2</v>
      </c>
      <c r="C3" s="54">
        <v>3.78E-2</v>
      </c>
      <c r="D3" s="54">
        <v>0.04</v>
      </c>
      <c r="E3" s="54">
        <v>0.05</v>
      </c>
      <c r="F3" s="54">
        <v>4.4699999999999997E-2</v>
      </c>
      <c r="G3" s="54">
        <v>4.9599999999999998E-2</v>
      </c>
      <c r="H3" s="52">
        <v>4.4600000000000001E-2</v>
      </c>
      <c r="I3" s="73">
        <f>(1+H3/365)^365-1</f>
        <v>4.5606683514678892E-2</v>
      </c>
      <c r="J3" s="74"/>
      <c r="K3" s="67">
        <f>H3-'Daily Data'!AR153</f>
        <v>2.8199999999999999E-2</v>
      </c>
    </row>
    <row r="4" spans="1:11" ht="23.15" customHeight="1" x14ac:dyDescent="0.5">
      <c r="A4" s="50" t="s">
        <v>15</v>
      </c>
      <c r="B4" s="55">
        <f>((1+$I4)^(B2/365)-1)*365/B2</f>
        <v>2.8006444659502021E-2</v>
      </c>
      <c r="C4" s="55">
        <f t="shared" ref="C4:G4" si="0">((1+$I4)^(C2/365)-1)*365/C2</f>
        <v>2.8013965928817948E-2</v>
      </c>
      <c r="D4" s="55">
        <f t="shared" si="0"/>
        <v>2.8031167516386346E-2</v>
      </c>
      <c r="E4" s="55">
        <f t="shared" si="0"/>
        <v>2.8063458462371366E-2</v>
      </c>
      <c r="F4" s="55">
        <f t="shared" si="0"/>
        <v>2.8095799005777876E-2</v>
      </c>
      <c r="G4" s="55">
        <f t="shared" si="0"/>
        <v>2.8193119078325148E-2</v>
      </c>
      <c r="H4" s="56">
        <v>2.8000000000000001E-2</v>
      </c>
      <c r="I4" s="73">
        <f t="shared" ref="I4:I9" si="1">(1+H4/365)^365-1</f>
        <v>2.8394580009664327E-2</v>
      </c>
      <c r="J4" s="74"/>
      <c r="K4" s="67">
        <f>H4-'Daily Data'!Z153</f>
        <v>8.6999999999999994E-3</v>
      </c>
    </row>
    <row r="5" spans="1:11" ht="23.15" customHeight="1" x14ac:dyDescent="0.5">
      <c r="A5" s="50" t="s">
        <v>17</v>
      </c>
      <c r="B5" s="55">
        <v>5.16E-2</v>
      </c>
      <c r="C5" s="55">
        <f t="shared" ref="C5:G5" si="2">((1+$I5)^(C2/365)-1)*365/C2</f>
        <v>4.3433558808068172E-2</v>
      </c>
      <c r="D5" s="55">
        <v>6.2E-2</v>
      </c>
      <c r="E5" s="55">
        <f t="shared" si="2"/>
        <v>4.3552583480272515E-2</v>
      </c>
      <c r="F5" s="55">
        <f t="shared" si="2"/>
        <v>4.3630442531530762E-2</v>
      </c>
      <c r="G5" s="55">
        <f t="shared" si="2"/>
        <v>4.3865134855359665E-2</v>
      </c>
      <c r="H5" s="56">
        <v>4.3400000000000001E-2</v>
      </c>
      <c r="I5" s="73">
        <f t="shared" si="1"/>
        <v>4.4352859085561747E-2</v>
      </c>
      <c r="J5" s="74"/>
      <c r="K5" s="67">
        <f>H5-'Daily Data'!BJ153</f>
        <v>2.8700000000000003E-2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3.2899999999999999E-2</v>
      </c>
      <c r="C7" s="55">
        <f t="shared" ref="C7:G7" si="4">((1+$I7)^(C2/365)-1)*365/C2</f>
        <v>3.1417564235164716E-2</v>
      </c>
      <c r="D7" s="55">
        <v>3.4500000000000003E-2</v>
      </c>
      <c r="E7" s="55">
        <f t="shared" si="4"/>
        <v>3.1479819876150263E-2</v>
      </c>
      <c r="F7" s="55">
        <f t="shared" si="4"/>
        <v>3.1520509987099911E-2</v>
      </c>
      <c r="G7" s="55">
        <f t="shared" si="4"/>
        <v>3.1643001534340846E-2</v>
      </c>
      <c r="H7" s="56">
        <v>3.1399999999999997E-2</v>
      </c>
      <c r="I7" s="73">
        <f t="shared" si="1"/>
        <v>3.1896786986022718E-2</v>
      </c>
      <c r="J7" s="74"/>
      <c r="K7" s="67">
        <f>H7-1.06%</f>
        <v>2.0799999999999999E-2</v>
      </c>
    </row>
    <row r="8" spans="1:11" ht="23.15" customHeight="1" x14ac:dyDescent="0.4">
      <c r="A8" s="50" t="s">
        <v>57</v>
      </c>
      <c r="B8" s="51">
        <f>((1+$I8)^(B2/365)-1)*365/B2</f>
        <v>4.0813684521854299E-2</v>
      </c>
      <c r="C8" s="51">
        <f t="shared" ref="C8:G8" si="5">((1+$I8)^(C2/365)-1)*365/C2</f>
        <v>4.0829657532690203E-2</v>
      </c>
      <c r="D8" s="51">
        <f t="shared" si="5"/>
        <v>4.0866198578456858E-2</v>
      </c>
      <c r="E8" s="51">
        <f t="shared" si="5"/>
        <v>4.093483061350843E-2</v>
      </c>
      <c r="F8" s="51">
        <f t="shared" si="5"/>
        <v>4.1003616332415969E-2</v>
      </c>
      <c r="G8" s="51">
        <f t="shared" si="5"/>
        <v>4.1210899469005316E-2</v>
      </c>
      <c r="H8" s="52">
        <v>4.0800000000000003E-2</v>
      </c>
      <c r="I8" s="73">
        <f t="shared" si="1"/>
        <v>4.1641380849498866E-2</v>
      </c>
      <c r="J8" s="74"/>
      <c r="K8" s="67">
        <f>H8-'Daily Data'!H153</f>
        <v>2.5000000000000001E-2</v>
      </c>
    </row>
    <row r="9" spans="1:11" ht="23.15" customHeight="1" x14ac:dyDescent="0.5">
      <c r="A9" s="50" t="s">
        <v>56</v>
      </c>
      <c r="B9" s="55">
        <f>((1+$I9)^(B2/365)-1)*365/B2</f>
        <v>4.2815059161980883E-2</v>
      </c>
      <c r="C9" s="55">
        <f t="shared" ref="C9:G9" si="6">((1+$I9)^(C2/365)-1)*365/C2</f>
        <v>4.2832637114085803E-2</v>
      </c>
      <c r="D9" s="55">
        <f t="shared" si="6"/>
        <v>4.287285143257006E-2</v>
      </c>
      <c r="E9" s="55">
        <f t="shared" si="6"/>
        <v>4.2948389023937085E-2</v>
      </c>
      <c r="F9" s="55">
        <f t="shared" si="6"/>
        <v>4.3024104068013491E-2</v>
      </c>
      <c r="G9" s="55">
        <f t="shared" si="6"/>
        <v>4.3252318612913926E-2</v>
      </c>
      <c r="H9" s="52">
        <v>4.2799999999999998E-2</v>
      </c>
      <c r="I9" s="73">
        <f t="shared" si="1"/>
        <v>4.3726509254560675E-2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14" priority="13">
      <formula>_xlfn.ISFORMULA(A3)</formula>
    </cfRule>
    <cfRule type="expression" priority="14">
      <formula>_xlfn.ISFORMULA(A3)</formula>
    </cfRule>
  </conditionalFormatting>
  <conditionalFormatting sqref="A1:J2">
    <cfRule type="expression" dxfId="13" priority="9">
      <formula>_xlfn.ISFORMULA(A1)</formula>
    </cfRule>
    <cfRule type="expression" priority="10">
      <formula>_xlfn.ISFORMULA(A1)</formula>
    </cfRule>
  </conditionalFormatting>
  <conditionalFormatting sqref="B3:H9">
    <cfRule type="expression" dxfId="12" priority="1">
      <formula>_xlfn.ISFORMULA(B3)</formula>
    </cfRule>
    <cfRule type="expression" priority="2">
      <formula>_xlfn.ISFORMULA(B3)</formula>
    </cfRule>
  </conditionalFormatting>
  <conditionalFormatting sqref="I3:I10">
    <cfRule type="expression" dxfId="11" priority="5">
      <formula>_xlfn.ISFORMULA(I3)</formula>
    </cfRule>
    <cfRule type="expression" priority="6">
      <formula>_xlfn.ISFORMULA(I3)</formula>
    </cfRule>
  </conditionalFormatting>
  <conditionalFormatting sqref="J3:J9 B10:F10">
    <cfRule type="expression" dxfId="10" priority="11">
      <formula>_xlfn.ISFORMULA(B3)</formula>
    </cfRule>
    <cfRule type="expression" priority="12">
      <formula>_xlfn.ISFORMULA(B3)</formula>
    </cfRule>
  </conditionalFormatting>
  <pageMargins left="0.7" right="0.7" top="0.75" bottom="0.75" header="0.3" footer="0.3"/>
  <legacy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3A13C-188A-44B0-B0C2-ACAEFAFF55CB}">
  <dimension ref="A1:K10"/>
  <sheetViews>
    <sheetView tabSelected="1" zoomScale="80" zoomScaleNormal="80" workbookViewId="0">
      <selection activeCell="D24" sqref="D2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46246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3.7499999999999999E-2</v>
      </c>
      <c r="C3" s="54">
        <v>3.78E-2</v>
      </c>
      <c r="D3" s="54">
        <v>3.0099999999999998E-2</v>
      </c>
      <c r="E3" s="54">
        <v>4.8899999999999999E-2</v>
      </c>
      <c r="F3" s="54">
        <v>4.4699999999999997E-2</v>
      </c>
      <c r="G3" s="54">
        <v>4.9599999999999998E-2</v>
      </c>
      <c r="H3" s="52">
        <v>4.5100000000000001E-2</v>
      </c>
      <c r="I3" s="73">
        <f>(1+H3/365)^365-1</f>
        <v>4.6129553314463001E-2</v>
      </c>
      <c r="J3" s="74"/>
      <c r="K3" s="67">
        <f>H3-'Daily Data'!AR153</f>
        <v>2.87E-2</v>
      </c>
    </row>
    <row r="4" spans="1:11" ht="23.15" customHeight="1" x14ac:dyDescent="0.5">
      <c r="A4" s="50" t="s">
        <v>15</v>
      </c>
      <c r="B4" s="55">
        <f>((1+$I4)^(B2/365)-1)*365/B2</f>
        <v>2.8006444659502021E-2</v>
      </c>
      <c r="C4" s="55">
        <f t="shared" ref="C4:G4" si="0">((1+$I4)^(C2/365)-1)*365/C2</f>
        <v>2.8013965928817948E-2</v>
      </c>
      <c r="D4" s="55">
        <f t="shared" si="0"/>
        <v>2.8031167516386346E-2</v>
      </c>
      <c r="E4" s="55">
        <f t="shared" si="0"/>
        <v>2.8063458462371366E-2</v>
      </c>
      <c r="F4" s="55">
        <f t="shared" si="0"/>
        <v>2.8095799005777876E-2</v>
      </c>
      <c r="G4" s="55">
        <f t="shared" si="0"/>
        <v>2.8193119078325148E-2</v>
      </c>
      <c r="H4" s="56">
        <v>2.8000000000000001E-2</v>
      </c>
      <c r="I4" s="73">
        <f t="shared" ref="I4:I9" si="1">(1+H4/365)^365-1</f>
        <v>2.8394580009664327E-2</v>
      </c>
      <c r="J4" s="74"/>
      <c r="K4" s="67">
        <f>H4-'Daily Data'!Z153</f>
        <v>8.6999999999999994E-3</v>
      </c>
    </row>
    <row r="5" spans="1:11" ht="23.15" customHeight="1" x14ac:dyDescent="0.5">
      <c r="A5" s="50" t="s">
        <v>17</v>
      </c>
      <c r="B5" s="55">
        <f>((1+$I5)^(B2/365)-1)*365/B2</f>
        <v>4.2314709334026243E-2</v>
      </c>
      <c r="C5" s="55">
        <f t="shared" ref="C5:G5" si="2">((1+$I5)^(C2/365)-1)*365/C2</f>
        <v>4.2331878844136646E-2</v>
      </c>
      <c r="D5" s="55">
        <f t="shared" si="2"/>
        <v>4.237115832845547E-2</v>
      </c>
      <c r="E5" s="55">
        <f t="shared" si="2"/>
        <v>4.2444938399335733E-2</v>
      </c>
      <c r="F5" s="55">
        <f t="shared" si="2"/>
        <v>4.2518889765945693E-2</v>
      </c>
      <c r="G5" s="55">
        <f t="shared" si="2"/>
        <v>4.274177612049835E-2</v>
      </c>
      <c r="H5" s="56">
        <v>4.2299999999999997E-2</v>
      </c>
      <c r="I5" s="73">
        <f t="shared" si="1"/>
        <v>4.3204837242908356E-2</v>
      </c>
      <c r="J5" s="74"/>
      <c r="K5" s="67">
        <f>H5-'Daily Data'!BJ153</f>
        <v>2.76E-2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3.5099999999999999E-2</v>
      </c>
      <c r="C7" s="55">
        <f t="shared" ref="C7:G7" si="4">((1+$I7)^(C2/365)-1)*365/C2</f>
        <v>3.3419873410345406E-2</v>
      </c>
      <c r="D7" s="55">
        <v>3.6700000000000003E-2</v>
      </c>
      <c r="E7" s="55">
        <f t="shared" si="4"/>
        <v>3.3490321414801537E-2</v>
      </c>
      <c r="F7" s="55">
        <f t="shared" si="4"/>
        <v>3.3536372426970877E-2</v>
      </c>
      <c r="G7" s="55">
        <f t="shared" si="4"/>
        <v>3.3675032625327374E-2</v>
      </c>
      <c r="H7" s="56">
        <v>3.3399999999999999E-2</v>
      </c>
      <c r="I7" s="73">
        <f t="shared" si="1"/>
        <v>3.3962462182619113E-2</v>
      </c>
      <c r="J7" s="74"/>
      <c r="K7" s="67">
        <f>H7-1.06%</f>
        <v>2.2800000000000001E-2</v>
      </c>
    </row>
    <row r="8" spans="1:11" ht="23.15" customHeight="1" x14ac:dyDescent="0.4">
      <c r="A8" s="50" t="s">
        <v>57</v>
      </c>
      <c r="B8" s="51">
        <f>((1+$I8)^(B2/365)-1)*365/B2</f>
        <v>4.1213954186646147E-2</v>
      </c>
      <c r="C8" s="51">
        <f t="shared" ref="C8:G8" si="5">((1+$I8)^(C2/365)-1)*365/C2</f>
        <v>4.1230242036151318E-2</v>
      </c>
      <c r="D8" s="51">
        <f t="shared" si="5"/>
        <v>4.1267503643402224E-2</v>
      </c>
      <c r="E8" s="51">
        <f t="shared" si="5"/>
        <v>4.1337490226565209E-2</v>
      </c>
      <c r="F8" s="51">
        <f t="shared" si="5"/>
        <v>4.1407635065704738E-2</v>
      </c>
      <c r="G8" s="51">
        <f t="shared" si="5"/>
        <v>4.1619023150302505E-2</v>
      </c>
      <c r="H8" s="52">
        <v>4.1200000000000001E-2</v>
      </c>
      <c r="I8" s="73">
        <f t="shared" si="1"/>
        <v>4.2058073928315842E-2</v>
      </c>
      <c r="J8" s="74"/>
      <c r="K8" s="67">
        <f>H8-'Daily Data'!H153</f>
        <v>2.5399999999999999E-2</v>
      </c>
    </row>
    <row r="9" spans="1:11" ht="23.15" customHeight="1" x14ac:dyDescent="0.5">
      <c r="A9" s="50" t="s">
        <v>56</v>
      </c>
      <c r="B9" s="55">
        <f>((1+$I9)^(B2/365)-1)*365/B2</f>
        <v>4.2114570554201744E-2</v>
      </c>
      <c r="C9" s="55">
        <f t="shared" ref="C9:G9" si="6">((1+$I9)^(C2/365)-1)*365/C2</f>
        <v>4.2131578032795769E-2</v>
      </c>
      <c r="D9" s="55">
        <f t="shared" si="6"/>
        <v>4.2170486666584552E-2</v>
      </c>
      <c r="E9" s="55">
        <f t="shared" si="6"/>
        <v>4.2243569541063529E-2</v>
      </c>
      <c r="F9" s="55">
        <f t="shared" si="6"/>
        <v>4.2316821288990662E-2</v>
      </c>
      <c r="G9" s="55">
        <f t="shared" si="6"/>
        <v>4.2537594169484265E-2</v>
      </c>
      <c r="H9" s="52">
        <v>4.2099999999999999E-2</v>
      </c>
      <c r="I9" s="73">
        <f t="shared" si="1"/>
        <v>4.2996241252897249E-2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9" priority="19">
      <formula>_xlfn.ISFORMULA(A3)</formula>
    </cfRule>
    <cfRule type="expression" priority="20">
      <formula>_xlfn.ISFORMULA(A3)</formula>
    </cfRule>
  </conditionalFormatting>
  <conditionalFormatting sqref="A1:J2">
    <cfRule type="expression" dxfId="8" priority="15">
      <formula>_xlfn.ISFORMULA(A1)</formula>
    </cfRule>
    <cfRule type="expression" priority="16">
      <formula>_xlfn.ISFORMULA(A1)</formula>
    </cfRule>
  </conditionalFormatting>
  <conditionalFormatting sqref="B3:H3 H4 B5:H5 H6:H9">
    <cfRule type="expression" dxfId="7" priority="11">
      <formula>_xlfn.ISFORMULA(B3)</formula>
    </cfRule>
    <cfRule type="expression" priority="12">
      <formula>_xlfn.ISFORMULA(B3)</formula>
    </cfRule>
  </conditionalFormatting>
  <conditionalFormatting sqref="I3:I10">
    <cfRule type="expression" dxfId="6" priority="13">
      <formula>_xlfn.ISFORMULA(I3)</formula>
    </cfRule>
    <cfRule type="expression" priority="14">
      <formula>_xlfn.ISFORMULA(I3)</formula>
    </cfRule>
  </conditionalFormatting>
  <conditionalFormatting sqref="J3:J9 B10:F10">
    <cfRule type="expression" dxfId="5" priority="17">
      <formula>_xlfn.ISFORMULA(B3)</formula>
    </cfRule>
    <cfRule type="expression" priority="18">
      <formula>_xlfn.ISFORMULA(B3)</formula>
    </cfRule>
  </conditionalFormatting>
  <conditionalFormatting sqref="B4:G4">
    <cfRule type="expression" dxfId="4" priority="9">
      <formula>_xlfn.ISFORMULA(B4)</formula>
    </cfRule>
    <cfRule type="expression" priority="10">
      <formula>_xlfn.ISFORMULA(B4)</formula>
    </cfRule>
  </conditionalFormatting>
  <conditionalFormatting sqref="B6:G6">
    <cfRule type="expression" dxfId="3" priority="7">
      <formula>_xlfn.ISFORMULA(B6)</formula>
    </cfRule>
    <cfRule type="expression" priority="8">
      <formula>_xlfn.ISFORMULA(B6)</formula>
    </cfRule>
  </conditionalFormatting>
  <conditionalFormatting sqref="B7:G7">
    <cfRule type="expression" dxfId="2" priority="5">
      <formula>_xlfn.ISFORMULA(B7)</formula>
    </cfRule>
    <cfRule type="expression" priority="6">
      <formula>_xlfn.ISFORMULA(B7)</formula>
    </cfRule>
  </conditionalFormatting>
  <conditionalFormatting sqref="B8:G8">
    <cfRule type="expression" dxfId="1" priority="3">
      <formula>_xlfn.ISFORMULA(B8)</formula>
    </cfRule>
    <cfRule type="expression" priority="4">
      <formula>_xlfn.ISFORMULA(B8)</formula>
    </cfRule>
  </conditionalFormatting>
  <conditionalFormatting sqref="B9:G9">
    <cfRule type="expression" dxfId="0" priority="1">
      <formula>_xlfn.ISFORMULA(B9)</formula>
    </cfRule>
    <cfRule type="expression" priority="2">
      <formula>_xlfn.ISFORMULA(B9)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147</vt:i4>
      </vt:variant>
    </vt:vector>
  </HeadingPairs>
  <TitlesOfParts>
    <vt:vector size="147" baseType="lpstr">
      <vt:lpstr>Margin Borrow Rates</vt:lpstr>
      <vt:lpstr>Daily Data</vt:lpstr>
      <vt:lpstr>Günlük taslak</vt:lpstr>
      <vt:lpstr>Günlük</vt:lpstr>
      <vt:lpstr>23.3.2026</vt:lpstr>
      <vt:lpstr>24.3.2026</vt:lpstr>
      <vt:lpstr>25.3.2026</vt:lpstr>
      <vt:lpstr>26.03.2026</vt:lpstr>
      <vt:lpstr>27.3.2026</vt:lpstr>
      <vt:lpstr>28.03.2026</vt:lpstr>
      <vt:lpstr>29.3.2026</vt:lpstr>
      <vt:lpstr>30.3.2026</vt:lpstr>
      <vt:lpstr>31.3.2026</vt:lpstr>
      <vt:lpstr>01.04.2026</vt:lpstr>
      <vt:lpstr>02.04.2026</vt:lpstr>
      <vt:lpstr>03.04.2026</vt:lpstr>
      <vt:lpstr>04.04.2026</vt:lpstr>
      <vt:lpstr>05.04.2026</vt:lpstr>
      <vt:lpstr>06.04.2026</vt:lpstr>
      <vt:lpstr>07.04.2026</vt:lpstr>
      <vt:lpstr>08.04.2026</vt:lpstr>
      <vt:lpstr>09.04.2026</vt:lpstr>
      <vt:lpstr>10.04.2026</vt:lpstr>
      <vt:lpstr>11.04.2026</vt:lpstr>
      <vt:lpstr>12.04.2026</vt:lpstr>
      <vt:lpstr>13.04.2026</vt:lpstr>
      <vt:lpstr>14.04.2026</vt:lpstr>
      <vt:lpstr>15.04.2026</vt:lpstr>
      <vt:lpstr>16.04.2026</vt:lpstr>
      <vt:lpstr>17.04.2026</vt:lpstr>
      <vt:lpstr>18.04.2026</vt:lpstr>
      <vt:lpstr>19.04.2026</vt:lpstr>
      <vt:lpstr>20.04.2026</vt:lpstr>
      <vt:lpstr>21.04.2026</vt:lpstr>
      <vt:lpstr>22.04.2026</vt:lpstr>
      <vt:lpstr>23.04.2026</vt:lpstr>
      <vt:lpstr>24.04.2026</vt:lpstr>
      <vt:lpstr>25.04.2026</vt:lpstr>
      <vt:lpstr>26.04.2026</vt:lpstr>
      <vt:lpstr>27.04.2026</vt:lpstr>
      <vt:lpstr>28.04.2026</vt:lpstr>
      <vt:lpstr>29.04.2026</vt:lpstr>
      <vt:lpstr>30.04.2026</vt:lpstr>
      <vt:lpstr>01.05.2026</vt:lpstr>
      <vt:lpstr>02.05.2026</vt:lpstr>
      <vt:lpstr>03.05.2026</vt:lpstr>
      <vt:lpstr>04.05.2026</vt:lpstr>
      <vt:lpstr>05.05.2026</vt:lpstr>
      <vt:lpstr>06.05.2026</vt:lpstr>
      <vt:lpstr>07.05.2026</vt:lpstr>
      <vt:lpstr>08.05.2026</vt:lpstr>
      <vt:lpstr>09.05.2026</vt:lpstr>
      <vt:lpstr>10.05.2026</vt:lpstr>
      <vt:lpstr>11.05.2026</vt:lpstr>
      <vt:lpstr>12.05.2026</vt:lpstr>
      <vt:lpstr>13.05.2026</vt:lpstr>
      <vt:lpstr>14.05.2026</vt:lpstr>
      <vt:lpstr>15.05.2026</vt:lpstr>
      <vt:lpstr>16.05.2026</vt:lpstr>
      <vt:lpstr>17.05.2026</vt:lpstr>
      <vt:lpstr>18.05.2026</vt:lpstr>
      <vt:lpstr>19.05.2026</vt:lpstr>
      <vt:lpstr>20.05.2026</vt:lpstr>
      <vt:lpstr>21.05.2026</vt:lpstr>
      <vt:lpstr>22.05.2026</vt:lpstr>
      <vt:lpstr>23.05.2026</vt:lpstr>
      <vt:lpstr>24.05.2026</vt:lpstr>
      <vt:lpstr>25.05.2026</vt:lpstr>
      <vt:lpstr>26.05.2026</vt:lpstr>
      <vt:lpstr>27.05.2026</vt:lpstr>
      <vt:lpstr>28.05.2026</vt:lpstr>
      <vt:lpstr>29.05.2026</vt:lpstr>
      <vt:lpstr>30.05.2026</vt:lpstr>
      <vt:lpstr>31.05.2026</vt:lpstr>
      <vt:lpstr>01.06.2026</vt:lpstr>
      <vt:lpstr>02.06.2026</vt:lpstr>
      <vt:lpstr>03.06.2026</vt:lpstr>
      <vt:lpstr>04.06.2026</vt:lpstr>
      <vt:lpstr>05.06.2026</vt:lpstr>
      <vt:lpstr>06.06.2026</vt:lpstr>
      <vt:lpstr>07.06.2026</vt:lpstr>
      <vt:lpstr>08.06.2026</vt:lpstr>
      <vt:lpstr>09.06.2026</vt:lpstr>
      <vt:lpstr>10.06.2026</vt:lpstr>
      <vt:lpstr>11.06.2026</vt:lpstr>
      <vt:lpstr>12.06.2026</vt:lpstr>
      <vt:lpstr>13.06.2026</vt:lpstr>
      <vt:lpstr>14.06.2026</vt:lpstr>
      <vt:lpstr>15.06.2026</vt:lpstr>
      <vt:lpstr>16.06.2026</vt:lpstr>
      <vt:lpstr>17.06.2026</vt:lpstr>
      <vt:lpstr>18.06.2026</vt:lpstr>
      <vt:lpstr>19.06.2026</vt:lpstr>
      <vt:lpstr>20.06.2026</vt:lpstr>
      <vt:lpstr>21.06.2026</vt:lpstr>
      <vt:lpstr>22.06.2026</vt:lpstr>
      <vt:lpstr>23.06.2026</vt:lpstr>
      <vt:lpstr>24.06.2026</vt:lpstr>
      <vt:lpstr>25.06.2026</vt:lpstr>
      <vt:lpstr>26.06.2026</vt:lpstr>
      <vt:lpstr>27.06.2026</vt:lpstr>
      <vt:lpstr>28.06.2026</vt:lpstr>
      <vt:lpstr>29.06.2026</vt:lpstr>
      <vt:lpstr>30.06.2026</vt:lpstr>
      <vt:lpstr>01.07.2026</vt:lpstr>
      <vt:lpstr>02.07.2026</vt:lpstr>
      <vt:lpstr>03.07.2026</vt:lpstr>
      <vt:lpstr>04.07.2026</vt:lpstr>
      <vt:lpstr>05.07.2026</vt:lpstr>
      <vt:lpstr>06.07.2026</vt:lpstr>
      <vt:lpstr>07.07.2026</vt:lpstr>
      <vt:lpstr>08.07.2026</vt:lpstr>
      <vt:lpstr>09.07.2026</vt:lpstr>
      <vt:lpstr>10.07.2026</vt:lpstr>
      <vt:lpstr>11.07.2026</vt:lpstr>
      <vt:lpstr>12.07.2026</vt:lpstr>
      <vt:lpstr>13.07.2026</vt:lpstr>
      <vt:lpstr>14.07.2026</vt:lpstr>
      <vt:lpstr>15.07.2026</vt:lpstr>
      <vt:lpstr>16.07.2026</vt:lpstr>
      <vt:lpstr>17.07.2026</vt:lpstr>
      <vt:lpstr>18.07.2026</vt:lpstr>
      <vt:lpstr>19.07.2026</vt:lpstr>
      <vt:lpstr>20.07.2026</vt:lpstr>
      <vt:lpstr>21.07.2026</vt:lpstr>
      <vt:lpstr>22.07.2026</vt:lpstr>
      <vt:lpstr>23.07.2026</vt:lpstr>
      <vt:lpstr>24.07.2026</vt:lpstr>
      <vt:lpstr>25.07.2026</vt:lpstr>
      <vt:lpstr>26.07.2026</vt:lpstr>
      <vt:lpstr>27.07.2026</vt:lpstr>
      <vt:lpstr>28.07.2026</vt:lpstr>
      <vt:lpstr>29.07.2026</vt:lpstr>
      <vt:lpstr>30.07.2026</vt:lpstr>
      <vt:lpstr>31.07.2026</vt:lpstr>
      <vt:lpstr>01.08.2026</vt:lpstr>
      <vt:lpstr>02.08.2026</vt:lpstr>
      <vt:lpstr>03.08.2026</vt:lpstr>
      <vt:lpstr>04.08.2026</vt:lpstr>
      <vt:lpstr>05.08.2026</vt:lpstr>
      <vt:lpstr>06.08.2026</vt:lpstr>
      <vt:lpstr>07.08.2026</vt:lpstr>
      <vt:lpstr>08.08.2026</vt:lpstr>
      <vt:lpstr>09.08.2026</vt:lpstr>
      <vt:lpstr>10.08.2026</vt:lpstr>
      <vt:lpstr>11.08.2026</vt:lpstr>
      <vt:lpstr>12.08.2026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Batuhan Helvacı</cp:lastModifiedBy>
  <cp:lastPrinted>2026-04-24T08:13:43Z</cp:lastPrinted>
  <dcterms:created xsi:type="dcterms:W3CDTF">2026-02-19T12:47:17Z</dcterms:created>
  <dcterms:modified xsi:type="dcterms:W3CDTF">2026-08-12T07:04:40Z</dcterms:modified>
</cp:coreProperties>
</file>